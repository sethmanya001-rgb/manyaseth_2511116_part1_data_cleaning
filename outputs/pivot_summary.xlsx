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v\Downloads\"/>
    </mc:Choice>
  </mc:AlternateContent>
  <xr:revisionPtr revIDLastSave="0" documentId="8_{487A77E0-CBF5-4F44-A844-9CE663A1D91D}" xr6:coauthVersionLast="47" xr6:coauthVersionMax="47" xr10:uidLastSave="{00000000-0000-0000-0000-000000000000}"/>
  <bookViews>
    <workbookView xWindow="-108" yWindow="-108" windowWidth="23256" windowHeight="12456" activeTab="1" xr2:uid="{799FD3FD-D914-452B-A2CC-BD66321DA888}"/>
  </bookViews>
  <sheets>
    <sheet name="Region_Summary" sheetId="5" r:id="rId1"/>
    <sheet name="Category_Summary" sheetId="7" r:id="rId2"/>
    <sheet name="ShipMode_Summary" sheetId="8" r:id="rId3"/>
    <sheet name="Segment Summary" sheetId="10" r:id="rId4"/>
    <sheet name="Issues_by_Region" sheetId="11" r:id="rId5"/>
    <sheet name="Monthly_Trend" sheetId="12" r:id="rId6"/>
    <sheet name="Cleaned_Order" sheetId="1" r:id="rId7"/>
    <sheet name="Raw_Order" sheetId="3" r:id="rId8"/>
  </sheets>
  <definedNames>
    <definedName name="_xlnm._FilterDatabase" localSheetId="6" hidden="1">Cleaned_Order!$AO$1:$AO$933</definedName>
  </definedNames>
  <calcPr calcId="191029"/>
  <pivotCaches>
    <pivotCache cacheId="69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3" i="1" l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2" i="1"/>
  <c r="AK3" i="1"/>
  <c r="AN3" i="1" s="1"/>
  <c r="AO3" i="1" s="1"/>
  <c r="AK4" i="1"/>
  <c r="AN4" i="1" s="1"/>
  <c r="AO4" i="1" s="1"/>
  <c r="AK5" i="1"/>
  <c r="AN5" i="1" s="1"/>
  <c r="AO5" i="1" s="1"/>
  <c r="AK6" i="1"/>
  <c r="AN6" i="1" s="1"/>
  <c r="AO6" i="1" s="1"/>
  <c r="AK7" i="1"/>
  <c r="AN7" i="1" s="1"/>
  <c r="AO7" i="1" s="1"/>
  <c r="AK8" i="1"/>
  <c r="AN8" i="1" s="1"/>
  <c r="AO8" i="1" s="1"/>
  <c r="AK9" i="1"/>
  <c r="AN9" i="1" s="1"/>
  <c r="AO9" i="1" s="1"/>
  <c r="AK10" i="1"/>
  <c r="AN10" i="1" s="1"/>
  <c r="AO10" i="1" s="1"/>
  <c r="AK11" i="1"/>
  <c r="AN11" i="1" s="1"/>
  <c r="AO11" i="1" s="1"/>
  <c r="AK12" i="1"/>
  <c r="AN12" i="1" s="1"/>
  <c r="AO12" i="1" s="1"/>
  <c r="AK13" i="1"/>
  <c r="AN13" i="1" s="1"/>
  <c r="AO13" i="1" s="1"/>
  <c r="AK14" i="1"/>
  <c r="AN14" i="1" s="1"/>
  <c r="AO14" i="1" s="1"/>
  <c r="AK15" i="1"/>
  <c r="AN15" i="1" s="1"/>
  <c r="AO15" i="1" s="1"/>
  <c r="AK16" i="1"/>
  <c r="AN16" i="1" s="1"/>
  <c r="AO16" i="1" s="1"/>
  <c r="AK17" i="1"/>
  <c r="AN17" i="1" s="1"/>
  <c r="AO17" i="1" s="1"/>
  <c r="AK18" i="1"/>
  <c r="AN18" i="1" s="1"/>
  <c r="AO18" i="1" s="1"/>
  <c r="AK19" i="1"/>
  <c r="AN19" i="1" s="1"/>
  <c r="AO19" i="1" s="1"/>
  <c r="AK20" i="1"/>
  <c r="AN20" i="1" s="1"/>
  <c r="AO20" i="1" s="1"/>
  <c r="AK21" i="1"/>
  <c r="AN21" i="1" s="1"/>
  <c r="AO21" i="1" s="1"/>
  <c r="AK22" i="1"/>
  <c r="AN22" i="1" s="1"/>
  <c r="AO22" i="1" s="1"/>
  <c r="AK23" i="1"/>
  <c r="AN23" i="1" s="1"/>
  <c r="AO23" i="1" s="1"/>
  <c r="AK24" i="1"/>
  <c r="AN24" i="1" s="1"/>
  <c r="AO24" i="1" s="1"/>
  <c r="AK25" i="1"/>
  <c r="AN25" i="1" s="1"/>
  <c r="AO25" i="1" s="1"/>
  <c r="AK26" i="1"/>
  <c r="AN26" i="1" s="1"/>
  <c r="AO26" i="1" s="1"/>
  <c r="AK27" i="1"/>
  <c r="AN27" i="1" s="1"/>
  <c r="AO27" i="1" s="1"/>
  <c r="AK28" i="1"/>
  <c r="AN28" i="1" s="1"/>
  <c r="AO28" i="1" s="1"/>
  <c r="AK29" i="1"/>
  <c r="AN29" i="1" s="1"/>
  <c r="AO29" i="1" s="1"/>
  <c r="AK30" i="1"/>
  <c r="AN30" i="1" s="1"/>
  <c r="AO30" i="1" s="1"/>
  <c r="AK31" i="1"/>
  <c r="AN31" i="1" s="1"/>
  <c r="AO31" i="1" s="1"/>
  <c r="AK32" i="1"/>
  <c r="AN32" i="1" s="1"/>
  <c r="AO32" i="1" s="1"/>
  <c r="AK33" i="1"/>
  <c r="AN33" i="1" s="1"/>
  <c r="AO33" i="1" s="1"/>
  <c r="AK35" i="1"/>
  <c r="AN35" i="1" s="1"/>
  <c r="AO35" i="1" s="1"/>
  <c r="AK36" i="1"/>
  <c r="AN36" i="1" s="1"/>
  <c r="AO36" i="1" s="1"/>
  <c r="AK37" i="1"/>
  <c r="AN37" i="1" s="1"/>
  <c r="AO37" i="1" s="1"/>
  <c r="AK38" i="1"/>
  <c r="AN38" i="1" s="1"/>
  <c r="AO38" i="1" s="1"/>
  <c r="AK39" i="1"/>
  <c r="AN39" i="1" s="1"/>
  <c r="AO39" i="1" s="1"/>
  <c r="AK40" i="1"/>
  <c r="AN40" i="1" s="1"/>
  <c r="AO40" i="1" s="1"/>
  <c r="AK41" i="1"/>
  <c r="AN41" i="1" s="1"/>
  <c r="AO41" i="1" s="1"/>
  <c r="AK42" i="1"/>
  <c r="AN42" i="1" s="1"/>
  <c r="AO42" i="1" s="1"/>
  <c r="AK43" i="1"/>
  <c r="AN43" i="1" s="1"/>
  <c r="AO43" i="1" s="1"/>
  <c r="AK44" i="1"/>
  <c r="AN44" i="1" s="1"/>
  <c r="AO44" i="1" s="1"/>
  <c r="AK45" i="1"/>
  <c r="AN45" i="1" s="1"/>
  <c r="AO45" i="1" s="1"/>
  <c r="AK46" i="1"/>
  <c r="AN46" i="1" s="1"/>
  <c r="AO46" i="1" s="1"/>
  <c r="AK47" i="1"/>
  <c r="AN47" i="1" s="1"/>
  <c r="AO47" i="1" s="1"/>
  <c r="AK48" i="1"/>
  <c r="AN48" i="1" s="1"/>
  <c r="AO48" i="1" s="1"/>
  <c r="AK49" i="1"/>
  <c r="AN49" i="1" s="1"/>
  <c r="AO49" i="1" s="1"/>
  <c r="AK50" i="1"/>
  <c r="AN50" i="1" s="1"/>
  <c r="AO50" i="1" s="1"/>
  <c r="AK51" i="1"/>
  <c r="AN51" i="1" s="1"/>
  <c r="AO51" i="1" s="1"/>
  <c r="AK52" i="1"/>
  <c r="AN52" i="1" s="1"/>
  <c r="AO52" i="1" s="1"/>
  <c r="AK53" i="1"/>
  <c r="AN53" i="1" s="1"/>
  <c r="AO53" i="1" s="1"/>
  <c r="AK54" i="1"/>
  <c r="AN54" i="1" s="1"/>
  <c r="AO54" i="1" s="1"/>
  <c r="AK55" i="1"/>
  <c r="AN55" i="1" s="1"/>
  <c r="AO55" i="1" s="1"/>
  <c r="AK56" i="1"/>
  <c r="AN56" i="1" s="1"/>
  <c r="AO56" i="1" s="1"/>
  <c r="AK57" i="1"/>
  <c r="AN57" i="1" s="1"/>
  <c r="AO57" i="1" s="1"/>
  <c r="AK58" i="1"/>
  <c r="AN58" i="1" s="1"/>
  <c r="AO58" i="1" s="1"/>
  <c r="AK59" i="1"/>
  <c r="AN59" i="1" s="1"/>
  <c r="AO59" i="1" s="1"/>
  <c r="AK60" i="1"/>
  <c r="AN60" i="1" s="1"/>
  <c r="AO60" i="1" s="1"/>
  <c r="AK61" i="1"/>
  <c r="AN61" i="1" s="1"/>
  <c r="AO61" i="1" s="1"/>
  <c r="AK62" i="1"/>
  <c r="AN62" i="1" s="1"/>
  <c r="AO62" i="1" s="1"/>
  <c r="AK63" i="1"/>
  <c r="AN63" i="1" s="1"/>
  <c r="AO63" i="1" s="1"/>
  <c r="AK64" i="1"/>
  <c r="AN64" i="1" s="1"/>
  <c r="AO64" i="1" s="1"/>
  <c r="AK65" i="1"/>
  <c r="AN65" i="1" s="1"/>
  <c r="AO65" i="1" s="1"/>
  <c r="AK66" i="1"/>
  <c r="AN66" i="1" s="1"/>
  <c r="AO66" i="1" s="1"/>
  <c r="AK67" i="1"/>
  <c r="AN67" i="1" s="1"/>
  <c r="AO67" i="1" s="1"/>
  <c r="AK68" i="1"/>
  <c r="AN68" i="1" s="1"/>
  <c r="AO68" i="1" s="1"/>
  <c r="AK69" i="1"/>
  <c r="AN69" i="1" s="1"/>
  <c r="AO69" i="1" s="1"/>
  <c r="AK70" i="1"/>
  <c r="AN70" i="1" s="1"/>
  <c r="AO70" i="1" s="1"/>
  <c r="AK71" i="1"/>
  <c r="AN71" i="1" s="1"/>
  <c r="AO71" i="1" s="1"/>
  <c r="AK72" i="1"/>
  <c r="AN72" i="1" s="1"/>
  <c r="AO72" i="1" s="1"/>
  <c r="AK73" i="1"/>
  <c r="AN73" i="1" s="1"/>
  <c r="AO73" i="1" s="1"/>
  <c r="AK74" i="1"/>
  <c r="AN74" i="1" s="1"/>
  <c r="AO74" i="1" s="1"/>
  <c r="AK75" i="1"/>
  <c r="AN75" i="1" s="1"/>
  <c r="AO75" i="1" s="1"/>
  <c r="AK76" i="1"/>
  <c r="AN76" i="1" s="1"/>
  <c r="AO76" i="1" s="1"/>
  <c r="AK77" i="1"/>
  <c r="AN77" i="1" s="1"/>
  <c r="AO77" i="1" s="1"/>
  <c r="AK78" i="1"/>
  <c r="AN78" i="1" s="1"/>
  <c r="AO78" i="1" s="1"/>
  <c r="AK79" i="1"/>
  <c r="AN79" i="1" s="1"/>
  <c r="AO79" i="1" s="1"/>
  <c r="AK80" i="1"/>
  <c r="AN80" i="1" s="1"/>
  <c r="AO80" i="1" s="1"/>
  <c r="AK81" i="1"/>
  <c r="AN81" i="1" s="1"/>
  <c r="AO81" i="1" s="1"/>
  <c r="AK82" i="1"/>
  <c r="AN82" i="1" s="1"/>
  <c r="AO82" i="1" s="1"/>
  <c r="AK83" i="1"/>
  <c r="AN83" i="1" s="1"/>
  <c r="AO83" i="1" s="1"/>
  <c r="AK84" i="1"/>
  <c r="AN84" i="1" s="1"/>
  <c r="AO84" i="1" s="1"/>
  <c r="AK85" i="1"/>
  <c r="AN85" i="1" s="1"/>
  <c r="AO85" i="1" s="1"/>
  <c r="AK86" i="1"/>
  <c r="AN86" i="1" s="1"/>
  <c r="AO86" i="1" s="1"/>
  <c r="AK87" i="1"/>
  <c r="AN87" i="1" s="1"/>
  <c r="AO87" i="1" s="1"/>
  <c r="AK88" i="1"/>
  <c r="AN88" i="1" s="1"/>
  <c r="AO88" i="1" s="1"/>
  <c r="AK89" i="1"/>
  <c r="AN89" i="1" s="1"/>
  <c r="AO89" i="1" s="1"/>
  <c r="AK90" i="1"/>
  <c r="AN90" i="1" s="1"/>
  <c r="AO90" i="1" s="1"/>
  <c r="AK91" i="1"/>
  <c r="AN91" i="1" s="1"/>
  <c r="AO91" i="1" s="1"/>
  <c r="AK92" i="1"/>
  <c r="AN92" i="1" s="1"/>
  <c r="AO92" i="1" s="1"/>
  <c r="AK93" i="1"/>
  <c r="AN93" i="1" s="1"/>
  <c r="AO93" i="1" s="1"/>
  <c r="AK94" i="1"/>
  <c r="AN94" i="1" s="1"/>
  <c r="AO94" i="1" s="1"/>
  <c r="AK95" i="1"/>
  <c r="AN95" i="1" s="1"/>
  <c r="AO95" i="1" s="1"/>
  <c r="AK96" i="1"/>
  <c r="AN96" i="1" s="1"/>
  <c r="AO96" i="1" s="1"/>
  <c r="AK97" i="1"/>
  <c r="AN97" i="1" s="1"/>
  <c r="AO97" i="1" s="1"/>
  <c r="AK98" i="1"/>
  <c r="AN98" i="1" s="1"/>
  <c r="AO98" i="1" s="1"/>
  <c r="AK99" i="1"/>
  <c r="AN99" i="1" s="1"/>
  <c r="AO99" i="1" s="1"/>
  <c r="AK100" i="1"/>
  <c r="AN100" i="1" s="1"/>
  <c r="AO100" i="1" s="1"/>
  <c r="AK101" i="1"/>
  <c r="AN101" i="1" s="1"/>
  <c r="AO101" i="1" s="1"/>
  <c r="AK102" i="1"/>
  <c r="AN102" i="1" s="1"/>
  <c r="AO102" i="1" s="1"/>
  <c r="AK103" i="1"/>
  <c r="AN103" i="1" s="1"/>
  <c r="AO103" i="1" s="1"/>
  <c r="AK104" i="1"/>
  <c r="AN104" i="1" s="1"/>
  <c r="AO104" i="1" s="1"/>
  <c r="AK105" i="1"/>
  <c r="AN105" i="1" s="1"/>
  <c r="AO105" i="1" s="1"/>
  <c r="AK106" i="1"/>
  <c r="AN106" i="1" s="1"/>
  <c r="AO106" i="1" s="1"/>
  <c r="AK107" i="1"/>
  <c r="AN107" i="1" s="1"/>
  <c r="AO107" i="1" s="1"/>
  <c r="AK109" i="1"/>
  <c r="AN109" i="1" s="1"/>
  <c r="AO109" i="1" s="1"/>
  <c r="AK110" i="1"/>
  <c r="AN110" i="1" s="1"/>
  <c r="AO110" i="1" s="1"/>
  <c r="AK111" i="1"/>
  <c r="AN111" i="1" s="1"/>
  <c r="AO111" i="1" s="1"/>
  <c r="AK112" i="1"/>
  <c r="AN112" i="1" s="1"/>
  <c r="AO112" i="1" s="1"/>
  <c r="AK113" i="1"/>
  <c r="AN113" i="1" s="1"/>
  <c r="AO113" i="1" s="1"/>
  <c r="AK114" i="1"/>
  <c r="AN114" i="1" s="1"/>
  <c r="AO114" i="1" s="1"/>
  <c r="AK115" i="1"/>
  <c r="AN115" i="1" s="1"/>
  <c r="AO115" i="1" s="1"/>
  <c r="AK116" i="1"/>
  <c r="AN116" i="1" s="1"/>
  <c r="AO116" i="1" s="1"/>
  <c r="AK117" i="1"/>
  <c r="AN117" i="1" s="1"/>
  <c r="AO117" i="1" s="1"/>
  <c r="AK118" i="1"/>
  <c r="AN118" i="1" s="1"/>
  <c r="AO118" i="1" s="1"/>
  <c r="AK119" i="1"/>
  <c r="AN119" i="1" s="1"/>
  <c r="AO119" i="1" s="1"/>
  <c r="AK120" i="1"/>
  <c r="AN120" i="1" s="1"/>
  <c r="AO120" i="1" s="1"/>
  <c r="AK121" i="1"/>
  <c r="AN121" i="1" s="1"/>
  <c r="AO121" i="1" s="1"/>
  <c r="AK122" i="1"/>
  <c r="AN122" i="1" s="1"/>
  <c r="AO122" i="1" s="1"/>
  <c r="AK123" i="1"/>
  <c r="AN123" i="1" s="1"/>
  <c r="AO123" i="1" s="1"/>
  <c r="AK124" i="1"/>
  <c r="AN124" i="1" s="1"/>
  <c r="AO124" i="1" s="1"/>
  <c r="AK125" i="1"/>
  <c r="AN125" i="1" s="1"/>
  <c r="AO125" i="1" s="1"/>
  <c r="AK126" i="1"/>
  <c r="AN126" i="1" s="1"/>
  <c r="AO126" i="1" s="1"/>
  <c r="AK127" i="1"/>
  <c r="AN127" i="1" s="1"/>
  <c r="AO127" i="1" s="1"/>
  <c r="AK128" i="1"/>
  <c r="AN128" i="1" s="1"/>
  <c r="AO128" i="1" s="1"/>
  <c r="AK129" i="1"/>
  <c r="AN129" i="1" s="1"/>
  <c r="AO129" i="1" s="1"/>
  <c r="AK130" i="1"/>
  <c r="AN130" i="1" s="1"/>
  <c r="AO130" i="1" s="1"/>
  <c r="AK131" i="1"/>
  <c r="AN131" i="1" s="1"/>
  <c r="AO131" i="1" s="1"/>
  <c r="AK132" i="1"/>
  <c r="AN132" i="1" s="1"/>
  <c r="AO132" i="1" s="1"/>
  <c r="AK133" i="1"/>
  <c r="AN133" i="1" s="1"/>
  <c r="AO133" i="1" s="1"/>
  <c r="AK134" i="1"/>
  <c r="AN134" i="1" s="1"/>
  <c r="AO134" i="1" s="1"/>
  <c r="AK135" i="1"/>
  <c r="AN135" i="1" s="1"/>
  <c r="AO135" i="1" s="1"/>
  <c r="AK136" i="1"/>
  <c r="AN136" i="1" s="1"/>
  <c r="AO136" i="1" s="1"/>
  <c r="AK137" i="1"/>
  <c r="AN137" i="1" s="1"/>
  <c r="AO137" i="1" s="1"/>
  <c r="AK138" i="1"/>
  <c r="AN138" i="1" s="1"/>
  <c r="AO138" i="1" s="1"/>
  <c r="AK139" i="1"/>
  <c r="AN139" i="1" s="1"/>
  <c r="AO139" i="1" s="1"/>
  <c r="AK140" i="1"/>
  <c r="AN140" i="1" s="1"/>
  <c r="AO140" i="1" s="1"/>
  <c r="AK141" i="1"/>
  <c r="AN141" i="1" s="1"/>
  <c r="AO141" i="1" s="1"/>
  <c r="AK142" i="1"/>
  <c r="AN142" i="1" s="1"/>
  <c r="AO142" i="1" s="1"/>
  <c r="AK143" i="1"/>
  <c r="AN143" i="1" s="1"/>
  <c r="AO143" i="1" s="1"/>
  <c r="AK144" i="1"/>
  <c r="AN144" i="1" s="1"/>
  <c r="AO144" i="1" s="1"/>
  <c r="AK145" i="1"/>
  <c r="AN145" i="1" s="1"/>
  <c r="AO145" i="1" s="1"/>
  <c r="AK146" i="1"/>
  <c r="AN146" i="1" s="1"/>
  <c r="AO146" i="1" s="1"/>
  <c r="AK147" i="1"/>
  <c r="AN147" i="1" s="1"/>
  <c r="AO147" i="1" s="1"/>
  <c r="AK148" i="1"/>
  <c r="AN148" i="1" s="1"/>
  <c r="AO148" i="1" s="1"/>
  <c r="AK149" i="1"/>
  <c r="AN149" i="1" s="1"/>
  <c r="AO149" i="1" s="1"/>
  <c r="AK150" i="1"/>
  <c r="AN150" i="1" s="1"/>
  <c r="AO150" i="1" s="1"/>
  <c r="AK151" i="1"/>
  <c r="AN151" i="1" s="1"/>
  <c r="AO151" i="1" s="1"/>
  <c r="AK152" i="1"/>
  <c r="AN152" i="1" s="1"/>
  <c r="AO152" i="1" s="1"/>
  <c r="AK153" i="1"/>
  <c r="AN153" i="1" s="1"/>
  <c r="AO153" i="1" s="1"/>
  <c r="AK154" i="1"/>
  <c r="AN154" i="1" s="1"/>
  <c r="AO154" i="1" s="1"/>
  <c r="AK155" i="1"/>
  <c r="AN155" i="1" s="1"/>
  <c r="AO155" i="1" s="1"/>
  <c r="AK156" i="1"/>
  <c r="AN156" i="1" s="1"/>
  <c r="AO156" i="1" s="1"/>
  <c r="AK157" i="1"/>
  <c r="AN157" i="1" s="1"/>
  <c r="AO157" i="1" s="1"/>
  <c r="AK158" i="1"/>
  <c r="AN158" i="1" s="1"/>
  <c r="AO158" i="1" s="1"/>
  <c r="AK159" i="1"/>
  <c r="AN159" i="1" s="1"/>
  <c r="AO159" i="1" s="1"/>
  <c r="AK160" i="1"/>
  <c r="AN160" i="1" s="1"/>
  <c r="AO160" i="1" s="1"/>
  <c r="AK161" i="1"/>
  <c r="AN161" i="1" s="1"/>
  <c r="AO161" i="1" s="1"/>
  <c r="AK162" i="1"/>
  <c r="AN162" i="1" s="1"/>
  <c r="AO162" i="1" s="1"/>
  <c r="AK163" i="1"/>
  <c r="AN163" i="1" s="1"/>
  <c r="AO163" i="1" s="1"/>
  <c r="AK164" i="1"/>
  <c r="AN164" i="1" s="1"/>
  <c r="AO164" i="1" s="1"/>
  <c r="AK165" i="1"/>
  <c r="AN165" i="1" s="1"/>
  <c r="AO165" i="1" s="1"/>
  <c r="AK166" i="1"/>
  <c r="AN166" i="1" s="1"/>
  <c r="AO166" i="1" s="1"/>
  <c r="AK167" i="1"/>
  <c r="AN167" i="1" s="1"/>
  <c r="AO167" i="1" s="1"/>
  <c r="AK168" i="1"/>
  <c r="AN168" i="1" s="1"/>
  <c r="AO168" i="1" s="1"/>
  <c r="AK169" i="1"/>
  <c r="AN169" i="1" s="1"/>
  <c r="AO169" i="1" s="1"/>
  <c r="AK170" i="1"/>
  <c r="AN170" i="1" s="1"/>
  <c r="AO170" i="1" s="1"/>
  <c r="AK171" i="1"/>
  <c r="AN171" i="1" s="1"/>
  <c r="AO171" i="1" s="1"/>
  <c r="AK172" i="1"/>
  <c r="AN172" i="1" s="1"/>
  <c r="AO172" i="1" s="1"/>
  <c r="AK173" i="1"/>
  <c r="AN173" i="1" s="1"/>
  <c r="AO173" i="1" s="1"/>
  <c r="AK174" i="1"/>
  <c r="AN174" i="1" s="1"/>
  <c r="AO174" i="1" s="1"/>
  <c r="AK175" i="1"/>
  <c r="AN175" i="1" s="1"/>
  <c r="AO175" i="1" s="1"/>
  <c r="AK176" i="1"/>
  <c r="AN176" i="1" s="1"/>
  <c r="AO176" i="1" s="1"/>
  <c r="AK177" i="1"/>
  <c r="AN177" i="1" s="1"/>
  <c r="AO177" i="1" s="1"/>
  <c r="AK178" i="1"/>
  <c r="AN178" i="1" s="1"/>
  <c r="AO178" i="1" s="1"/>
  <c r="AK179" i="1"/>
  <c r="AN179" i="1" s="1"/>
  <c r="AO179" i="1" s="1"/>
  <c r="AK180" i="1"/>
  <c r="AN180" i="1" s="1"/>
  <c r="AO180" i="1" s="1"/>
  <c r="AK181" i="1"/>
  <c r="AN181" i="1" s="1"/>
  <c r="AO181" i="1" s="1"/>
  <c r="AK182" i="1"/>
  <c r="AN182" i="1" s="1"/>
  <c r="AO182" i="1" s="1"/>
  <c r="AK183" i="1"/>
  <c r="AN183" i="1" s="1"/>
  <c r="AO183" i="1" s="1"/>
  <c r="AK184" i="1"/>
  <c r="AN184" i="1" s="1"/>
  <c r="AO184" i="1" s="1"/>
  <c r="AK185" i="1"/>
  <c r="AN185" i="1" s="1"/>
  <c r="AO185" i="1" s="1"/>
  <c r="AK186" i="1"/>
  <c r="AN186" i="1" s="1"/>
  <c r="AO186" i="1" s="1"/>
  <c r="AK187" i="1"/>
  <c r="AN187" i="1" s="1"/>
  <c r="AO187" i="1" s="1"/>
  <c r="AK188" i="1"/>
  <c r="AN188" i="1" s="1"/>
  <c r="AO188" i="1" s="1"/>
  <c r="AK189" i="1"/>
  <c r="AN189" i="1" s="1"/>
  <c r="AO189" i="1" s="1"/>
  <c r="AK190" i="1"/>
  <c r="AN190" i="1" s="1"/>
  <c r="AO190" i="1" s="1"/>
  <c r="AK192" i="1"/>
  <c r="AN192" i="1" s="1"/>
  <c r="AO192" i="1" s="1"/>
  <c r="AK193" i="1"/>
  <c r="AN193" i="1" s="1"/>
  <c r="AO193" i="1" s="1"/>
  <c r="AK194" i="1"/>
  <c r="AN194" i="1" s="1"/>
  <c r="AO194" i="1" s="1"/>
  <c r="AK195" i="1"/>
  <c r="AN195" i="1" s="1"/>
  <c r="AO195" i="1" s="1"/>
  <c r="AK196" i="1"/>
  <c r="AN196" i="1" s="1"/>
  <c r="AO196" i="1" s="1"/>
  <c r="AK197" i="1"/>
  <c r="AN197" i="1" s="1"/>
  <c r="AO197" i="1" s="1"/>
  <c r="AK198" i="1"/>
  <c r="AN198" i="1" s="1"/>
  <c r="AO198" i="1" s="1"/>
  <c r="AK199" i="1"/>
  <c r="AN199" i="1" s="1"/>
  <c r="AO199" i="1" s="1"/>
  <c r="AK200" i="1"/>
  <c r="AN200" i="1" s="1"/>
  <c r="AO200" i="1" s="1"/>
  <c r="AK201" i="1"/>
  <c r="AN201" i="1" s="1"/>
  <c r="AO201" i="1" s="1"/>
  <c r="AK202" i="1"/>
  <c r="AN202" i="1" s="1"/>
  <c r="AO202" i="1" s="1"/>
  <c r="AK203" i="1"/>
  <c r="AN203" i="1" s="1"/>
  <c r="AO203" i="1" s="1"/>
  <c r="AK204" i="1"/>
  <c r="AN204" i="1" s="1"/>
  <c r="AO204" i="1" s="1"/>
  <c r="AK205" i="1"/>
  <c r="AN205" i="1" s="1"/>
  <c r="AO205" i="1" s="1"/>
  <c r="AK206" i="1"/>
  <c r="AN206" i="1" s="1"/>
  <c r="AO206" i="1" s="1"/>
  <c r="AK207" i="1"/>
  <c r="AN207" i="1" s="1"/>
  <c r="AO207" i="1" s="1"/>
  <c r="AK208" i="1"/>
  <c r="AN208" i="1" s="1"/>
  <c r="AO208" i="1" s="1"/>
  <c r="AK209" i="1"/>
  <c r="AN209" i="1" s="1"/>
  <c r="AO209" i="1" s="1"/>
  <c r="AK210" i="1"/>
  <c r="AN210" i="1" s="1"/>
  <c r="AO210" i="1" s="1"/>
  <c r="AK211" i="1"/>
  <c r="AN211" i="1" s="1"/>
  <c r="AO211" i="1" s="1"/>
  <c r="AK212" i="1"/>
  <c r="AN212" i="1" s="1"/>
  <c r="AO212" i="1" s="1"/>
  <c r="AK213" i="1"/>
  <c r="AN213" i="1" s="1"/>
  <c r="AO213" i="1" s="1"/>
  <c r="AK214" i="1"/>
  <c r="AN214" i="1" s="1"/>
  <c r="AO214" i="1" s="1"/>
  <c r="AK215" i="1"/>
  <c r="AN215" i="1" s="1"/>
  <c r="AO215" i="1" s="1"/>
  <c r="AK216" i="1"/>
  <c r="AN216" i="1" s="1"/>
  <c r="AO216" i="1" s="1"/>
  <c r="AK217" i="1"/>
  <c r="AN217" i="1" s="1"/>
  <c r="AO217" i="1" s="1"/>
  <c r="AK218" i="1"/>
  <c r="AN218" i="1" s="1"/>
  <c r="AO218" i="1" s="1"/>
  <c r="AK219" i="1"/>
  <c r="AN219" i="1" s="1"/>
  <c r="AO219" i="1" s="1"/>
  <c r="AK220" i="1"/>
  <c r="AN220" i="1" s="1"/>
  <c r="AO220" i="1" s="1"/>
  <c r="AK221" i="1"/>
  <c r="AN221" i="1" s="1"/>
  <c r="AO221" i="1" s="1"/>
  <c r="AK222" i="1"/>
  <c r="AN222" i="1" s="1"/>
  <c r="AO222" i="1" s="1"/>
  <c r="AK223" i="1"/>
  <c r="AN223" i="1" s="1"/>
  <c r="AO223" i="1" s="1"/>
  <c r="AK224" i="1"/>
  <c r="AN224" i="1" s="1"/>
  <c r="AO224" i="1" s="1"/>
  <c r="AK225" i="1"/>
  <c r="AN225" i="1" s="1"/>
  <c r="AO225" i="1" s="1"/>
  <c r="AK226" i="1"/>
  <c r="AN226" i="1" s="1"/>
  <c r="AO226" i="1" s="1"/>
  <c r="AK227" i="1"/>
  <c r="AN227" i="1" s="1"/>
  <c r="AO227" i="1" s="1"/>
  <c r="AK228" i="1"/>
  <c r="AN228" i="1" s="1"/>
  <c r="AO228" i="1" s="1"/>
  <c r="AK229" i="1"/>
  <c r="AN229" i="1" s="1"/>
  <c r="AO229" i="1" s="1"/>
  <c r="AK230" i="1"/>
  <c r="AN230" i="1" s="1"/>
  <c r="AO230" i="1" s="1"/>
  <c r="AK231" i="1"/>
  <c r="AN231" i="1" s="1"/>
  <c r="AO231" i="1" s="1"/>
  <c r="AK232" i="1"/>
  <c r="AN232" i="1" s="1"/>
  <c r="AO232" i="1" s="1"/>
  <c r="AK233" i="1"/>
  <c r="AN233" i="1" s="1"/>
  <c r="AO233" i="1" s="1"/>
  <c r="AK234" i="1"/>
  <c r="AN234" i="1" s="1"/>
  <c r="AO234" i="1" s="1"/>
  <c r="AK235" i="1"/>
  <c r="AN235" i="1" s="1"/>
  <c r="AO235" i="1" s="1"/>
  <c r="AK236" i="1"/>
  <c r="AN236" i="1" s="1"/>
  <c r="AO236" i="1" s="1"/>
  <c r="AK237" i="1"/>
  <c r="AN237" i="1" s="1"/>
  <c r="AO237" i="1" s="1"/>
  <c r="AK238" i="1"/>
  <c r="AN238" i="1" s="1"/>
  <c r="AO238" i="1" s="1"/>
  <c r="AK239" i="1"/>
  <c r="AN239" i="1" s="1"/>
  <c r="AO239" i="1" s="1"/>
  <c r="AK240" i="1"/>
  <c r="AN240" i="1" s="1"/>
  <c r="AO240" i="1" s="1"/>
  <c r="AK241" i="1"/>
  <c r="AN241" i="1" s="1"/>
  <c r="AO241" i="1" s="1"/>
  <c r="AK242" i="1"/>
  <c r="AN242" i="1" s="1"/>
  <c r="AO242" i="1" s="1"/>
  <c r="AK243" i="1"/>
  <c r="AN243" i="1" s="1"/>
  <c r="AO243" i="1" s="1"/>
  <c r="AK244" i="1"/>
  <c r="AN244" i="1" s="1"/>
  <c r="AO244" i="1" s="1"/>
  <c r="AK245" i="1"/>
  <c r="AN245" i="1" s="1"/>
  <c r="AO245" i="1" s="1"/>
  <c r="AK246" i="1"/>
  <c r="AN246" i="1" s="1"/>
  <c r="AO246" i="1" s="1"/>
  <c r="AK247" i="1"/>
  <c r="AN247" i="1" s="1"/>
  <c r="AO247" i="1" s="1"/>
  <c r="AK248" i="1"/>
  <c r="AN248" i="1" s="1"/>
  <c r="AO248" i="1" s="1"/>
  <c r="AK249" i="1"/>
  <c r="AN249" i="1" s="1"/>
  <c r="AO249" i="1" s="1"/>
  <c r="AK250" i="1"/>
  <c r="AN250" i="1" s="1"/>
  <c r="AO250" i="1" s="1"/>
  <c r="AK251" i="1"/>
  <c r="AN251" i="1" s="1"/>
  <c r="AO251" i="1" s="1"/>
  <c r="AK252" i="1"/>
  <c r="AN252" i="1" s="1"/>
  <c r="AO252" i="1" s="1"/>
  <c r="AK253" i="1"/>
  <c r="AN253" i="1" s="1"/>
  <c r="AO253" i="1" s="1"/>
  <c r="AK254" i="1"/>
  <c r="AN254" i="1" s="1"/>
  <c r="AO254" i="1" s="1"/>
  <c r="AK255" i="1"/>
  <c r="AN255" i="1" s="1"/>
  <c r="AO255" i="1" s="1"/>
  <c r="AK256" i="1"/>
  <c r="AN256" i="1" s="1"/>
  <c r="AO256" i="1" s="1"/>
  <c r="AK257" i="1"/>
  <c r="AN257" i="1" s="1"/>
  <c r="AO257" i="1" s="1"/>
  <c r="AK258" i="1"/>
  <c r="AN258" i="1" s="1"/>
  <c r="AO258" i="1" s="1"/>
  <c r="AK259" i="1"/>
  <c r="AN259" i="1" s="1"/>
  <c r="AO259" i="1" s="1"/>
  <c r="AK260" i="1"/>
  <c r="AN260" i="1" s="1"/>
  <c r="AO260" i="1" s="1"/>
  <c r="AK261" i="1"/>
  <c r="AN261" i="1" s="1"/>
  <c r="AO261" i="1" s="1"/>
  <c r="AK262" i="1"/>
  <c r="AN262" i="1" s="1"/>
  <c r="AO262" i="1" s="1"/>
  <c r="AK263" i="1"/>
  <c r="AN263" i="1" s="1"/>
  <c r="AO263" i="1" s="1"/>
  <c r="AK264" i="1"/>
  <c r="AN264" i="1" s="1"/>
  <c r="AO264" i="1" s="1"/>
  <c r="AK265" i="1"/>
  <c r="AN265" i="1" s="1"/>
  <c r="AO265" i="1" s="1"/>
  <c r="AK266" i="1"/>
  <c r="AN266" i="1" s="1"/>
  <c r="AO266" i="1" s="1"/>
  <c r="AK267" i="1"/>
  <c r="AN267" i="1" s="1"/>
  <c r="AO267" i="1" s="1"/>
  <c r="AK268" i="1"/>
  <c r="AN268" i="1" s="1"/>
  <c r="AO268" i="1" s="1"/>
  <c r="AK269" i="1"/>
  <c r="AN269" i="1" s="1"/>
  <c r="AO269" i="1" s="1"/>
  <c r="AK270" i="1"/>
  <c r="AN270" i="1" s="1"/>
  <c r="AO270" i="1" s="1"/>
  <c r="AK271" i="1"/>
  <c r="AN271" i="1" s="1"/>
  <c r="AO271" i="1" s="1"/>
  <c r="AK272" i="1"/>
  <c r="AN272" i="1" s="1"/>
  <c r="AO272" i="1" s="1"/>
  <c r="AK273" i="1"/>
  <c r="AN273" i="1" s="1"/>
  <c r="AO273" i="1" s="1"/>
  <c r="AK274" i="1"/>
  <c r="AN274" i="1" s="1"/>
  <c r="AO274" i="1" s="1"/>
  <c r="AK275" i="1"/>
  <c r="AN275" i="1" s="1"/>
  <c r="AO275" i="1" s="1"/>
  <c r="AK276" i="1"/>
  <c r="AN276" i="1" s="1"/>
  <c r="AO276" i="1" s="1"/>
  <c r="AK277" i="1"/>
  <c r="AN277" i="1" s="1"/>
  <c r="AO277" i="1" s="1"/>
  <c r="AK278" i="1"/>
  <c r="AN278" i="1" s="1"/>
  <c r="AO278" i="1" s="1"/>
  <c r="AK279" i="1"/>
  <c r="AN279" i="1" s="1"/>
  <c r="AO279" i="1" s="1"/>
  <c r="AK280" i="1"/>
  <c r="AN280" i="1" s="1"/>
  <c r="AO280" i="1" s="1"/>
  <c r="AK281" i="1"/>
  <c r="AN281" i="1" s="1"/>
  <c r="AO281" i="1" s="1"/>
  <c r="AK282" i="1"/>
  <c r="AN282" i="1" s="1"/>
  <c r="AO282" i="1" s="1"/>
  <c r="AK283" i="1"/>
  <c r="AN283" i="1" s="1"/>
  <c r="AO283" i="1" s="1"/>
  <c r="AK284" i="1"/>
  <c r="AN284" i="1" s="1"/>
  <c r="AO284" i="1" s="1"/>
  <c r="AK285" i="1"/>
  <c r="AN285" i="1" s="1"/>
  <c r="AO285" i="1" s="1"/>
  <c r="AK286" i="1"/>
  <c r="AN286" i="1" s="1"/>
  <c r="AO286" i="1" s="1"/>
  <c r="AK287" i="1"/>
  <c r="AN287" i="1" s="1"/>
  <c r="AO287" i="1" s="1"/>
  <c r="AK288" i="1"/>
  <c r="AN288" i="1" s="1"/>
  <c r="AO288" i="1" s="1"/>
  <c r="AK289" i="1"/>
  <c r="AN289" i="1" s="1"/>
  <c r="AO289" i="1" s="1"/>
  <c r="AK290" i="1"/>
  <c r="AN290" i="1" s="1"/>
  <c r="AO290" i="1" s="1"/>
  <c r="AK291" i="1"/>
  <c r="AN291" i="1" s="1"/>
  <c r="AO291" i="1" s="1"/>
  <c r="AK292" i="1"/>
  <c r="AN292" i="1" s="1"/>
  <c r="AO292" i="1" s="1"/>
  <c r="AK293" i="1"/>
  <c r="AN293" i="1" s="1"/>
  <c r="AO293" i="1" s="1"/>
  <c r="AK294" i="1"/>
  <c r="AN294" i="1" s="1"/>
  <c r="AO294" i="1" s="1"/>
  <c r="AK295" i="1"/>
  <c r="AN295" i="1" s="1"/>
  <c r="AO295" i="1" s="1"/>
  <c r="AK296" i="1"/>
  <c r="AN296" i="1" s="1"/>
  <c r="AO296" i="1" s="1"/>
  <c r="AK297" i="1"/>
  <c r="AN297" i="1" s="1"/>
  <c r="AO297" i="1" s="1"/>
  <c r="AK298" i="1"/>
  <c r="AN298" i="1" s="1"/>
  <c r="AO298" i="1" s="1"/>
  <c r="AK299" i="1"/>
  <c r="AN299" i="1" s="1"/>
  <c r="AO299" i="1" s="1"/>
  <c r="AK300" i="1"/>
  <c r="AN300" i="1" s="1"/>
  <c r="AO300" i="1" s="1"/>
  <c r="AK301" i="1"/>
  <c r="AN301" i="1" s="1"/>
  <c r="AO301" i="1" s="1"/>
  <c r="AK302" i="1"/>
  <c r="AN302" i="1" s="1"/>
  <c r="AO302" i="1" s="1"/>
  <c r="AK303" i="1"/>
  <c r="AN303" i="1" s="1"/>
  <c r="AO303" i="1" s="1"/>
  <c r="AK304" i="1"/>
  <c r="AN304" i="1" s="1"/>
  <c r="AO304" i="1" s="1"/>
  <c r="AK305" i="1"/>
  <c r="AN305" i="1" s="1"/>
  <c r="AO305" i="1" s="1"/>
  <c r="AK306" i="1"/>
  <c r="AN306" i="1" s="1"/>
  <c r="AO306" i="1" s="1"/>
  <c r="AK307" i="1"/>
  <c r="AN307" i="1" s="1"/>
  <c r="AO307" i="1" s="1"/>
  <c r="AK308" i="1"/>
  <c r="AN308" i="1" s="1"/>
  <c r="AO308" i="1" s="1"/>
  <c r="AK309" i="1"/>
  <c r="AN309" i="1" s="1"/>
  <c r="AO309" i="1" s="1"/>
  <c r="AK310" i="1"/>
  <c r="AN310" i="1" s="1"/>
  <c r="AO310" i="1" s="1"/>
  <c r="AK311" i="1"/>
  <c r="AN311" i="1" s="1"/>
  <c r="AO311" i="1" s="1"/>
  <c r="AK312" i="1"/>
  <c r="AN312" i="1" s="1"/>
  <c r="AO312" i="1" s="1"/>
  <c r="AK313" i="1"/>
  <c r="AN313" i="1" s="1"/>
  <c r="AO313" i="1" s="1"/>
  <c r="AK315" i="1"/>
  <c r="AN315" i="1" s="1"/>
  <c r="AO315" i="1" s="1"/>
  <c r="AK316" i="1"/>
  <c r="AN316" i="1" s="1"/>
  <c r="AO316" i="1" s="1"/>
  <c r="AK317" i="1"/>
  <c r="AN317" i="1" s="1"/>
  <c r="AO317" i="1" s="1"/>
  <c r="AK318" i="1"/>
  <c r="AN318" i="1" s="1"/>
  <c r="AO318" i="1" s="1"/>
  <c r="AK319" i="1"/>
  <c r="AN319" i="1" s="1"/>
  <c r="AO319" i="1" s="1"/>
  <c r="AK320" i="1"/>
  <c r="AN320" i="1" s="1"/>
  <c r="AO320" i="1" s="1"/>
  <c r="AK321" i="1"/>
  <c r="AN321" i="1" s="1"/>
  <c r="AO321" i="1" s="1"/>
  <c r="AK322" i="1"/>
  <c r="AN322" i="1" s="1"/>
  <c r="AO322" i="1" s="1"/>
  <c r="AK323" i="1"/>
  <c r="AN323" i="1" s="1"/>
  <c r="AO323" i="1" s="1"/>
  <c r="AK324" i="1"/>
  <c r="AN324" i="1" s="1"/>
  <c r="AO324" i="1" s="1"/>
  <c r="AK325" i="1"/>
  <c r="AN325" i="1" s="1"/>
  <c r="AO325" i="1" s="1"/>
  <c r="AK326" i="1"/>
  <c r="AN326" i="1" s="1"/>
  <c r="AO326" i="1" s="1"/>
  <c r="AK327" i="1"/>
  <c r="AN327" i="1" s="1"/>
  <c r="AO327" i="1" s="1"/>
  <c r="AK328" i="1"/>
  <c r="AN328" i="1" s="1"/>
  <c r="AO328" i="1" s="1"/>
  <c r="AK329" i="1"/>
  <c r="AN329" i="1" s="1"/>
  <c r="AO329" i="1" s="1"/>
  <c r="AK330" i="1"/>
  <c r="AN330" i="1" s="1"/>
  <c r="AO330" i="1" s="1"/>
  <c r="AK331" i="1"/>
  <c r="AN331" i="1" s="1"/>
  <c r="AO331" i="1" s="1"/>
  <c r="AK332" i="1"/>
  <c r="AN332" i="1" s="1"/>
  <c r="AO332" i="1" s="1"/>
  <c r="AK333" i="1"/>
  <c r="AN333" i="1" s="1"/>
  <c r="AO333" i="1" s="1"/>
  <c r="AK334" i="1"/>
  <c r="AN334" i="1" s="1"/>
  <c r="AO334" i="1" s="1"/>
  <c r="AK335" i="1"/>
  <c r="AN335" i="1" s="1"/>
  <c r="AO335" i="1" s="1"/>
  <c r="AK336" i="1"/>
  <c r="AN336" i="1" s="1"/>
  <c r="AO336" i="1" s="1"/>
  <c r="AK337" i="1"/>
  <c r="AN337" i="1" s="1"/>
  <c r="AO337" i="1" s="1"/>
  <c r="AK338" i="1"/>
  <c r="AN338" i="1" s="1"/>
  <c r="AO338" i="1" s="1"/>
  <c r="AK339" i="1"/>
  <c r="AN339" i="1" s="1"/>
  <c r="AO339" i="1" s="1"/>
  <c r="AK340" i="1"/>
  <c r="AN340" i="1" s="1"/>
  <c r="AO340" i="1" s="1"/>
  <c r="AK341" i="1"/>
  <c r="AN341" i="1" s="1"/>
  <c r="AO341" i="1" s="1"/>
  <c r="AK342" i="1"/>
  <c r="AN342" i="1" s="1"/>
  <c r="AO342" i="1" s="1"/>
  <c r="AK343" i="1"/>
  <c r="AN343" i="1" s="1"/>
  <c r="AO343" i="1" s="1"/>
  <c r="AK344" i="1"/>
  <c r="AN344" i="1" s="1"/>
  <c r="AO344" i="1" s="1"/>
  <c r="AK345" i="1"/>
  <c r="AN345" i="1" s="1"/>
  <c r="AO345" i="1" s="1"/>
  <c r="AK346" i="1"/>
  <c r="AN346" i="1" s="1"/>
  <c r="AO346" i="1" s="1"/>
  <c r="AK347" i="1"/>
  <c r="AN347" i="1" s="1"/>
  <c r="AO347" i="1" s="1"/>
  <c r="AK348" i="1"/>
  <c r="AN348" i="1" s="1"/>
  <c r="AO348" i="1" s="1"/>
  <c r="AK349" i="1"/>
  <c r="AN349" i="1" s="1"/>
  <c r="AO349" i="1" s="1"/>
  <c r="AK350" i="1"/>
  <c r="AN350" i="1" s="1"/>
  <c r="AO350" i="1" s="1"/>
  <c r="AK351" i="1"/>
  <c r="AN351" i="1" s="1"/>
  <c r="AO351" i="1" s="1"/>
  <c r="AK352" i="1"/>
  <c r="AN352" i="1" s="1"/>
  <c r="AO352" i="1" s="1"/>
  <c r="AK353" i="1"/>
  <c r="AN353" i="1" s="1"/>
  <c r="AO353" i="1" s="1"/>
  <c r="AK354" i="1"/>
  <c r="AN354" i="1" s="1"/>
  <c r="AO354" i="1" s="1"/>
  <c r="AK355" i="1"/>
  <c r="AN355" i="1" s="1"/>
  <c r="AO355" i="1" s="1"/>
  <c r="AK356" i="1"/>
  <c r="AN356" i="1" s="1"/>
  <c r="AO356" i="1" s="1"/>
  <c r="AK357" i="1"/>
  <c r="AN357" i="1" s="1"/>
  <c r="AO357" i="1" s="1"/>
  <c r="AK358" i="1"/>
  <c r="AN358" i="1" s="1"/>
  <c r="AO358" i="1" s="1"/>
  <c r="AK359" i="1"/>
  <c r="AN359" i="1" s="1"/>
  <c r="AO359" i="1" s="1"/>
  <c r="AK360" i="1"/>
  <c r="AN360" i="1" s="1"/>
  <c r="AO360" i="1" s="1"/>
  <c r="AK361" i="1"/>
  <c r="AN361" i="1" s="1"/>
  <c r="AO361" i="1" s="1"/>
  <c r="AK362" i="1"/>
  <c r="AN362" i="1" s="1"/>
  <c r="AO362" i="1" s="1"/>
  <c r="AK363" i="1"/>
  <c r="AN363" i="1" s="1"/>
  <c r="AO363" i="1" s="1"/>
  <c r="AK364" i="1"/>
  <c r="AN364" i="1" s="1"/>
  <c r="AO364" i="1" s="1"/>
  <c r="AK365" i="1"/>
  <c r="AN365" i="1" s="1"/>
  <c r="AO365" i="1" s="1"/>
  <c r="AK366" i="1"/>
  <c r="AN366" i="1" s="1"/>
  <c r="AO366" i="1" s="1"/>
  <c r="AK368" i="1"/>
  <c r="AN368" i="1" s="1"/>
  <c r="AO368" i="1" s="1"/>
  <c r="AK369" i="1"/>
  <c r="AN369" i="1" s="1"/>
  <c r="AO369" i="1" s="1"/>
  <c r="AK370" i="1"/>
  <c r="AN370" i="1" s="1"/>
  <c r="AO370" i="1" s="1"/>
  <c r="AK371" i="1"/>
  <c r="AN371" i="1" s="1"/>
  <c r="AO371" i="1" s="1"/>
  <c r="AK372" i="1"/>
  <c r="AN372" i="1" s="1"/>
  <c r="AO372" i="1" s="1"/>
  <c r="AK374" i="1"/>
  <c r="AN374" i="1" s="1"/>
  <c r="AO374" i="1" s="1"/>
  <c r="AK375" i="1"/>
  <c r="AN375" i="1" s="1"/>
  <c r="AO375" i="1" s="1"/>
  <c r="AK376" i="1"/>
  <c r="AN376" i="1" s="1"/>
  <c r="AO376" i="1" s="1"/>
  <c r="AK377" i="1"/>
  <c r="AN377" i="1" s="1"/>
  <c r="AO377" i="1" s="1"/>
  <c r="AK378" i="1"/>
  <c r="AN378" i="1" s="1"/>
  <c r="AO378" i="1" s="1"/>
  <c r="AK379" i="1"/>
  <c r="AN379" i="1" s="1"/>
  <c r="AO379" i="1" s="1"/>
  <c r="AK380" i="1"/>
  <c r="AN380" i="1" s="1"/>
  <c r="AO380" i="1" s="1"/>
  <c r="AK382" i="1"/>
  <c r="AN382" i="1" s="1"/>
  <c r="AO382" i="1" s="1"/>
  <c r="AK383" i="1"/>
  <c r="AN383" i="1" s="1"/>
  <c r="AO383" i="1" s="1"/>
  <c r="AK384" i="1"/>
  <c r="AN384" i="1" s="1"/>
  <c r="AO384" i="1" s="1"/>
  <c r="AK385" i="1"/>
  <c r="AN385" i="1" s="1"/>
  <c r="AO385" i="1" s="1"/>
  <c r="AK386" i="1"/>
  <c r="AN386" i="1" s="1"/>
  <c r="AO386" i="1" s="1"/>
  <c r="AK387" i="1"/>
  <c r="AN387" i="1" s="1"/>
  <c r="AO387" i="1" s="1"/>
  <c r="AK388" i="1"/>
  <c r="AN388" i="1" s="1"/>
  <c r="AO388" i="1" s="1"/>
  <c r="AK389" i="1"/>
  <c r="AN389" i="1" s="1"/>
  <c r="AO389" i="1" s="1"/>
  <c r="AK390" i="1"/>
  <c r="AN390" i="1" s="1"/>
  <c r="AO390" i="1" s="1"/>
  <c r="AK391" i="1"/>
  <c r="AN391" i="1" s="1"/>
  <c r="AO391" i="1" s="1"/>
  <c r="AK392" i="1"/>
  <c r="AN392" i="1" s="1"/>
  <c r="AO392" i="1" s="1"/>
  <c r="AK393" i="1"/>
  <c r="AN393" i="1" s="1"/>
  <c r="AO393" i="1" s="1"/>
  <c r="AK394" i="1"/>
  <c r="AN394" i="1" s="1"/>
  <c r="AO394" i="1" s="1"/>
  <c r="AK395" i="1"/>
  <c r="AN395" i="1" s="1"/>
  <c r="AO395" i="1" s="1"/>
  <c r="AK396" i="1"/>
  <c r="AN396" i="1" s="1"/>
  <c r="AO396" i="1" s="1"/>
  <c r="AK397" i="1"/>
  <c r="AN397" i="1" s="1"/>
  <c r="AO397" i="1" s="1"/>
  <c r="AK398" i="1"/>
  <c r="AN398" i="1" s="1"/>
  <c r="AO398" i="1" s="1"/>
  <c r="AK399" i="1"/>
  <c r="AN399" i="1" s="1"/>
  <c r="AO399" i="1" s="1"/>
  <c r="AK400" i="1"/>
  <c r="AN400" i="1" s="1"/>
  <c r="AO400" i="1" s="1"/>
  <c r="AK401" i="1"/>
  <c r="AN401" i="1" s="1"/>
  <c r="AO401" i="1" s="1"/>
  <c r="AK402" i="1"/>
  <c r="AN402" i="1" s="1"/>
  <c r="AO402" i="1" s="1"/>
  <c r="AK403" i="1"/>
  <c r="AN403" i="1" s="1"/>
  <c r="AO403" i="1" s="1"/>
  <c r="AK404" i="1"/>
  <c r="AN404" i="1" s="1"/>
  <c r="AO404" i="1" s="1"/>
  <c r="AK405" i="1"/>
  <c r="AN405" i="1" s="1"/>
  <c r="AO405" i="1" s="1"/>
  <c r="AK406" i="1"/>
  <c r="AN406" i="1" s="1"/>
  <c r="AO406" i="1" s="1"/>
  <c r="AK407" i="1"/>
  <c r="AN407" i="1" s="1"/>
  <c r="AO407" i="1" s="1"/>
  <c r="AK408" i="1"/>
  <c r="AN408" i="1" s="1"/>
  <c r="AO408" i="1" s="1"/>
  <c r="AK409" i="1"/>
  <c r="AN409" i="1" s="1"/>
  <c r="AO409" i="1" s="1"/>
  <c r="AK410" i="1"/>
  <c r="AN410" i="1" s="1"/>
  <c r="AO410" i="1" s="1"/>
  <c r="AK411" i="1"/>
  <c r="AN411" i="1" s="1"/>
  <c r="AO411" i="1" s="1"/>
  <c r="AK412" i="1"/>
  <c r="AN412" i="1" s="1"/>
  <c r="AO412" i="1" s="1"/>
  <c r="AK413" i="1"/>
  <c r="AN413" i="1" s="1"/>
  <c r="AO413" i="1" s="1"/>
  <c r="AK414" i="1"/>
  <c r="AN414" i="1" s="1"/>
  <c r="AO414" i="1" s="1"/>
  <c r="AK415" i="1"/>
  <c r="AN415" i="1" s="1"/>
  <c r="AO415" i="1" s="1"/>
  <c r="AK416" i="1"/>
  <c r="AN416" i="1" s="1"/>
  <c r="AO416" i="1" s="1"/>
  <c r="AK417" i="1"/>
  <c r="AN417" i="1" s="1"/>
  <c r="AO417" i="1" s="1"/>
  <c r="AK418" i="1"/>
  <c r="AN418" i="1" s="1"/>
  <c r="AO418" i="1" s="1"/>
  <c r="AK419" i="1"/>
  <c r="AN419" i="1" s="1"/>
  <c r="AO419" i="1" s="1"/>
  <c r="AK420" i="1"/>
  <c r="AN420" i="1" s="1"/>
  <c r="AO420" i="1" s="1"/>
  <c r="AK421" i="1"/>
  <c r="AN421" i="1" s="1"/>
  <c r="AO421" i="1" s="1"/>
  <c r="AK422" i="1"/>
  <c r="AN422" i="1" s="1"/>
  <c r="AO422" i="1" s="1"/>
  <c r="AK423" i="1"/>
  <c r="AN423" i="1" s="1"/>
  <c r="AO423" i="1" s="1"/>
  <c r="AK424" i="1"/>
  <c r="AN424" i="1" s="1"/>
  <c r="AO424" i="1" s="1"/>
  <c r="AK425" i="1"/>
  <c r="AN425" i="1" s="1"/>
  <c r="AO425" i="1" s="1"/>
  <c r="AK426" i="1"/>
  <c r="AN426" i="1" s="1"/>
  <c r="AO426" i="1" s="1"/>
  <c r="AK427" i="1"/>
  <c r="AN427" i="1" s="1"/>
  <c r="AO427" i="1" s="1"/>
  <c r="AK428" i="1"/>
  <c r="AN428" i="1" s="1"/>
  <c r="AO428" i="1" s="1"/>
  <c r="AK429" i="1"/>
  <c r="AN429" i="1" s="1"/>
  <c r="AO429" i="1" s="1"/>
  <c r="AK430" i="1"/>
  <c r="AN430" i="1" s="1"/>
  <c r="AO430" i="1" s="1"/>
  <c r="AK431" i="1"/>
  <c r="AN431" i="1" s="1"/>
  <c r="AO431" i="1" s="1"/>
  <c r="AK432" i="1"/>
  <c r="AN432" i="1" s="1"/>
  <c r="AO432" i="1" s="1"/>
  <c r="AK433" i="1"/>
  <c r="AN433" i="1" s="1"/>
  <c r="AO433" i="1" s="1"/>
  <c r="AK434" i="1"/>
  <c r="AN434" i="1" s="1"/>
  <c r="AO434" i="1" s="1"/>
  <c r="AK435" i="1"/>
  <c r="AN435" i="1" s="1"/>
  <c r="AO435" i="1" s="1"/>
  <c r="AK436" i="1"/>
  <c r="AN436" i="1" s="1"/>
  <c r="AO436" i="1" s="1"/>
  <c r="AK437" i="1"/>
  <c r="AN437" i="1" s="1"/>
  <c r="AO437" i="1" s="1"/>
  <c r="AK438" i="1"/>
  <c r="AN438" i="1" s="1"/>
  <c r="AO438" i="1" s="1"/>
  <c r="AK439" i="1"/>
  <c r="AN439" i="1" s="1"/>
  <c r="AO439" i="1" s="1"/>
  <c r="AK440" i="1"/>
  <c r="AN440" i="1" s="1"/>
  <c r="AO440" i="1" s="1"/>
  <c r="AK441" i="1"/>
  <c r="AN441" i="1" s="1"/>
  <c r="AO441" i="1" s="1"/>
  <c r="AK442" i="1"/>
  <c r="AN442" i="1" s="1"/>
  <c r="AO442" i="1" s="1"/>
  <c r="AK443" i="1"/>
  <c r="AN443" i="1" s="1"/>
  <c r="AO443" i="1" s="1"/>
  <c r="AK444" i="1"/>
  <c r="AN444" i="1" s="1"/>
  <c r="AO444" i="1" s="1"/>
  <c r="AK445" i="1"/>
  <c r="AN445" i="1" s="1"/>
  <c r="AO445" i="1" s="1"/>
  <c r="AK446" i="1"/>
  <c r="AN446" i="1" s="1"/>
  <c r="AO446" i="1" s="1"/>
  <c r="AK447" i="1"/>
  <c r="AN447" i="1" s="1"/>
  <c r="AO447" i="1" s="1"/>
  <c r="AK448" i="1"/>
  <c r="AN448" i="1" s="1"/>
  <c r="AO448" i="1" s="1"/>
  <c r="AK449" i="1"/>
  <c r="AN449" i="1" s="1"/>
  <c r="AO449" i="1" s="1"/>
  <c r="AK450" i="1"/>
  <c r="AN450" i="1" s="1"/>
  <c r="AO450" i="1" s="1"/>
  <c r="AK451" i="1"/>
  <c r="AN451" i="1" s="1"/>
  <c r="AO451" i="1" s="1"/>
  <c r="AK452" i="1"/>
  <c r="AN452" i="1" s="1"/>
  <c r="AO452" i="1" s="1"/>
  <c r="AK453" i="1"/>
  <c r="AN453" i="1" s="1"/>
  <c r="AO453" i="1" s="1"/>
  <c r="AK454" i="1"/>
  <c r="AN454" i="1" s="1"/>
  <c r="AO454" i="1" s="1"/>
  <c r="AK455" i="1"/>
  <c r="AN455" i="1" s="1"/>
  <c r="AO455" i="1" s="1"/>
  <c r="AK456" i="1"/>
  <c r="AN456" i="1" s="1"/>
  <c r="AO456" i="1" s="1"/>
  <c r="AK457" i="1"/>
  <c r="AN457" i="1" s="1"/>
  <c r="AO457" i="1" s="1"/>
  <c r="AK458" i="1"/>
  <c r="AN458" i="1" s="1"/>
  <c r="AO458" i="1" s="1"/>
  <c r="AK459" i="1"/>
  <c r="AN459" i="1" s="1"/>
  <c r="AO459" i="1" s="1"/>
  <c r="AK460" i="1"/>
  <c r="AN460" i="1" s="1"/>
  <c r="AO460" i="1" s="1"/>
  <c r="AK461" i="1"/>
  <c r="AN461" i="1" s="1"/>
  <c r="AO461" i="1" s="1"/>
  <c r="AK462" i="1"/>
  <c r="AN462" i="1" s="1"/>
  <c r="AO462" i="1" s="1"/>
  <c r="AK463" i="1"/>
  <c r="AN463" i="1" s="1"/>
  <c r="AO463" i="1" s="1"/>
  <c r="AK464" i="1"/>
  <c r="AN464" i="1" s="1"/>
  <c r="AO464" i="1" s="1"/>
  <c r="AK465" i="1"/>
  <c r="AN465" i="1" s="1"/>
  <c r="AO465" i="1" s="1"/>
  <c r="AK466" i="1"/>
  <c r="AN466" i="1" s="1"/>
  <c r="AO466" i="1" s="1"/>
  <c r="AK467" i="1"/>
  <c r="AN467" i="1" s="1"/>
  <c r="AO467" i="1" s="1"/>
  <c r="AK468" i="1"/>
  <c r="AN468" i="1" s="1"/>
  <c r="AO468" i="1" s="1"/>
  <c r="AK469" i="1"/>
  <c r="AN469" i="1" s="1"/>
  <c r="AO469" i="1" s="1"/>
  <c r="AK470" i="1"/>
  <c r="AN470" i="1" s="1"/>
  <c r="AO470" i="1" s="1"/>
  <c r="AK471" i="1"/>
  <c r="AN471" i="1" s="1"/>
  <c r="AO471" i="1" s="1"/>
  <c r="AK472" i="1"/>
  <c r="AN472" i="1" s="1"/>
  <c r="AO472" i="1" s="1"/>
  <c r="AK473" i="1"/>
  <c r="AN473" i="1" s="1"/>
  <c r="AO473" i="1" s="1"/>
  <c r="AK474" i="1"/>
  <c r="AN474" i="1" s="1"/>
  <c r="AO474" i="1" s="1"/>
  <c r="AK475" i="1"/>
  <c r="AN475" i="1" s="1"/>
  <c r="AO475" i="1" s="1"/>
  <c r="AK476" i="1"/>
  <c r="AN476" i="1" s="1"/>
  <c r="AO476" i="1" s="1"/>
  <c r="AK477" i="1"/>
  <c r="AN477" i="1" s="1"/>
  <c r="AO477" i="1" s="1"/>
  <c r="AK478" i="1"/>
  <c r="AN478" i="1" s="1"/>
  <c r="AO478" i="1" s="1"/>
  <c r="AK479" i="1"/>
  <c r="AN479" i="1" s="1"/>
  <c r="AO479" i="1" s="1"/>
  <c r="AK480" i="1"/>
  <c r="AN480" i="1" s="1"/>
  <c r="AO480" i="1" s="1"/>
  <c r="AK482" i="1"/>
  <c r="AN482" i="1" s="1"/>
  <c r="AO482" i="1" s="1"/>
  <c r="AK483" i="1"/>
  <c r="AN483" i="1" s="1"/>
  <c r="AO483" i="1" s="1"/>
  <c r="AK484" i="1"/>
  <c r="AN484" i="1" s="1"/>
  <c r="AO484" i="1" s="1"/>
  <c r="AK485" i="1"/>
  <c r="AN485" i="1" s="1"/>
  <c r="AO485" i="1" s="1"/>
  <c r="AK486" i="1"/>
  <c r="AN486" i="1" s="1"/>
  <c r="AO486" i="1" s="1"/>
  <c r="AK487" i="1"/>
  <c r="AN487" i="1" s="1"/>
  <c r="AO487" i="1" s="1"/>
  <c r="AK488" i="1"/>
  <c r="AN488" i="1" s="1"/>
  <c r="AO488" i="1" s="1"/>
  <c r="AK489" i="1"/>
  <c r="AN489" i="1" s="1"/>
  <c r="AO489" i="1" s="1"/>
  <c r="AK490" i="1"/>
  <c r="AN490" i="1" s="1"/>
  <c r="AO490" i="1" s="1"/>
  <c r="AK491" i="1"/>
  <c r="AN491" i="1" s="1"/>
  <c r="AO491" i="1" s="1"/>
  <c r="AK492" i="1"/>
  <c r="AN492" i="1" s="1"/>
  <c r="AO492" i="1" s="1"/>
  <c r="AK493" i="1"/>
  <c r="AN493" i="1" s="1"/>
  <c r="AO493" i="1" s="1"/>
  <c r="AK494" i="1"/>
  <c r="AN494" i="1" s="1"/>
  <c r="AO494" i="1" s="1"/>
  <c r="AK495" i="1"/>
  <c r="AN495" i="1" s="1"/>
  <c r="AO495" i="1" s="1"/>
  <c r="AK496" i="1"/>
  <c r="AN496" i="1" s="1"/>
  <c r="AO496" i="1" s="1"/>
  <c r="AK497" i="1"/>
  <c r="AN497" i="1" s="1"/>
  <c r="AO497" i="1" s="1"/>
  <c r="AK498" i="1"/>
  <c r="AN498" i="1" s="1"/>
  <c r="AO498" i="1" s="1"/>
  <c r="AK499" i="1"/>
  <c r="AN499" i="1" s="1"/>
  <c r="AO499" i="1" s="1"/>
  <c r="AK500" i="1"/>
  <c r="AN500" i="1" s="1"/>
  <c r="AO500" i="1" s="1"/>
  <c r="AK502" i="1"/>
  <c r="AN502" i="1" s="1"/>
  <c r="AO502" i="1" s="1"/>
  <c r="AK503" i="1"/>
  <c r="AN503" i="1" s="1"/>
  <c r="AO503" i="1" s="1"/>
  <c r="AK504" i="1"/>
  <c r="AN504" i="1" s="1"/>
  <c r="AO504" i="1" s="1"/>
  <c r="AK505" i="1"/>
  <c r="AN505" i="1" s="1"/>
  <c r="AO505" i="1" s="1"/>
  <c r="AK506" i="1"/>
  <c r="AN506" i="1" s="1"/>
  <c r="AO506" i="1" s="1"/>
  <c r="AK507" i="1"/>
  <c r="AN507" i="1" s="1"/>
  <c r="AO507" i="1" s="1"/>
  <c r="AK508" i="1"/>
  <c r="AN508" i="1" s="1"/>
  <c r="AO508" i="1" s="1"/>
  <c r="AK509" i="1"/>
  <c r="AN509" i="1" s="1"/>
  <c r="AO509" i="1" s="1"/>
  <c r="AK510" i="1"/>
  <c r="AN510" i="1" s="1"/>
  <c r="AO510" i="1" s="1"/>
  <c r="AK511" i="1"/>
  <c r="AN511" i="1" s="1"/>
  <c r="AO511" i="1" s="1"/>
  <c r="AK512" i="1"/>
  <c r="AN512" i="1" s="1"/>
  <c r="AO512" i="1" s="1"/>
  <c r="AK513" i="1"/>
  <c r="AN513" i="1" s="1"/>
  <c r="AO513" i="1" s="1"/>
  <c r="AK514" i="1"/>
  <c r="AN514" i="1" s="1"/>
  <c r="AO514" i="1" s="1"/>
  <c r="AK515" i="1"/>
  <c r="AN515" i="1" s="1"/>
  <c r="AO515" i="1" s="1"/>
  <c r="AK516" i="1"/>
  <c r="AN516" i="1" s="1"/>
  <c r="AO516" i="1" s="1"/>
  <c r="AK517" i="1"/>
  <c r="AN517" i="1" s="1"/>
  <c r="AO517" i="1" s="1"/>
  <c r="AK518" i="1"/>
  <c r="AN518" i="1" s="1"/>
  <c r="AO518" i="1" s="1"/>
  <c r="AK519" i="1"/>
  <c r="AN519" i="1" s="1"/>
  <c r="AO519" i="1" s="1"/>
  <c r="AK520" i="1"/>
  <c r="AN520" i="1" s="1"/>
  <c r="AO520" i="1" s="1"/>
  <c r="AK521" i="1"/>
  <c r="AN521" i="1" s="1"/>
  <c r="AO521" i="1" s="1"/>
  <c r="AK522" i="1"/>
  <c r="AN522" i="1" s="1"/>
  <c r="AO522" i="1" s="1"/>
  <c r="AK523" i="1"/>
  <c r="AN523" i="1" s="1"/>
  <c r="AO523" i="1" s="1"/>
  <c r="AK524" i="1"/>
  <c r="AN524" i="1" s="1"/>
  <c r="AO524" i="1" s="1"/>
  <c r="AK525" i="1"/>
  <c r="AN525" i="1" s="1"/>
  <c r="AO525" i="1" s="1"/>
  <c r="AK526" i="1"/>
  <c r="AN526" i="1" s="1"/>
  <c r="AO526" i="1" s="1"/>
  <c r="AK527" i="1"/>
  <c r="AN527" i="1" s="1"/>
  <c r="AO527" i="1" s="1"/>
  <c r="AK529" i="1"/>
  <c r="AN529" i="1" s="1"/>
  <c r="AO529" i="1" s="1"/>
  <c r="AK530" i="1"/>
  <c r="AN530" i="1" s="1"/>
  <c r="AO530" i="1" s="1"/>
  <c r="AK531" i="1"/>
  <c r="AN531" i="1" s="1"/>
  <c r="AO531" i="1" s="1"/>
  <c r="AK532" i="1"/>
  <c r="AN532" i="1" s="1"/>
  <c r="AO532" i="1" s="1"/>
  <c r="AK533" i="1"/>
  <c r="AN533" i="1" s="1"/>
  <c r="AO533" i="1" s="1"/>
  <c r="AK534" i="1"/>
  <c r="AN534" i="1" s="1"/>
  <c r="AO534" i="1" s="1"/>
  <c r="AK535" i="1"/>
  <c r="AN535" i="1" s="1"/>
  <c r="AO535" i="1" s="1"/>
  <c r="AK536" i="1"/>
  <c r="AN536" i="1" s="1"/>
  <c r="AO536" i="1" s="1"/>
  <c r="AK537" i="1"/>
  <c r="AN537" i="1" s="1"/>
  <c r="AO537" i="1" s="1"/>
  <c r="AK538" i="1"/>
  <c r="AN538" i="1" s="1"/>
  <c r="AO538" i="1" s="1"/>
  <c r="AK539" i="1"/>
  <c r="AN539" i="1" s="1"/>
  <c r="AO539" i="1" s="1"/>
  <c r="AK540" i="1"/>
  <c r="AN540" i="1" s="1"/>
  <c r="AO540" i="1" s="1"/>
  <c r="AK541" i="1"/>
  <c r="AN541" i="1" s="1"/>
  <c r="AO541" i="1" s="1"/>
  <c r="AK542" i="1"/>
  <c r="AN542" i="1" s="1"/>
  <c r="AO542" i="1" s="1"/>
  <c r="AK543" i="1"/>
  <c r="AN543" i="1" s="1"/>
  <c r="AO543" i="1" s="1"/>
  <c r="AK544" i="1"/>
  <c r="AN544" i="1" s="1"/>
  <c r="AO544" i="1" s="1"/>
  <c r="AK545" i="1"/>
  <c r="AN545" i="1" s="1"/>
  <c r="AO545" i="1" s="1"/>
  <c r="AK546" i="1"/>
  <c r="AN546" i="1" s="1"/>
  <c r="AO546" i="1" s="1"/>
  <c r="AK547" i="1"/>
  <c r="AN547" i="1" s="1"/>
  <c r="AO547" i="1" s="1"/>
  <c r="AK548" i="1"/>
  <c r="AN548" i="1" s="1"/>
  <c r="AO548" i="1" s="1"/>
  <c r="AK549" i="1"/>
  <c r="AN549" i="1" s="1"/>
  <c r="AO549" i="1" s="1"/>
  <c r="AK550" i="1"/>
  <c r="AN550" i="1" s="1"/>
  <c r="AO550" i="1" s="1"/>
  <c r="AK551" i="1"/>
  <c r="AN551" i="1" s="1"/>
  <c r="AO551" i="1" s="1"/>
  <c r="AK552" i="1"/>
  <c r="AN552" i="1" s="1"/>
  <c r="AO552" i="1" s="1"/>
  <c r="AK553" i="1"/>
  <c r="AN553" i="1" s="1"/>
  <c r="AO553" i="1" s="1"/>
  <c r="AK554" i="1"/>
  <c r="AN554" i="1" s="1"/>
  <c r="AO554" i="1" s="1"/>
  <c r="AK555" i="1"/>
  <c r="AN555" i="1" s="1"/>
  <c r="AO555" i="1" s="1"/>
  <c r="AK556" i="1"/>
  <c r="AN556" i="1" s="1"/>
  <c r="AO556" i="1" s="1"/>
  <c r="AK557" i="1"/>
  <c r="AN557" i="1" s="1"/>
  <c r="AO557" i="1" s="1"/>
  <c r="AK558" i="1"/>
  <c r="AN558" i="1" s="1"/>
  <c r="AO558" i="1" s="1"/>
  <c r="AK559" i="1"/>
  <c r="AN559" i="1" s="1"/>
  <c r="AO559" i="1" s="1"/>
  <c r="AK560" i="1"/>
  <c r="AN560" i="1" s="1"/>
  <c r="AO560" i="1" s="1"/>
  <c r="AK561" i="1"/>
  <c r="AN561" i="1" s="1"/>
  <c r="AO561" i="1" s="1"/>
  <c r="AK562" i="1"/>
  <c r="AN562" i="1" s="1"/>
  <c r="AO562" i="1" s="1"/>
  <c r="AK563" i="1"/>
  <c r="AN563" i="1" s="1"/>
  <c r="AO563" i="1" s="1"/>
  <c r="AK564" i="1"/>
  <c r="AN564" i="1" s="1"/>
  <c r="AO564" i="1" s="1"/>
  <c r="AK565" i="1"/>
  <c r="AN565" i="1" s="1"/>
  <c r="AO565" i="1" s="1"/>
  <c r="AK566" i="1"/>
  <c r="AN566" i="1" s="1"/>
  <c r="AO566" i="1" s="1"/>
  <c r="AK567" i="1"/>
  <c r="AN567" i="1" s="1"/>
  <c r="AO567" i="1" s="1"/>
  <c r="AK568" i="1"/>
  <c r="AN568" i="1" s="1"/>
  <c r="AO568" i="1" s="1"/>
  <c r="AK569" i="1"/>
  <c r="AN569" i="1" s="1"/>
  <c r="AO569" i="1" s="1"/>
  <c r="AK570" i="1"/>
  <c r="AN570" i="1" s="1"/>
  <c r="AO570" i="1" s="1"/>
  <c r="AK571" i="1"/>
  <c r="AN571" i="1" s="1"/>
  <c r="AO571" i="1" s="1"/>
  <c r="AK572" i="1"/>
  <c r="AN572" i="1" s="1"/>
  <c r="AO572" i="1" s="1"/>
  <c r="AK573" i="1"/>
  <c r="AN573" i="1" s="1"/>
  <c r="AO573" i="1" s="1"/>
  <c r="AK574" i="1"/>
  <c r="AN574" i="1" s="1"/>
  <c r="AO574" i="1" s="1"/>
  <c r="AK575" i="1"/>
  <c r="AN575" i="1" s="1"/>
  <c r="AO575" i="1" s="1"/>
  <c r="AK576" i="1"/>
  <c r="AN576" i="1" s="1"/>
  <c r="AO576" i="1" s="1"/>
  <c r="AK577" i="1"/>
  <c r="AN577" i="1" s="1"/>
  <c r="AO577" i="1" s="1"/>
  <c r="AK578" i="1"/>
  <c r="AN578" i="1" s="1"/>
  <c r="AO578" i="1" s="1"/>
  <c r="AK579" i="1"/>
  <c r="AN579" i="1" s="1"/>
  <c r="AO579" i="1" s="1"/>
  <c r="AK580" i="1"/>
  <c r="AN580" i="1" s="1"/>
  <c r="AO580" i="1" s="1"/>
  <c r="AK581" i="1"/>
  <c r="AN581" i="1" s="1"/>
  <c r="AO581" i="1" s="1"/>
  <c r="AK582" i="1"/>
  <c r="AN582" i="1" s="1"/>
  <c r="AO582" i="1" s="1"/>
  <c r="AK583" i="1"/>
  <c r="AN583" i="1" s="1"/>
  <c r="AO583" i="1" s="1"/>
  <c r="AK584" i="1"/>
  <c r="AN584" i="1" s="1"/>
  <c r="AO584" i="1" s="1"/>
  <c r="AK585" i="1"/>
  <c r="AN585" i="1" s="1"/>
  <c r="AO585" i="1" s="1"/>
  <c r="AK586" i="1"/>
  <c r="AN586" i="1" s="1"/>
  <c r="AO586" i="1" s="1"/>
  <c r="AK587" i="1"/>
  <c r="AN587" i="1" s="1"/>
  <c r="AO587" i="1" s="1"/>
  <c r="AK588" i="1"/>
  <c r="AN588" i="1" s="1"/>
  <c r="AO588" i="1" s="1"/>
  <c r="AK589" i="1"/>
  <c r="AN589" i="1" s="1"/>
  <c r="AO589" i="1" s="1"/>
  <c r="AK590" i="1"/>
  <c r="AN590" i="1" s="1"/>
  <c r="AO590" i="1" s="1"/>
  <c r="AK591" i="1"/>
  <c r="AN591" i="1" s="1"/>
  <c r="AO591" i="1" s="1"/>
  <c r="AK592" i="1"/>
  <c r="AN592" i="1" s="1"/>
  <c r="AO592" i="1" s="1"/>
  <c r="AK593" i="1"/>
  <c r="AN593" i="1" s="1"/>
  <c r="AO593" i="1" s="1"/>
  <c r="AK594" i="1"/>
  <c r="AN594" i="1" s="1"/>
  <c r="AO594" i="1" s="1"/>
  <c r="AK595" i="1"/>
  <c r="AN595" i="1" s="1"/>
  <c r="AO595" i="1" s="1"/>
  <c r="AK596" i="1"/>
  <c r="AN596" i="1" s="1"/>
  <c r="AO596" i="1" s="1"/>
  <c r="AK597" i="1"/>
  <c r="AN597" i="1" s="1"/>
  <c r="AO597" i="1" s="1"/>
  <c r="AK598" i="1"/>
  <c r="AN598" i="1" s="1"/>
  <c r="AO598" i="1" s="1"/>
  <c r="AK599" i="1"/>
  <c r="AN599" i="1" s="1"/>
  <c r="AO599" i="1" s="1"/>
  <c r="AK600" i="1"/>
  <c r="AN600" i="1" s="1"/>
  <c r="AO600" i="1" s="1"/>
  <c r="AK601" i="1"/>
  <c r="AN601" i="1" s="1"/>
  <c r="AO601" i="1" s="1"/>
  <c r="AK603" i="1"/>
  <c r="AN603" i="1" s="1"/>
  <c r="AO603" i="1" s="1"/>
  <c r="AK604" i="1"/>
  <c r="AN604" i="1" s="1"/>
  <c r="AO604" i="1" s="1"/>
  <c r="AK605" i="1"/>
  <c r="AN605" i="1" s="1"/>
  <c r="AO605" i="1" s="1"/>
  <c r="AK606" i="1"/>
  <c r="AN606" i="1" s="1"/>
  <c r="AO606" i="1" s="1"/>
  <c r="AK607" i="1"/>
  <c r="AN607" i="1" s="1"/>
  <c r="AO607" i="1" s="1"/>
  <c r="AK608" i="1"/>
  <c r="AN608" i="1" s="1"/>
  <c r="AO608" i="1" s="1"/>
  <c r="AK609" i="1"/>
  <c r="AN609" i="1" s="1"/>
  <c r="AO609" i="1" s="1"/>
  <c r="AK610" i="1"/>
  <c r="AN610" i="1" s="1"/>
  <c r="AO610" i="1" s="1"/>
  <c r="AK611" i="1"/>
  <c r="AN611" i="1" s="1"/>
  <c r="AO611" i="1" s="1"/>
  <c r="AK612" i="1"/>
  <c r="AN612" i="1" s="1"/>
  <c r="AO612" i="1" s="1"/>
  <c r="AK613" i="1"/>
  <c r="AN613" i="1" s="1"/>
  <c r="AO613" i="1" s="1"/>
  <c r="AK614" i="1"/>
  <c r="AN614" i="1" s="1"/>
  <c r="AO614" i="1" s="1"/>
  <c r="AK615" i="1"/>
  <c r="AN615" i="1" s="1"/>
  <c r="AO615" i="1" s="1"/>
  <c r="AK616" i="1"/>
  <c r="AN616" i="1" s="1"/>
  <c r="AO616" i="1" s="1"/>
  <c r="AK617" i="1"/>
  <c r="AN617" i="1" s="1"/>
  <c r="AO617" i="1" s="1"/>
  <c r="AK618" i="1"/>
  <c r="AN618" i="1" s="1"/>
  <c r="AO618" i="1" s="1"/>
  <c r="AK619" i="1"/>
  <c r="AN619" i="1" s="1"/>
  <c r="AO619" i="1" s="1"/>
  <c r="AK620" i="1"/>
  <c r="AN620" i="1" s="1"/>
  <c r="AO620" i="1" s="1"/>
  <c r="AK621" i="1"/>
  <c r="AN621" i="1" s="1"/>
  <c r="AO621" i="1" s="1"/>
  <c r="AK622" i="1"/>
  <c r="AN622" i="1" s="1"/>
  <c r="AO622" i="1" s="1"/>
  <c r="AK624" i="1"/>
  <c r="AN624" i="1" s="1"/>
  <c r="AO624" i="1" s="1"/>
  <c r="AK625" i="1"/>
  <c r="AN625" i="1" s="1"/>
  <c r="AO625" i="1" s="1"/>
  <c r="AK626" i="1"/>
  <c r="AN626" i="1" s="1"/>
  <c r="AO626" i="1" s="1"/>
  <c r="AK627" i="1"/>
  <c r="AN627" i="1" s="1"/>
  <c r="AO627" i="1" s="1"/>
  <c r="AK628" i="1"/>
  <c r="AN628" i="1" s="1"/>
  <c r="AO628" i="1" s="1"/>
  <c r="AK629" i="1"/>
  <c r="AN629" i="1" s="1"/>
  <c r="AO629" i="1" s="1"/>
  <c r="AK630" i="1"/>
  <c r="AN630" i="1" s="1"/>
  <c r="AO630" i="1" s="1"/>
  <c r="AK631" i="1"/>
  <c r="AN631" i="1" s="1"/>
  <c r="AO631" i="1" s="1"/>
  <c r="AK632" i="1"/>
  <c r="AN632" i="1" s="1"/>
  <c r="AO632" i="1" s="1"/>
  <c r="AK633" i="1"/>
  <c r="AN633" i="1" s="1"/>
  <c r="AO633" i="1" s="1"/>
  <c r="AK634" i="1"/>
  <c r="AN634" i="1" s="1"/>
  <c r="AO634" i="1" s="1"/>
  <c r="AK635" i="1"/>
  <c r="AN635" i="1" s="1"/>
  <c r="AO635" i="1" s="1"/>
  <c r="AK636" i="1"/>
  <c r="AN636" i="1" s="1"/>
  <c r="AO636" i="1" s="1"/>
  <c r="AK637" i="1"/>
  <c r="AN637" i="1" s="1"/>
  <c r="AO637" i="1" s="1"/>
  <c r="AK638" i="1"/>
  <c r="AN638" i="1" s="1"/>
  <c r="AO638" i="1" s="1"/>
  <c r="AK639" i="1"/>
  <c r="AN639" i="1" s="1"/>
  <c r="AO639" i="1" s="1"/>
  <c r="AK640" i="1"/>
  <c r="AN640" i="1" s="1"/>
  <c r="AO640" i="1" s="1"/>
  <c r="AK641" i="1"/>
  <c r="AN641" i="1" s="1"/>
  <c r="AO641" i="1" s="1"/>
  <c r="AK642" i="1"/>
  <c r="AN642" i="1" s="1"/>
  <c r="AO642" i="1" s="1"/>
  <c r="AK643" i="1"/>
  <c r="AN643" i="1" s="1"/>
  <c r="AO643" i="1" s="1"/>
  <c r="AK644" i="1"/>
  <c r="AN644" i="1" s="1"/>
  <c r="AO644" i="1" s="1"/>
  <c r="AK645" i="1"/>
  <c r="AN645" i="1" s="1"/>
  <c r="AO645" i="1" s="1"/>
  <c r="AK646" i="1"/>
  <c r="AN646" i="1" s="1"/>
  <c r="AO646" i="1" s="1"/>
  <c r="AK647" i="1"/>
  <c r="AN647" i="1" s="1"/>
  <c r="AO647" i="1" s="1"/>
  <c r="AK648" i="1"/>
  <c r="AN648" i="1" s="1"/>
  <c r="AO648" i="1" s="1"/>
  <c r="AK649" i="1"/>
  <c r="AN649" i="1" s="1"/>
  <c r="AO649" i="1" s="1"/>
  <c r="AK650" i="1"/>
  <c r="AN650" i="1" s="1"/>
  <c r="AO650" i="1" s="1"/>
  <c r="AK651" i="1"/>
  <c r="AN651" i="1" s="1"/>
  <c r="AO651" i="1" s="1"/>
  <c r="AK652" i="1"/>
  <c r="AN652" i="1" s="1"/>
  <c r="AO652" i="1" s="1"/>
  <c r="AK653" i="1"/>
  <c r="AN653" i="1" s="1"/>
  <c r="AO653" i="1" s="1"/>
  <c r="AK654" i="1"/>
  <c r="AN654" i="1" s="1"/>
  <c r="AO654" i="1" s="1"/>
  <c r="AK655" i="1"/>
  <c r="AN655" i="1" s="1"/>
  <c r="AO655" i="1" s="1"/>
  <c r="AK656" i="1"/>
  <c r="AN656" i="1" s="1"/>
  <c r="AO656" i="1" s="1"/>
  <c r="AK657" i="1"/>
  <c r="AN657" i="1" s="1"/>
  <c r="AO657" i="1" s="1"/>
  <c r="AK658" i="1"/>
  <c r="AN658" i="1" s="1"/>
  <c r="AO658" i="1" s="1"/>
  <c r="AK659" i="1"/>
  <c r="AN659" i="1" s="1"/>
  <c r="AO659" i="1" s="1"/>
  <c r="AK660" i="1"/>
  <c r="AN660" i="1" s="1"/>
  <c r="AO660" i="1" s="1"/>
  <c r="AK661" i="1"/>
  <c r="AN661" i="1" s="1"/>
  <c r="AO661" i="1" s="1"/>
  <c r="AK662" i="1"/>
  <c r="AN662" i="1" s="1"/>
  <c r="AO662" i="1" s="1"/>
  <c r="AK663" i="1"/>
  <c r="AN663" i="1" s="1"/>
  <c r="AO663" i="1" s="1"/>
  <c r="AK664" i="1"/>
  <c r="AN664" i="1" s="1"/>
  <c r="AO664" i="1" s="1"/>
  <c r="AK665" i="1"/>
  <c r="AN665" i="1" s="1"/>
  <c r="AO665" i="1" s="1"/>
  <c r="AK666" i="1"/>
  <c r="AN666" i="1" s="1"/>
  <c r="AO666" i="1" s="1"/>
  <c r="AK667" i="1"/>
  <c r="AN667" i="1" s="1"/>
  <c r="AO667" i="1" s="1"/>
  <c r="AK668" i="1"/>
  <c r="AN668" i="1" s="1"/>
  <c r="AO668" i="1" s="1"/>
  <c r="AK669" i="1"/>
  <c r="AN669" i="1" s="1"/>
  <c r="AO669" i="1" s="1"/>
  <c r="AK670" i="1"/>
  <c r="AN670" i="1" s="1"/>
  <c r="AO670" i="1" s="1"/>
  <c r="AK671" i="1"/>
  <c r="AN671" i="1" s="1"/>
  <c r="AO671" i="1" s="1"/>
  <c r="AK672" i="1"/>
  <c r="AN672" i="1" s="1"/>
  <c r="AO672" i="1" s="1"/>
  <c r="AK673" i="1"/>
  <c r="AN673" i="1" s="1"/>
  <c r="AO673" i="1" s="1"/>
  <c r="AK674" i="1"/>
  <c r="AN674" i="1" s="1"/>
  <c r="AO674" i="1" s="1"/>
  <c r="AK675" i="1"/>
  <c r="AN675" i="1" s="1"/>
  <c r="AO675" i="1" s="1"/>
  <c r="AK676" i="1"/>
  <c r="AN676" i="1" s="1"/>
  <c r="AO676" i="1" s="1"/>
  <c r="AK677" i="1"/>
  <c r="AN677" i="1" s="1"/>
  <c r="AO677" i="1" s="1"/>
  <c r="AK678" i="1"/>
  <c r="AN678" i="1" s="1"/>
  <c r="AO678" i="1" s="1"/>
  <c r="AK679" i="1"/>
  <c r="AN679" i="1" s="1"/>
  <c r="AO679" i="1" s="1"/>
  <c r="AK680" i="1"/>
  <c r="AN680" i="1" s="1"/>
  <c r="AO680" i="1" s="1"/>
  <c r="AK681" i="1"/>
  <c r="AN681" i="1" s="1"/>
  <c r="AO681" i="1" s="1"/>
  <c r="AK682" i="1"/>
  <c r="AN682" i="1" s="1"/>
  <c r="AO682" i="1" s="1"/>
  <c r="AK683" i="1"/>
  <c r="AN683" i="1" s="1"/>
  <c r="AO683" i="1" s="1"/>
  <c r="AK685" i="1"/>
  <c r="AN685" i="1" s="1"/>
  <c r="AO685" i="1" s="1"/>
  <c r="AK686" i="1"/>
  <c r="AN686" i="1" s="1"/>
  <c r="AO686" i="1" s="1"/>
  <c r="AK687" i="1"/>
  <c r="AN687" i="1" s="1"/>
  <c r="AO687" i="1" s="1"/>
  <c r="AK688" i="1"/>
  <c r="AN688" i="1" s="1"/>
  <c r="AO688" i="1" s="1"/>
  <c r="AK689" i="1"/>
  <c r="AN689" i="1" s="1"/>
  <c r="AO689" i="1" s="1"/>
  <c r="AK690" i="1"/>
  <c r="AN690" i="1" s="1"/>
  <c r="AO690" i="1" s="1"/>
  <c r="AK691" i="1"/>
  <c r="AN691" i="1" s="1"/>
  <c r="AO691" i="1" s="1"/>
  <c r="AK692" i="1"/>
  <c r="AN692" i="1" s="1"/>
  <c r="AO692" i="1" s="1"/>
  <c r="AK693" i="1"/>
  <c r="AN693" i="1" s="1"/>
  <c r="AO693" i="1" s="1"/>
  <c r="AK694" i="1"/>
  <c r="AN694" i="1" s="1"/>
  <c r="AO694" i="1" s="1"/>
  <c r="AK695" i="1"/>
  <c r="AN695" i="1" s="1"/>
  <c r="AO695" i="1" s="1"/>
  <c r="AK696" i="1"/>
  <c r="AN696" i="1" s="1"/>
  <c r="AO696" i="1" s="1"/>
  <c r="AK697" i="1"/>
  <c r="AN697" i="1" s="1"/>
  <c r="AO697" i="1" s="1"/>
  <c r="AK698" i="1"/>
  <c r="AN698" i="1" s="1"/>
  <c r="AO698" i="1" s="1"/>
  <c r="AK700" i="1"/>
  <c r="AN700" i="1" s="1"/>
  <c r="AO700" i="1" s="1"/>
  <c r="AK701" i="1"/>
  <c r="AN701" i="1" s="1"/>
  <c r="AO701" i="1" s="1"/>
  <c r="AK702" i="1"/>
  <c r="AN702" i="1" s="1"/>
  <c r="AO702" i="1" s="1"/>
  <c r="AK703" i="1"/>
  <c r="AN703" i="1" s="1"/>
  <c r="AO703" i="1" s="1"/>
  <c r="AK704" i="1"/>
  <c r="AN704" i="1" s="1"/>
  <c r="AO704" i="1" s="1"/>
  <c r="AK705" i="1"/>
  <c r="AN705" i="1" s="1"/>
  <c r="AO705" i="1" s="1"/>
  <c r="AK706" i="1"/>
  <c r="AN706" i="1" s="1"/>
  <c r="AO706" i="1" s="1"/>
  <c r="AK707" i="1"/>
  <c r="AN707" i="1" s="1"/>
  <c r="AO707" i="1" s="1"/>
  <c r="AK708" i="1"/>
  <c r="AN708" i="1" s="1"/>
  <c r="AO708" i="1" s="1"/>
  <c r="AK709" i="1"/>
  <c r="AN709" i="1" s="1"/>
  <c r="AO709" i="1" s="1"/>
  <c r="AK710" i="1"/>
  <c r="AN710" i="1" s="1"/>
  <c r="AO710" i="1" s="1"/>
  <c r="AK711" i="1"/>
  <c r="AN711" i="1" s="1"/>
  <c r="AO711" i="1" s="1"/>
  <c r="AK712" i="1"/>
  <c r="AN712" i="1" s="1"/>
  <c r="AO712" i="1" s="1"/>
  <c r="AK713" i="1"/>
  <c r="AN713" i="1" s="1"/>
  <c r="AO713" i="1" s="1"/>
  <c r="AK714" i="1"/>
  <c r="AN714" i="1" s="1"/>
  <c r="AO714" i="1" s="1"/>
  <c r="AK715" i="1"/>
  <c r="AN715" i="1" s="1"/>
  <c r="AO715" i="1" s="1"/>
  <c r="AK716" i="1"/>
  <c r="AN716" i="1" s="1"/>
  <c r="AO716" i="1" s="1"/>
  <c r="AK717" i="1"/>
  <c r="AN717" i="1" s="1"/>
  <c r="AO717" i="1" s="1"/>
  <c r="AK718" i="1"/>
  <c r="AN718" i="1" s="1"/>
  <c r="AO718" i="1" s="1"/>
  <c r="AK719" i="1"/>
  <c r="AN719" i="1" s="1"/>
  <c r="AO719" i="1" s="1"/>
  <c r="AK720" i="1"/>
  <c r="AN720" i="1" s="1"/>
  <c r="AO720" i="1" s="1"/>
  <c r="AK721" i="1"/>
  <c r="AN721" i="1" s="1"/>
  <c r="AO721" i="1" s="1"/>
  <c r="AK722" i="1"/>
  <c r="AN722" i="1" s="1"/>
  <c r="AO722" i="1" s="1"/>
  <c r="AK723" i="1"/>
  <c r="AN723" i="1" s="1"/>
  <c r="AO723" i="1" s="1"/>
  <c r="AK725" i="1"/>
  <c r="AN725" i="1" s="1"/>
  <c r="AO725" i="1" s="1"/>
  <c r="AK726" i="1"/>
  <c r="AN726" i="1" s="1"/>
  <c r="AO726" i="1" s="1"/>
  <c r="AK727" i="1"/>
  <c r="AN727" i="1" s="1"/>
  <c r="AO727" i="1" s="1"/>
  <c r="AK728" i="1"/>
  <c r="AN728" i="1" s="1"/>
  <c r="AO728" i="1" s="1"/>
  <c r="AK729" i="1"/>
  <c r="AN729" i="1" s="1"/>
  <c r="AO729" i="1" s="1"/>
  <c r="AK730" i="1"/>
  <c r="AN730" i="1" s="1"/>
  <c r="AO730" i="1" s="1"/>
  <c r="AK731" i="1"/>
  <c r="AN731" i="1" s="1"/>
  <c r="AO731" i="1" s="1"/>
  <c r="AK732" i="1"/>
  <c r="AN732" i="1" s="1"/>
  <c r="AO732" i="1" s="1"/>
  <c r="AK733" i="1"/>
  <c r="AN733" i="1" s="1"/>
  <c r="AO733" i="1" s="1"/>
  <c r="AK734" i="1"/>
  <c r="AN734" i="1" s="1"/>
  <c r="AO734" i="1" s="1"/>
  <c r="AK735" i="1"/>
  <c r="AN735" i="1" s="1"/>
  <c r="AO735" i="1" s="1"/>
  <c r="AK736" i="1"/>
  <c r="AN736" i="1" s="1"/>
  <c r="AO736" i="1" s="1"/>
  <c r="AK737" i="1"/>
  <c r="AN737" i="1" s="1"/>
  <c r="AO737" i="1" s="1"/>
  <c r="AK738" i="1"/>
  <c r="AN738" i="1" s="1"/>
  <c r="AO738" i="1" s="1"/>
  <c r="AK739" i="1"/>
  <c r="AN739" i="1" s="1"/>
  <c r="AO739" i="1" s="1"/>
  <c r="AK740" i="1"/>
  <c r="AN740" i="1" s="1"/>
  <c r="AO740" i="1" s="1"/>
  <c r="AK741" i="1"/>
  <c r="AN741" i="1" s="1"/>
  <c r="AO741" i="1" s="1"/>
  <c r="AK742" i="1"/>
  <c r="AN742" i="1" s="1"/>
  <c r="AO742" i="1" s="1"/>
  <c r="AK744" i="1"/>
  <c r="AN744" i="1" s="1"/>
  <c r="AO744" i="1" s="1"/>
  <c r="AK745" i="1"/>
  <c r="AN745" i="1" s="1"/>
  <c r="AO745" i="1" s="1"/>
  <c r="AK746" i="1"/>
  <c r="AN746" i="1" s="1"/>
  <c r="AO746" i="1" s="1"/>
  <c r="AK747" i="1"/>
  <c r="AN747" i="1" s="1"/>
  <c r="AO747" i="1" s="1"/>
  <c r="AK748" i="1"/>
  <c r="AN748" i="1" s="1"/>
  <c r="AO748" i="1" s="1"/>
  <c r="AK749" i="1"/>
  <c r="AN749" i="1" s="1"/>
  <c r="AO749" i="1" s="1"/>
  <c r="AK750" i="1"/>
  <c r="AN750" i="1" s="1"/>
  <c r="AO750" i="1" s="1"/>
  <c r="AK751" i="1"/>
  <c r="AN751" i="1" s="1"/>
  <c r="AO751" i="1" s="1"/>
  <c r="AK752" i="1"/>
  <c r="AN752" i="1" s="1"/>
  <c r="AO752" i="1" s="1"/>
  <c r="AK753" i="1"/>
  <c r="AN753" i="1" s="1"/>
  <c r="AO753" i="1" s="1"/>
  <c r="AK754" i="1"/>
  <c r="AN754" i="1" s="1"/>
  <c r="AO754" i="1" s="1"/>
  <c r="AK755" i="1"/>
  <c r="AN755" i="1" s="1"/>
  <c r="AO755" i="1" s="1"/>
  <c r="AK756" i="1"/>
  <c r="AN756" i="1" s="1"/>
  <c r="AO756" i="1" s="1"/>
  <c r="AK757" i="1"/>
  <c r="AN757" i="1" s="1"/>
  <c r="AO757" i="1" s="1"/>
  <c r="AK758" i="1"/>
  <c r="AN758" i="1" s="1"/>
  <c r="AO758" i="1" s="1"/>
  <c r="AK759" i="1"/>
  <c r="AN759" i="1" s="1"/>
  <c r="AO759" i="1" s="1"/>
  <c r="AK760" i="1"/>
  <c r="AN760" i="1" s="1"/>
  <c r="AO760" i="1" s="1"/>
  <c r="AK761" i="1"/>
  <c r="AN761" i="1" s="1"/>
  <c r="AO761" i="1" s="1"/>
  <c r="AK762" i="1"/>
  <c r="AN762" i="1" s="1"/>
  <c r="AO762" i="1" s="1"/>
  <c r="AK763" i="1"/>
  <c r="AN763" i="1" s="1"/>
  <c r="AO763" i="1" s="1"/>
  <c r="AK764" i="1"/>
  <c r="AN764" i="1" s="1"/>
  <c r="AO764" i="1" s="1"/>
  <c r="AK765" i="1"/>
  <c r="AN765" i="1" s="1"/>
  <c r="AO765" i="1" s="1"/>
  <c r="AK766" i="1"/>
  <c r="AN766" i="1" s="1"/>
  <c r="AO766" i="1" s="1"/>
  <c r="AK767" i="1"/>
  <c r="AN767" i="1" s="1"/>
  <c r="AO767" i="1" s="1"/>
  <c r="AK768" i="1"/>
  <c r="AN768" i="1" s="1"/>
  <c r="AO768" i="1" s="1"/>
  <c r="AK769" i="1"/>
  <c r="AN769" i="1" s="1"/>
  <c r="AO769" i="1" s="1"/>
  <c r="AK770" i="1"/>
  <c r="AN770" i="1" s="1"/>
  <c r="AO770" i="1" s="1"/>
  <c r="AK771" i="1"/>
  <c r="AN771" i="1" s="1"/>
  <c r="AO771" i="1" s="1"/>
  <c r="AK774" i="1"/>
  <c r="AN774" i="1" s="1"/>
  <c r="AO774" i="1" s="1"/>
  <c r="AK775" i="1"/>
  <c r="AN775" i="1" s="1"/>
  <c r="AO775" i="1" s="1"/>
  <c r="AK776" i="1"/>
  <c r="AN776" i="1" s="1"/>
  <c r="AO776" i="1" s="1"/>
  <c r="AK777" i="1"/>
  <c r="AN777" i="1" s="1"/>
  <c r="AO777" i="1" s="1"/>
  <c r="AK778" i="1"/>
  <c r="AN778" i="1" s="1"/>
  <c r="AO778" i="1" s="1"/>
  <c r="AK779" i="1"/>
  <c r="AN779" i="1" s="1"/>
  <c r="AO779" i="1" s="1"/>
  <c r="AK780" i="1"/>
  <c r="AN780" i="1" s="1"/>
  <c r="AO780" i="1" s="1"/>
  <c r="AK781" i="1"/>
  <c r="AN781" i="1" s="1"/>
  <c r="AO781" i="1" s="1"/>
  <c r="AK782" i="1"/>
  <c r="AN782" i="1" s="1"/>
  <c r="AO782" i="1" s="1"/>
  <c r="AK783" i="1"/>
  <c r="AN783" i="1" s="1"/>
  <c r="AO783" i="1" s="1"/>
  <c r="AK784" i="1"/>
  <c r="AN784" i="1" s="1"/>
  <c r="AO784" i="1" s="1"/>
  <c r="AK785" i="1"/>
  <c r="AN785" i="1" s="1"/>
  <c r="AO785" i="1" s="1"/>
  <c r="AK786" i="1"/>
  <c r="AN786" i="1" s="1"/>
  <c r="AO786" i="1" s="1"/>
  <c r="AK787" i="1"/>
  <c r="AN787" i="1" s="1"/>
  <c r="AO787" i="1" s="1"/>
  <c r="AK788" i="1"/>
  <c r="AN788" i="1" s="1"/>
  <c r="AO788" i="1" s="1"/>
  <c r="AK789" i="1"/>
  <c r="AN789" i="1" s="1"/>
  <c r="AO789" i="1" s="1"/>
  <c r="AK790" i="1"/>
  <c r="AN790" i="1" s="1"/>
  <c r="AO790" i="1" s="1"/>
  <c r="AK791" i="1"/>
  <c r="AN791" i="1" s="1"/>
  <c r="AO791" i="1" s="1"/>
  <c r="AK792" i="1"/>
  <c r="AN792" i="1" s="1"/>
  <c r="AO792" i="1" s="1"/>
  <c r="AK793" i="1"/>
  <c r="AN793" i="1" s="1"/>
  <c r="AO793" i="1" s="1"/>
  <c r="AK794" i="1"/>
  <c r="AN794" i="1" s="1"/>
  <c r="AO794" i="1" s="1"/>
  <c r="AK795" i="1"/>
  <c r="AN795" i="1" s="1"/>
  <c r="AO795" i="1" s="1"/>
  <c r="AK796" i="1"/>
  <c r="AN796" i="1" s="1"/>
  <c r="AO796" i="1" s="1"/>
  <c r="AK797" i="1"/>
  <c r="AN797" i="1" s="1"/>
  <c r="AO797" i="1" s="1"/>
  <c r="AK798" i="1"/>
  <c r="AN798" i="1" s="1"/>
  <c r="AO798" i="1" s="1"/>
  <c r="AK799" i="1"/>
  <c r="AN799" i="1" s="1"/>
  <c r="AO799" i="1" s="1"/>
  <c r="AK800" i="1"/>
  <c r="AN800" i="1" s="1"/>
  <c r="AO800" i="1" s="1"/>
  <c r="AK801" i="1"/>
  <c r="AN801" i="1" s="1"/>
  <c r="AO801" i="1" s="1"/>
  <c r="AK802" i="1"/>
  <c r="AN802" i="1" s="1"/>
  <c r="AO802" i="1" s="1"/>
  <c r="AK803" i="1"/>
  <c r="AN803" i="1" s="1"/>
  <c r="AO803" i="1" s="1"/>
  <c r="AK804" i="1"/>
  <c r="AN804" i="1" s="1"/>
  <c r="AO804" i="1" s="1"/>
  <c r="AK805" i="1"/>
  <c r="AN805" i="1" s="1"/>
  <c r="AO805" i="1" s="1"/>
  <c r="AK806" i="1"/>
  <c r="AN806" i="1" s="1"/>
  <c r="AO806" i="1" s="1"/>
  <c r="AK807" i="1"/>
  <c r="AN807" i="1" s="1"/>
  <c r="AO807" i="1" s="1"/>
  <c r="AK808" i="1"/>
  <c r="AN808" i="1" s="1"/>
  <c r="AO808" i="1" s="1"/>
  <c r="AK809" i="1"/>
  <c r="AN809" i="1" s="1"/>
  <c r="AO809" i="1" s="1"/>
  <c r="AK810" i="1"/>
  <c r="AN810" i="1" s="1"/>
  <c r="AO810" i="1" s="1"/>
  <c r="AK811" i="1"/>
  <c r="AN811" i="1" s="1"/>
  <c r="AO811" i="1" s="1"/>
  <c r="AK812" i="1"/>
  <c r="AN812" i="1" s="1"/>
  <c r="AO812" i="1" s="1"/>
  <c r="AK813" i="1"/>
  <c r="AN813" i="1" s="1"/>
  <c r="AO813" i="1" s="1"/>
  <c r="AK814" i="1"/>
  <c r="AN814" i="1" s="1"/>
  <c r="AO814" i="1" s="1"/>
  <c r="AK815" i="1"/>
  <c r="AN815" i="1" s="1"/>
  <c r="AO815" i="1" s="1"/>
  <c r="AK816" i="1"/>
  <c r="AN816" i="1" s="1"/>
  <c r="AO816" i="1" s="1"/>
  <c r="AK817" i="1"/>
  <c r="AN817" i="1" s="1"/>
  <c r="AO817" i="1" s="1"/>
  <c r="AK818" i="1"/>
  <c r="AN818" i="1" s="1"/>
  <c r="AO818" i="1" s="1"/>
  <c r="AK819" i="1"/>
  <c r="AN819" i="1" s="1"/>
  <c r="AO819" i="1" s="1"/>
  <c r="AK820" i="1"/>
  <c r="AN820" i="1" s="1"/>
  <c r="AO820" i="1" s="1"/>
  <c r="AK821" i="1"/>
  <c r="AN821" i="1" s="1"/>
  <c r="AO821" i="1" s="1"/>
  <c r="AK822" i="1"/>
  <c r="AN822" i="1" s="1"/>
  <c r="AO822" i="1" s="1"/>
  <c r="AK823" i="1"/>
  <c r="AN823" i="1" s="1"/>
  <c r="AO823" i="1" s="1"/>
  <c r="AK824" i="1"/>
  <c r="AN824" i="1" s="1"/>
  <c r="AO824" i="1" s="1"/>
  <c r="AK825" i="1"/>
  <c r="AN825" i="1" s="1"/>
  <c r="AO825" i="1" s="1"/>
  <c r="AK826" i="1"/>
  <c r="AN826" i="1" s="1"/>
  <c r="AO826" i="1" s="1"/>
  <c r="AK827" i="1"/>
  <c r="AN827" i="1" s="1"/>
  <c r="AO827" i="1" s="1"/>
  <c r="AK828" i="1"/>
  <c r="AN828" i="1" s="1"/>
  <c r="AO828" i="1" s="1"/>
  <c r="AK829" i="1"/>
  <c r="AN829" i="1" s="1"/>
  <c r="AO829" i="1" s="1"/>
  <c r="AK830" i="1"/>
  <c r="AN830" i="1" s="1"/>
  <c r="AO830" i="1" s="1"/>
  <c r="AK831" i="1"/>
  <c r="AN831" i="1" s="1"/>
  <c r="AO831" i="1" s="1"/>
  <c r="AK832" i="1"/>
  <c r="AN832" i="1" s="1"/>
  <c r="AO832" i="1" s="1"/>
  <c r="AK833" i="1"/>
  <c r="AN833" i="1" s="1"/>
  <c r="AO833" i="1" s="1"/>
  <c r="AK834" i="1"/>
  <c r="AN834" i="1" s="1"/>
  <c r="AO834" i="1" s="1"/>
  <c r="AK835" i="1"/>
  <c r="AN835" i="1" s="1"/>
  <c r="AO835" i="1" s="1"/>
  <c r="AK836" i="1"/>
  <c r="AN836" i="1" s="1"/>
  <c r="AO836" i="1" s="1"/>
  <c r="AK837" i="1"/>
  <c r="AN837" i="1" s="1"/>
  <c r="AO837" i="1" s="1"/>
  <c r="AK838" i="1"/>
  <c r="AN838" i="1" s="1"/>
  <c r="AO838" i="1" s="1"/>
  <c r="AK839" i="1"/>
  <c r="AN839" i="1" s="1"/>
  <c r="AO839" i="1" s="1"/>
  <c r="AK840" i="1"/>
  <c r="AN840" i="1" s="1"/>
  <c r="AO840" i="1" s="1"/>
  <c r="AK841" i="1"/>
  <c r="AN841" i="1" s="1"/>
  <c r="AO841" i="1" s="1"/>
  <c r="AK842" i="1"/>
  <c r="AN842" i="1" s="1"/>
  <c r="AO842" i="1" s="1"/>
  <c r="AK843" i="1"/>
  <c r="AN843" i="1" s="1"/>
  <c r="AO843" i="1" s="1"/>
  <c r="AK844" i="1"/>
  <c r="AN844" i="1" s="1"/>
  <c r="AO844" i="1" s="1"/>
  <c r="AK845" i="1"/>
  <c r="AN845" i="1" s="1"/>
  <c r="AO845" i="1" s="1"/>
  <c r="AK846" i="1"/>
  <c r="AN846" i="1" s="1"/>
  <c r="AO846" i="1" s="1"/>
  <c r="AK847" i="1"/>
  <c r="AN847" i="1" s="1"/>
  <c r="AO847" i="1" s="1"/>
  <c r="AK848" i="1"/>
  <c r="AN848" i="1" s="1"/>
  <c r="AO848" i="1" s="1"/>
  <c r="AK849" i="1"/>
  <c r="AN849" i="1" s="1"/>
  <c r="AO849" i="1" s="1"/>
  <c r="AK850" i="1"/>
  <c r="AN850" i="1" s="1"/>
  <c r="AO850" i="1" s="1"/>
  <c r="AK851" i="1"/>
  <c r="AN851" i="1" s="1"/>
  <c r="AO851" i="1" s="1"/>
  <c r="AK852" i="1"/>
  <c r="AN852" i="1" s="1"/>
  <c r="AO852" i="1" s="1"/>
  <c r="AK853" i="1"/>
  <c r="AN853" i="1" s="1"/>
  <c r="AO853" i="1" s="1"/>
  <c r="AK854" i="1"/>
  <c r="AN854" i="1" s="1"/>
  <c r="AO854" i="1" s="1"/>
  <c r="AK855" i="1"/>
  <c r="AN855" i="1" s="1"/>
  <c r="AO855" i="1" s="1"/>
  <c r="AK856" i="1"/>
  <c r="AN856" i="1" s="1"/>
  <c r="AO856" i="1" s="1"/>
  <c r="AK857" i="1"/>
  <c r="AN857" i="1" s="1"/>
  <c r="AO857" i="1" s="1"/>
  <c r="AK858" i="1"/>
  <c r="AN858" i="1" s="1"/>
  <c r="AO858" i="1" s="1"/>
  <c r="AK859" i="1"/>
  <c r="AN859" i="1" s="1"/>
  <c r="AO859" i="1" s="1"/>
  <c r="AK860" i="1"/>
  <c r="AN860" i="1" s="1"/>
  <c r="AO860" i="1" s="1"/>
  <c r="AK861" i="1"/>
  <c r="AN861" i="1" s="1"/>
  <c r="AO861" i="1" s="1"/>
  <c r="AK862" i="1"/>
  <c r="AN862" i="1" s="1"/>
  <c r="AO862" i="1" s="1"/>
  <c r="AK863" i="1"/>
  <c r="AN863" i="1" s="1"/>
  <c r="AO863" i="1" s="1"/>
  <c r="AK864" i="1"/>
  <c r="AN864" i="1" s="1"/>
  <c r="AO864" i="1" s="1"/>
  <c r="AK865" i="1"/>
  <c r="AN865" i="1" s="1"/>
  <c r="AO865" i="1" s="1"/>
  <c r="AK866" i="1"/>
  <c r="AN866" i="1" s="1"/>
  <c r="AO866" i="1" s="1"/>
  <c r="AK867" i="1"/>
  <c r="AN867" i="1" s="1"/>
  <c r="AO867" i="1" s="1"/>
  <c r="AK868" i="1"/>
  <c r="AN868" i="1" s="1"/>
  <c r="AO868" i="1" s="1"/>
  <c r="AK869" i="1"/>
  <c r="AN869" i="1" s="1"/>
  <c r="AO869" i="1" s="1"/>
  <c r="AK870" i="1"/>
  <c r="AN870" i="1" s="1"/>
  <c r="AO870" i="1" s="1"/>
  <c r="AK871" i="1"/>
  <c r="AN871" i="1" s="1"/>
  <c r="AO871" i="1" s="1"/>
  <c r="AK872" i="1"/>
  <c r="AN872" i="1" s="1"/>
  <c r="AO872" i="1" s="1"/>
  <c r="AK873" i="1"/>
  <c r="AN873" i="1" s="1"/>
  <c r="AO873" i="1" s="1"/>
  <c r="AK874" i="1"/>
  <c r="AN874" i="1" s="1"/>
  <c r="AO874" i="1" s="1"/>
  <c r="AK875" i="1"/>
  <c r="AN875" i="1" s="1"/>
  <c r="AO875" i="1" s="1"/>
  <c r="AK876" i="1"/>
  <c r="AN876" i="1" s="1"/>
  <c r="AO876" i="1" s="1"/>
  <c r="AK877" i="1"/>
  <c r="AN877" i="1" s="1"/>
  <c r="AO877" i="1" s="1"/>
  <c r="AK878" i="1"/>
  <c r="AN878" i="1" s="1"/>
  <c r="AO878" i="1" s="1"/>
  <c r="AK879" i="1"/>
  <c r="AN879" i="1" s="1"/>
  <c r="AO879" i="1" s="1"/>
  <c r="AK880" i="1"/>
  <c r="AN880" i="1" s="1"/>
  <c r="AO880" i="1" s="1"/>
  <c r="AK881" i="1"/>
  <c r="AN881" i="1" s="1"/>
  <c r="AO881" i="1" s="1"/>
  <c r="AK882" i="1"/>
  <c r="AN882" i="1" s="1"/>
  <c r="AO882" i="1" s="1"/>
  <c r="AK883" i="1"/>
  <c r="AN883" i="1" s="1"/>
  <c r="AO883" i="1" s="1"/>
  <c r="AK884" i="1"/>
  <c r="AN884" i="1" s="1"/>
  <c r="AO884" i="1" s="1"/>
  <c r="AK885" i="1"/>
  <c r="AN885" i="1" s="1"/>
  <c r="AO885" i="1" s="1"/>
  <c r="AK886" i="1"/>
  <c r="AN886" i="1" s="1"/>
  <c r="AO886" i="1" s="1"/>
  <c r="AK887" i="1"/>
  <c r="AN887" i="1" s="1"/>
  <c r="AO887" i="1" s="1"/>
  <c r="AK888" i="1"/>
  <c r="AN888" i="1" s="1"/>
  <c r="AO888" i="1" s="1"/>
  <c r="AK889" i="1"/>
  <c r="AN889" i="1" s="1"/>
  <c r="AO889" i="1" s="1"/>
  <c r="AK890" i="1"/>
  <c r="AN890" i="1" s="1"/>
  <c r="AO890" i="1" s="1"/>
  <c r="AK891" i="1"/>
  <c r="AN891" i="1" s="1"/>
  <c r="AO891" i="1" s="1"/>
  <c r="AK892" i="1"/>
  <c r="AN892" i="1" s="1"/>
  <c r="AO892" i="1" s="1"/>
  <c r="AK893" i="1"/>
  <c r="AN893" i="1" s="1"/>
  <c r="AO893" i="1" s="1"/>
  <c r="AK894" i="1"/>
  <c r="AN894" i="1" s="1"/>
  <c r="AO894" i="1" s="1"/>
  <c r="AK895" i="1"/>
  <c r="AN895" i="1" s="1"/>
  <c r="AO895" i="1" s="1"/>
  <c r="AK896" i="1"/>
  <c r="AN896" i="1" s="1"/>
  <c r="AO896" i="1" s="1"/>
  <c r="AK897" i="1"/>
  <c r="AN897" i="1" s="1"/>
  <c r="AO897" i="1" s="1"/>
  <c r="AK898" i="1"/>
  <c r="AN898" i="1" s="1"/>
  <c r="AO898" i="1" s="1"/>
  <c r="AK899" i="1"/>
  <c r="AN899" i="1" s="1"/>
  <c r="AO899" i="1" s="1"/>
  <c r="AK900" i="1"/>
  <c r="AN900" i="1" s="1"/>
  <c r="AO900" i="1" s="1"/>
  <c r="AK901" i="1"/>
  <c r="AN901" i="1" s="1"/>
  <c r="AO901" i="1" s="1"/>
  <c r="AK902" i="1"/>
  <c r="AN902" i="1" s="1"/>
  <c r="AO902" i="1" s="1"/>
  <c r="AK903" i="1"/>
  <c r="AN903" i="1" s="1"/>
  <c r="AO903" i="1" s="1"/>
  <c r="AK904" i="1"/>
  <c r="AN904" i="1" s="1"/>
  <c r="AO904" i="1" s="1"/>
  <c r="AK905" i="1"/>
  <c r="AN905" i="1" s="1"/>
  <c r="AO905" i="1" s="1"/>
  <c r="AK906" i="1"/>
  <c r="AN906" i="1" s="1"/>
  <c r="AO906" i="1" s="1"/>
  <c r="AK907" i="1"/>
  <c r="AN907" i="1" s="1"/>
  <c r="AO907" i="1" s="1"/>
  <c r="AK908" i="1"/>
  <c r="AN908" i="1" s="1"/>
  <c r="AO908" i="1" s="1"/>
  <c r="AK909" i="1"/>
  <c r="AN909" i="1" s="1"/>
  <c r="AO909" i="1" s="1"/>
  <c r="AK910" i="1"/>
  <c r="AN910" i="1" s="1"/>
  <c r="AO910" i="1" s="1"/>
  <c r="AK911" i="1"/>
  <c r="AN911" i="1" s="1"/>
  <c r="AO911" i="1" s="1"/>
  <c r="AK912" i="1"/>
  <c r="AN912" i="1" s="1"/>
  <c r="AO912" i="1" s="1"/>
  <c r="AK913" i="1"/>
  <c r="AN913" i="1" s="1"/>
  <c r="AO913" i="1" s="1"/>
  <c r="AK914" i="1"/>
  <c r="AN914" i="1" s="1"/>
  <c r="AO914" i="1" s="1"/>
  <c r="AK915" i="1"/>
  <c r="AN915" i="1" s="1"/>
  <c r="AO915" i="1" s="1"/>
  <c r="AK916" i="1"/>
  <c r="AN916" i="1" s="1"/>
  <c r="AO916" i="1" s="1"/>
  <c r="AK917" i="1"/>
  <c r="AN917" i="1" s="1"/>
  <c r="AO917" i="1" s="1"/>
  <c r="AK918" i="1"/>
  <c r="AN918" i="1" s="1"/>
  <c r="AO918" i="1" s="1"/>
  <c r="AK919" i="1"/>
  <c r="AN919" i="1" s="1"/>
  <c r="AO919" i="1" s="1"/>
  <c r="AK920" i="1"/>
  <c r="AN920" i="1" s="1"/>
  <c r="AO920" i="1" s="1"/>
  <c r="AK921" i="1"/>
  <c r="AN921" i="1" s="1"/>
  <c r="AO921" i="1" s="1"/>
  <c r="AK922" i="1"/>
  <c r="AN922" i="1" s="1"/>
  <c r="AO922" i="1" s="1"/>
  <c r="AK923" i="1"/>
  <c r="AN923" i="1" s="1"/>
  <c r="AO923" i="1" s="1"/>
  <c r="AK924" i="1"/>
  <c r="AN924" i="1" s="1"/>
  <c r="AO924" i="1" s="1"/>
  <c r="AK925" i="1"/>
  <c r="AN925" i="1" s="1"/>
  <c r="AO925" i="1" s="1"/>
  <c r="AK926" i="1"/>
  <c r="AN926" i="1" s="1"/>
  <c r="AO926" i="1" s="1"/>
  <c r="AK927" i="1"/>
  <c r="AN927" i="1" s="1"/>
  <c r="AO927" i="1" s="1"/>
  <c r="AK928" i="1"/>
  <c r="AN928" i="1" s="1"/>
  <c r="AO928" i="1" s="1"/>
  <c r="AK929" i="1"/>
  <c r="AN929" i="1" s="1"/>
  <c r="AO929" i="1" s="1"/>
  <c r="AK930" i="1"/>
  <c r="AN930" i="1" s="1"/>
  <c r="AO930" i="1" s="1"/>
  <c r="AK931" i="1"/>
  <c r="AN931" i="1" s="1"/>
  <c r="AO931" i="1" s="1"/>
  <c r="AK932" i="1"/>
  <c r="AN932" i="1" s="1"/>
  <c r="AO932" i="1" s="1"/>
  <c r="AK933" i="1"/>
  <c r="AN933" i="1" s="1"/>
  <c r="AO933" i="1" s="1"/>
  <c r="AK2" i="1"/>
  <c r="AN2" i="1" s="1"/>
  <c r="AO2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5" i="1"/>
  <c r="S116" i="1"/>
  <c r="S117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80" i="1"/>
  <c r="S181" i="1"/>
  <c r="S182" i="1"/>
  <c r="S183" i="1"/>
  <c r="S184" i="1"/>
  <c r="S185" i="1"/>
  <c r="S186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6" i="1"/>
  <c r="S807" i="1"/>
  <c r="S808" i="1"/>
  <c r="S809" i="1"/>
  <c r="S810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2" i="1"/>
  <c r="S873" i="1"/>
  <c r="S874" i="1"/>
  <c r="S875" i="1"/>
  <c r="S876" i="1"/>
  <c r="S877" i="1"/>
  <c r="S878" i="1"/>
  <c r="S879" i="1"/>
  <c r="S880" i="1"/>
  <c r="S881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2" i="1"/>
</calcChain>
</file>

<file path=xl/sharedStrings.xml><?xml version="1.0" encoding="utf-8"?>
<sst xmlns="http://schemas.openxmlformats.org/spreadsheetml/2006/main" count="28201" uniqueCount="4140">
  <si>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</si>
  <si>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</si>
  <si>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</si>
  <si>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</si>
  <si>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</si>
  <si>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</si>
  <si>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</si>
  <si>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</si>
  <si>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</si>
  <si>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</si>
  <si>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</si>
  <si>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</si>
  <si>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</si>
  <si>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</si>
  <si>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</si>
  <si>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</si>
  <si>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</si>
  <si>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</si>
  <si>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</si>
  <si>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</si>
  <si>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</si>
  <si>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</si>
  <si>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</si>
  <si>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</si>
  <si>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</si>
  <si>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</si>
  <si>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</si>
  <si>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</si>
  <si>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</si>
  <si>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</si>
  <si>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</si>
  <si>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</si>
  <si>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</si>
  <si>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</si>
  <si>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</si>
  <si>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</si>
  <si>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</si>
  <si>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</si>
  <si>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</si>
  <si>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</si>
  <si>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</si>
  <si>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</si>
  <si>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</si>
  <si>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</si>
  <si>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</si>
  <si>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</si>
  <si>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</si>
  <si>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</si>
  <si>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</si>
  <si>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</si>
  <si>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</si>
  <si>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</si>
  <si>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</si>
  <si>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</si>
  <si>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</si>
  <si>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</si>
  <si>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</si>
  <si>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</si>
  <si>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</si>
  <si>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</si>
  <si>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</si>
  <si>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</si>
  <si>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</si>
  <si>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</si>
  <si>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</si>
  <si>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</si>
  <si>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</si>
  <si>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</si>
  <si>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</si>
  <si>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</si>
  <si>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</si>
  <si>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</si>
  <si>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</si>
  <si>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</si>
  <si>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</si>
  <si>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</si>
  <si>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</si>
  <si>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</si>
  <si>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</si>
  <si>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</si>
  <si>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</si>
  <si>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</si>
  <si>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</si>
  <si>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</si>
  <si>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</si>
  <si>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</si>
  <si>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</si>
  <si>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</si>
  <si>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</si>
  <si>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</si>
  <si>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</si>
  <si>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</si>
  <si>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</si>
  <si>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</si>
  <si>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</si>
  <si>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</si>
  <si>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</si>
  <si>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</si>
  <si>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</si>
  <si>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</si>
  <si>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</si>
  <si>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</si>
  <si>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</si>
  <si>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</si>
  <si>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</si>
  <si>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</si>
  <si>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</si>
  <si>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</si>
  <si>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</si>
  <si>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</si>
  <si>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</si>
  <si>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</si>
  <si>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</si>
  <si>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</si>
  <si>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</si>
  <si>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</si>
  <si>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</si>
  <si>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</si>
  <si>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</si>
  <si>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</si>
  <si>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</si>
  <si>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</si>
  <si>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</si>
  <si>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</si>
  <si>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</si>
  <si>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</si>
  <si>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</si>
  <si>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</si>
  <si>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</si>
  <si>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</si>
  <si>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</si>
  <si>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</si>
  <si>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</si>
  <si>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</si>
  <si>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</si>
  <si>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</si>
  <si>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</si>
  <si>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</si>
  <si>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</si>
  <si>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</si>
  <si>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</si>
  <si>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</si>
  <si>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</si>
  <si>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</si>
  <si>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</si>
  <si>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</si>
  <si>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</si>
  <si>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</si>
  <si>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</si>
  <si>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</si>
  <si>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</si>
  <si>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</si>
  <si>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</si>
  <si>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</si>
  <si>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</si>
  <si>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</si>
  <si>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</si>
  <si>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</si>
  <si>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</si>
  <si>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</si>
  <si>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</si>
  <si>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</si>
  <si>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</si>
  <si>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</si>
  <si>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</si>
  <si>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</si>
  <si>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</si>
  <si>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</si>
  <si>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</si>
  <si>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</si>
  <si>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</si>
  <si>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</si>
  <si>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</si>
  <si>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</si>
  <si>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</si>
  <si>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</si>
  <si>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</si>
  <si>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</si>
  <si>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</si>
  <si>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</si>
  <si>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</si>
  <si>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</si>
  <si>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</si>
  <si>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</si>
  <si>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</si>
  <si>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</si>
  <si>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</si>
  <si>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</si>
  <si>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</si>
  <si>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</si>
  <si>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</si>
  <si>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</si>
  <si>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</si>
  <si>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</si>
  <si>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</si>
  <si>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</si>
  <si>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</si>
  <si>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</si>
  <si>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</si>
  <si>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</si>
  <si>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</si>
  <si>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</si>
  <si>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</si>
  <si>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</si>
  <si>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</si>
  <si>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</si>
  <si>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</si>
  <si>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</si>
  <si>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</si>
  <si>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</si>
  <si>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</si>
  <si>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</si>
  <si>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</si>
  <si>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</si>
  <si>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</si>
  <si>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</si>
  <si>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</si>
  <si>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</si>
  <si>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</si>
  <si>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</si>
  <si>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</si>
  <si>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</si>
  <si>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</si>
  <si>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</si>
  <si>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</si>
  <si>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</si>
  <si>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</si>
  <si>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</si>
  <si>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</si>
  <si>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</si>
  <si>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</si>
  <si>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</si>
  <si>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</si>
  <si>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</si>
  <si>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</si>
  <si>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</si>
  <si>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</si>
  <si>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</si>
  <si>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</si>
  <si>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</si>
  <si>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</si>
  <si>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</si>
  <si>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</si>
  <si>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</si>
  <si>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</si>
  <si>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</si>
  <si>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</si>
  <si>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</si>
  <si>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</si>
  <si>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</si>
  <si>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</si>
  <si>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</si>
  <si>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</si>
  <si>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</si>
  <si>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</si>
  <si>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</si>
  <si>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</si>
  <si>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</si>
  <si>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</si>
  <si>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</si>
  <si>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</si>
  <si>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</si>
  <si>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</si>
  <si>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</si>
  <si>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</si>
  <si>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</si>
  <si>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</si>
  <si>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</si>
  <si>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</si>
  <si>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</si>
  <si>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</si>
  <si>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</si>
  <si>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</si>
  <si>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</si>
  <si>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</si>
  <si>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</si>
  <si>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</si>
  <si>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</si>
  <si>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</si>
  <si>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</si>
  <si>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</si>
  <si>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</si>
  <si>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</si>
  <si>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</si>
  <si>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</si>
  <si>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</si>
  <si>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</si>
  <si>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</si>
  <si>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</si>
  <si>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</si>
  <si>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</si>
  <si>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</si>
  <si>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</si>
  <si>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</si>
  <si>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</si>
  <si>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</si>
  <si>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</si>
  <si>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</si>
  <si>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</si>
  <si>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</si>
  <si>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</si>
  <si>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</si>
  <si>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</si>
  <si>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</si>
  <si>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</si>
  <si>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</si>
  <si>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</si>
  <si>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</si>
  <si>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</si>
  <si>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</si>
  <si>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</si>
  <si>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</si>
  <si>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</si>
  <si>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</si>
  <si>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</si>
  <si>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</si>
  <si>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</si>
  <si>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</si>
  <si>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</si>
  <si>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</si>
  <si>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</si>
  <si>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</si>
  <si>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</si>
  <si>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</si>
  <si>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</si>
  <si>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</si>
  <si>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</si>
  <si>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</si>
  <si>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</si>
  <si>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</si>
  <si>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</si>
  <si>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</si>
  <si>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</si>
  <si>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</si>
  <si>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</si>
  <si>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</si>
  <si>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</si>
  <si>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</si>
  <si>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</si>
  <si>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</si>
  <si>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</si>
  <si>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</si>
  <si>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</si>
  <si>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</si>
  <si>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</si>
  <si>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</si>
  <si>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</si>
  <si>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</si>
  <si>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</si>
  <si>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</si>
  <si>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</si>
  <si>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</si>
  <si>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</si>
  <si>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</si>
  <si>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</si>
  <si>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</si>
  <si>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</si>
  <si>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</si>
  <si>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</si>
  <si>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</si>
  <si>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</si>
  <si>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</si>
  <si>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</si>
  <si>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</si>
  <si>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</si>
  <si>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</si>
  <si>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</si>
  <si>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</si>
  <si>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</si>
  <si>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</si>
  <si>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</si>
  <si>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</si>
  <si>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</si>
  <si>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</si>
  <si>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</si>
  <si>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</si>
  <si>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</si>
  <si>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</si>
  <si>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</si>
  <si>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</si>
  <si>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</si>
  <si>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</si>
  <si>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</si>
  <si>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</si>
  <si>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</si>
  <si>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</si>
  <si>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</si>
  <si>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</si>
  <si>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</si>
  <si>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</si>
  <si>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</si>
  <si>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</si>
  <si>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</si>
  <si>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</si>
  <si>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</si>
  <si>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</si>
  <si>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</si>
  <si>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</si>
  <si>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</si>
  <si>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</si>
  <si>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</si>
  <si>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</si>
  <si>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</si>
  <si>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</si>
  <si>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</si>
  <si>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</si>
  <si>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</si>
  <si>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</si>
  <si>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</si>
  <si>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</si>
  <si>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</si>
  <si>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</si>
  <si>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</si>
  <si>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</si>
  <si>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</si>
  <si>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</si>
  <si>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</si>
  <si>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</si>
  <si>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</si>
  <si>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</si>
  <si>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</si>
  <si>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</si>
  <si>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</si>
  <si>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</si>
  <si>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</si>
  <si>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</si>
  <si>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</si>
  <si>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</si>
  <si>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</si>
  <si>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</si>
  <si>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</si>
  <si>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</si>
  <si>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</si>
  <si>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</si>
  <si>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</si>
  <si>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</si>
  <si>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</si>
  <si>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</si>
  <si>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</si>
  <si>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</si>
  <si>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</si>
  <si>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</si>
  <si>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</si>
  <si>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</si>
  <si>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</si>
  <si>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</si>
  <si>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</si>
  <si>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</si>
  <si>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</si>
  <si>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</si>
  <si>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</si>
  <si>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</si>
  <si>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</si>
  <si>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</si>
  <si>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</si>
  <si>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</si>
  <si>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</si>
  <si>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</si>
  <si>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</si>
  <si>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</si>
  <si>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</si>
  <si>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</si>
  <si>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</si>
  <si>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</si>
  <si>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</si>
  <si>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</si>
  <si>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</si>
  <si>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</si>
  <si>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</si>
  <si>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</si>
  <si>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</si>
  <si>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</si>
  <si>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</si>
  <si>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</si>
  <si>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</si>
  <si>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</si>
  <si>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</si>
  <si>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</si>
  <si>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</si>
  <si>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</si>
  <si>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</si>
  <si>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</si>
  <si>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</si>
  <si>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</si>
  <si>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</si>
  <si>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</si>
  <si>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</si>
  <si>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</si>
  <si>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</si>
  <si>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</si>
  <si>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</si>
  <si>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</si>
  <si>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</si>
  <si>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</si>
  <si>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</si>
  <si>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</si>
  <si>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</si>
  <si>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</si>
  <si>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</si>
  <si>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</si>
  <si>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</si>
  <si>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</si>
  <si>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</si>
  <si>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</si>
  <si>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</si>
  <si>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</si>
  <si>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</si>
  <si>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</si>
  <si>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</si>
  <si>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</si>
  <si>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</si>
  <si>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</si>
  <si>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</si>
  <si>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</si>
  <si>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</si>
  <si>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</si>
  <si>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</si>
  <si>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</si>
  <si>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</si>
  <si>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</si>
  <si>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</si>
  <si>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</si>
  <si>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</si>
  <si>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</si>
  <si>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</si>
  <si>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</si>
  <si>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</si>
  <si>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</si>
  <si>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</si>
  <si>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</si>
  <si>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</si>
  <si>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</si>
  <si>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</si>
  <si>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</si>
  <si>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</si>
  <si>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</si>
  <si>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</si>
  <si>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</si>
  <si>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</si>
  <si>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</si>
  <si>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</si>
  <si>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</si>
  <si>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</si>
  <si>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</si>
  <si>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</si>
  <si>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</si>
  <si>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</si>
  <si>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</si>
  <si>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</si>
  <si>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</si>
  <si>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</si>
  <si>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</si>
  <si>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</si>
  <si>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</si>
  <si>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</si>
  <si>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</si>
  <si>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</si>
  <si>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</si>
  <si>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</si>
  <si>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</si>
  <si>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</si>
  <si>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</si>
  <si>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</si>
  <si>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</si>
  <si>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</si>
  <si>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</si>
  <si>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</si>
  <si>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</si>
  <si>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</si>
  <si>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</si>
  <si>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</si>
  <si>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</si>
  <si>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</si>
  <si>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</si>
  <si>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</si>
  <si>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</si>
  <si>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</si>
  <si>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</si>
  <si>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</si>
  <si>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</si>
  <si>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</si>
  <si>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</si>
  <si>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</si>
  <si>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</si>
  <si>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</si>
  <si>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</si>
  <si>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</si>
  <si>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</si>
  <si>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</si>
  <si>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</si>
  <si>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</si>
  <si>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</si>
  <si>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</si>
  <si>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</si>
  <si>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</si>
  <si>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</si>
  <si>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</si>
  <si>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</si>
  <si>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</si>
  <si>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</si>
  <si>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</si>
  <si>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</si>
  <si>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</si>
  <si>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</si>
  <si>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</si>
  <si>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</si>
  <si>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</si>
  <si>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</si>
  <si>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</si>
  <si>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</si>
  <si>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</si>
  <si>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</si>
  <si>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</si>
  <si>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</si>
  <si>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</si>
  <si>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</si>
  <si>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</si>
  <si>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</si>
  <si>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</si>
  <si>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</si>
  <si>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</si>
  <si>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</si>
  <si>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</si>
  <si>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</si>
  <si>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</si>
  <si>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</si>
  <si>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</si>
  <si>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</si>
  <si>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</si>
  <si>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</si>
  <si>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</si>
  <si>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</si>
  <si>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</si>
  <si>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</si>
  <si>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</si>
  <si>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</si>
  <si>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</si>
  <si>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</si>
  <si>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</si>
  <si>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</si>
  <si>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</si>
  <si>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</si>
  <si>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</si>
  <si>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</si>
  <si>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</si>
  <si>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</si>
  <si>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</si>
  <si>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</si>
  <si>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</si>
  <si>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</si>
  <si>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</si>
  <si>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</si>
  <si>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</si>
  <si>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</si>
  <si>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</si>
  <si>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</si>
  <si>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</si>
  <si>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</si>
  <si>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</si>
  <si>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</si>
  <si>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</si>
  <si>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</si>
  <si>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</si>
  <si>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</si>
  <si>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</si>
  <si>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</si>
  <si>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</si>
  <si>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</si>
  <si>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</si>
  <si>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</si>
  <si>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</si>
  <si>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</si>
  <si>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</si>
  <si>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</si>
  <si>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</si>
  <si>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</si>
  <si>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</si>
  <si>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</si>
  <si>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</si>
  <si>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</si>
  <si>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</si>
  <si>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</si>
  <si>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</si>
  <si>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</si>
  <si>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</si>
  <si>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</si>
  <si>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</si>
  <si>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</si>
  <si>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</si>
  <si>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</si>
  <si>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</si>
  <si>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</si>
  <si>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</si>
  <si>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</si>
  <si>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</si>
  <si>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</si>
  <si>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</si>
  <si>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</si>
  <si>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</si>
  <si>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</si>
  <si>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</si>
  <si>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</si>
  <si>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</si>
  <si>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</si>
  <si>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</si>
  <si>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</si>
  <si>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</si>
  <si>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</si>
  <si>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</si>
  <si>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</si>
  <si>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</si>
  <si>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</si>
  <si>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</si>
  <si>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</si>
  <si>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</si>
  <si>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</si>
  <si>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</si>
  <si>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</si>
  <si>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</si>
  <si>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</si>
  <si>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</si>
  <si>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</si>
  <si>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</si>
  <si>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</si>
  <si>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</si>
  <si>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</si>
  <si>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</si>
  <si>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</si>
  <si>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</si>
  <si>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</si>
  <si>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</si>
  <si>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</si>
  <si>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</si>
  <si>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</si>
  <si>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</si>
  <si>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</si>
  <si>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</si>
  <si>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</si>
  <si>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</si>
  <si>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</si>
  <si>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</si>
  <si>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</si>
  <si>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</si>
  <si>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</si>
  <si>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</si>
  <si>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</si>
  <si>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</si>
  <si>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</si>
  <si>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</si>
  <si>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</si>
  <si>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</si>
  <si>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</si>
  <si>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</si>
  <si>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</si>
  <si>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</si>
  <si>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</si>
  <si>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</si>
  <si>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</si>
  <si>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</si>
  <si>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</si>
  <si>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</si>
  <si>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</si>
  <si>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</si>
  <si>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</si>
  <si>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</si>
  <si>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</si>
  <si>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</si>
  <si>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</si>
  <si>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</si>
  <si>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</si>
  <si>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</si>
  <si>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</si>
  <si>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</si>
  <si>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</si>
  <si>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</si>
  <si>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</si>
  <si>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</si>
  <si>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</si>
  <si>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</si>
  <si>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</si>
  <si>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</si>
  <si>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</si>
  <si>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</si>
  <si>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</si>
  <si>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</si>
  <si>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</si>
  <si>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</si>
  <si>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</si>
  <si>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</si>
  <si>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</si>
  <si>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</si>
  <si>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</si>
  <si>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</si>
  <si>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</si>
  <si>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</si>
  <si>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</si>
  <si>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</si>
  <si>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</si>
  <si>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</si>
  <si>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</si>
  <si>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</si>
  <si>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</si>
  <si>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</si>
  <si>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</si>
  <si>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</si>
  <si>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</si>
  <si>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</si>
  <si>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</si>
  <si>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</si>
  <si>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</si>
  <si>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</si>
  <si>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</si>
  <si>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</si>
  <si>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</si>
  <si>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</si>
  <si>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</si>
  <si>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</si>
  <si>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</si>
  <si>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</si>
  <si>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</si>
  <si>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</si>
  <si>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</si>
  <si>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</si>
  <si>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</si>
  <si>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</si>
  <si>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</si>
  <si>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</si>
  <si>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</si>
  <si>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</si>
  <si>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</si>
  <si>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</si>
  <si>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</si>
  <si>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</si>
  <si>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</si>
  <si>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</si>
  <si>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</si>
  <si>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</si>
  <si>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</si>
  <si>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</si>
  <si>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</si>
  <si>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</si>
  <si>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</si>
  <si>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</si>
  <si>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</si>
  <si>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</si>
  <si>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</si>
  <si>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</si>
  <si>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</si>
  <si>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</si>
  <si>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</si>
  <si>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</si>
  <si>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</si>
  <si>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</si>
  <si>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</si>
  <si>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</si>
  <si>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</si>
  <si>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</si>
  <si>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</si>
  <si>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</si>
  <si>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</si>
  <si>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</si>
  <si>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</si>
  <si>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</si>
  <si>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</si>
  <si>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</si>
  <si>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</si>
  <si>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</si>
  <si>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</si>
  <si>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</si>
  <si>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</si>
  <si>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</si>
  <si>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</si>
  <si>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</si>
  <si>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</si>
  <si>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</si>
  <si>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</si>
  <si>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</si>
  <si>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</si>
  <si>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</si>
  <si>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</si>
  <si>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</si>
  <si>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</si>
  <si>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</si>
  <si>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</si>
  <si>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</si>
  <si>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</si>
  <si>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</si>
  <si>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</si>
  <si>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</si>
  <si>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</si>
  <si>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</si>
  <si>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</si>
  <si>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</si>
  <si>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</si>
  <si>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</si>
  <si>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</si>
  <si>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</si>
  <si>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</si>
  <si>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</si>
  <si>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</si>
  <si>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</si>
  <si>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</si>
  <si>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</si>
  <si>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</si>
  <si>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</si>
  <si>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</si>
  <si>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</si>
  <si>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</si>
  <si>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</si>
  <si>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</si>
  <si>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</si>
  <si>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</si>
  <si>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</si>
  <si>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</si>
  <si>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</si>
  <si>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</si>
  <si>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</si>
  <si>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</si>
  <si>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</si>
  <si>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</si>
  <si>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</si>
  <si>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</si>
  <si>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</si>
  <si>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</si>
  <si>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</si>
  <si>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</si>
  <si>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</si>
  <si>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</si>
  <si>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</si>
  <si>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</si>
  <si>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</si>
  <si>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</si>
  <si>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</si>
  <si>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</si>
  <si>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</si>
  <si>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</si>
  <si>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</si>
  <si>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</si>
  <si>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</si>
  <si>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</si>
  <si>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</si>
  <si>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</si>
  <si>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</si>
  <si>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</si>
  <si>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</si>
  <si>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</si>
  <si>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</si>
  <si>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</si>
  <si>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</si>
  <si>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</si>
  <si>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</si>
  <si>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</si>
  <si>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</si>
  <si>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</si>
  <si>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</si>
  <si>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</si>
  <si>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</si>
  <si>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</si>
  <si>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</si>
  <si>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</si>
  <si>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</si>
  <si>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</si>
  <si>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</si>
  <si>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</si>
  <si>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</si>
  <si>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</si>
  <si>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</si>
  <si>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</si>
  <si>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</si>
  <si>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</si>
  <si>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</si>
  <si>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</si>
  <si>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</si>
  <si>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</si>
  <si>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</si>
  <si>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</si>
  <si>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</si>
  <si>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</si>
  <si>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</si>
  <si>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</si>
  <si>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</si>
  <si>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</si>
  <si>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</si>
  <si>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</si>
  <si>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</si>
  <si>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</si>
  <si>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</si>
  <si>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</si>
  <si>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</si>
  <si>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</si>
  <si>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</si>
  <si>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</si>
  <si>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</si>
  <si>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</si>
  <si>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</si>
  <si>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</si>
  <si>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</si>
  <si>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</si>
  <si>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</si>
  <si>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</si>
  <si>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</si>
  <si>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</si>
  <si>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</si>
  <si>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</si>
  <si>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</si>
  <si>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</si>
  <si>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</si>
  <si>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</si>
  <si>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</si>
  <si>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</si>
  <si>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</si>
  <si>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</si>
  <si>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</si>
  <si>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</si>
  <si>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</si>
  <si>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</si>
  <si>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</si>
  <si>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</si>
  <si>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</si>
  <si>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</si>
  <si>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</si>
  <si>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</si>
  <si>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</si>
  <si>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</si>
  <si>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</si>
  <si>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</si>
  <si>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</si>
  <si>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</si>
  <si>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</si>
  <si>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</si>
  <si>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</si>
  <si>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</si>
  <si>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</si>
  <si>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</si>
  <si>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</si>
  <si>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</si>
  <si>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</si>
  <si>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</si>
  <si>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</si>
  <si>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</si>
  <si>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</si>
  <si>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</si>
  <si>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</si>
  <si>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</si>
  <si>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</si>
  <si>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</si>
  <si>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</si>
  <si>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</si>
  <si>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</si>
  <si>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</si>
  <si>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</si>
  <si>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</si>
  <si>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</si>
  <si>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</si>
  <si>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</si>
  <si>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</si>
  <si>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</si>
  <si>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</si>
  <si>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</si>
  <si>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</si>
  <si>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</si>
  <si>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</si>
  <si>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</si>
  <si>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</si>
  <si>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</si>
  <si>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</si>
  <si>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</si>
  <si>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</si>
  <si>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</si>
  <si>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</si>
  <si>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</si>
  <si>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</si>
  <si>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</si>
  <si>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</si>
  <si>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</si>
  <si>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</si>
  <si>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</si>
  <si>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</si>
  <si>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</si>
  <si>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</si>
  <si>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</si>
  <si>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</si>
  <si>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</si>
  <si>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</si>
  <si>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</si>
  <si>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</si>
  <si>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</si>
  <si>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</si>
  <si>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</si>
  <si>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</si>
  <si>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</si>
  <si>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</si>
  <si>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</si>
  <si>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</si>
  <si>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</si>
  <si>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</si>
  <si>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</si>
  <si>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</si>
  <si>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</si>
  <si>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</si>
  <si>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</si>
  <si>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</si>
  <si>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</si>
  <si>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</si>
  <si>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</si>
  <si>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</si>
  <si>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</si>
  <si>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</si>
  <si>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</si>
  <si>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</si>
  <si>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</si>
  <si>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</si>
  <si>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</si>
  <si>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</si>
  <si>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</si>
  <si>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</si>
  <si>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</si>
  <si>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</si>
  <si>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</si>
  <si>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</si>
  <si>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</si>
  <si>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</si>
  <si>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</si>
  <si>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</si>
  <si>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</si>
  <si>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</si>
  <si>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</si>
  <si>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</si>
  <si>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</si>
  <si>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</si>
  <si>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</si>
  <si>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</si>
  <si>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</si>
  <si>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</si>
  <si>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</si>
  <si>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</si>
  <si>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</si>
  <si>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</si>
  <si>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</si>
  <si>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</si>
  <si>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</si>
  <si>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</si>
  <si>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</si>
  <si>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</si>
  <si>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</si>
  <si>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</si>
  <si>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</si>
  <si>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</si>
  <si>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</si>
  <si>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</si>
  <si>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</si>
  <si>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</si>
  <si>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</si>
  <si>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</si>
  <si>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</si>
  <si>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</si>
  <si>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</si>
  <si>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</si>
  <si>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</si>
  <si>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</si>
  <si>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</si>
  <si>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</si>
  <si>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</si>
  <si>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</si>
  <si>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</si>
  <si>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</si>
  <si>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</si>
  <si>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</si>
  <si>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</si>
  <si>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</si>
  <si>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</si>
  <si>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</si>
  <si>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</si>
  <si>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</si>
  <si>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</si>
  <si>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</si>
  <si>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</si>
  <si>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</si>
  <si>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</si>
  <si>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</si>
  <si>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</si>
  <si>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</si>
  <si>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</si>
  <si>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</si>
  <si>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</si>
  <si>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</si>
  <si>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</si>
  <si>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</si>
  <si>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</si>
  <si>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</si>
  <si>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</si>
  <si>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</si>
  <si>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</si>
  <si>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</si>
  <si>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</si>
  <si>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</si>
  <si>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</si>
  <si>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</si>
  <si>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</si>
  <si>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</si>
  <si>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</si>
  <si>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</si>
  <si>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</si>
  <si>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</si>
  <si>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</si>
  <si>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</si>
  <si>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</si>
  <si>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</si>
  <si>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</si>
  <si>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</si>
  <si>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</si>
  <si>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</si>
  <si>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</si>
  <si>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</si>
  <si>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</si>
  <si>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</si>
  <si>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</si>
  <si>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</si>
  <si>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</si>
  <si>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</si>
  <si>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</si>
  <si>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</si>
  <si>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</si>
  <si>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</si>
  <si>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</si>
  <si>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</si>
  <si>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</si>
  <si>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</si>
  <si>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</si>
  <si>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</si>
  <si>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</si>
  <si>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</si>
  <si>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</si>
  <si>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</si>
  <si>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</si>
  <si>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</si>
  <si>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</si>
  <si>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</si>
  <si>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</si>
  <si>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</si>
  <si>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</si>
  <si>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</si>
  <si>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</si>
  <si>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</si>
  <si>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</si>
  <si>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</si>
  <si>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</si>
  <si>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</si>
  <si>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</si>
  <si>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</si>
  <si>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</si>
  <si>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</si>
  <si>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</si>
  <si>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</si>
  <si>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</si>
  <si>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</si>
  <si>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</si>
  <si>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</si>
  <si>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</si>
  <si>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</si>
  <si>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</si>
  <si>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</si>
  <si>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</si>
  <si>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</si>
  <si>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</si>
  <si>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</si>
  <si>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</si>
  <si>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</si>
  <si>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</si>
  <si>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</si>
  <si>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</si>
  <si>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</si>
  <si>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</si>
  <si>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</si>
  <si>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</si>
  <si>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</si>
  <si>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</si>
  <si>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</si>
  <si>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</si>
  <si>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</si>
  <si>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</si>
  <si>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</si>
  <si>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</si>
  <si>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</si>
  <si>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</si>
  <si>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</si>
  <si>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</si>
  <si>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</si>
  <si>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</si>
  <si>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</si>
  <si>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</si>
  <si>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</si>
  <si>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</si>
  <si>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</si>
  <si>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</si>
  <si>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</si>
  <si>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</si>
  <si>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</si>
  <si>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</si>
  <si>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</si>
  <si>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</si>
  <si>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</si>
  <si>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</si>
  <si>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</si>
  <si>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</si>
  <si>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</si>
  <si>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</si>
  <si>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</si>
  <si>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</si>
  <si>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</si>
  <si>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</si>
  <si>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</si>
  <si>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</si>
  <si>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</si>
  <si>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</si>
  <si>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</si>
  <si>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</si>
  <si>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</si>
  <si>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</si>
  <si>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</si>
  <si>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</si>
  <si>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</si>
  <si>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</si>
  <si>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</si>
  <si>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</si>
  <si>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</si>
  <si>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</si>
  <si>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</si>
  <si>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</si>
  <si>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</si>
  <si>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</si>
  <si>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</si>
  <si>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</si>
  <si>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</si>
  <si>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</si>
  <si>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</si>
  <si>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</si>
  <si>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</si>
  <si>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</si>
  <si>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</si>
  <si>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</si>
  <si>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</si>
  <si>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</si>
  <si>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</si>
  <si>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</si>
  <si>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</si>
  <si>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</si>
  <si>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</si>
  <si>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</si>
  <si>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</si>
  <si>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</si>
  <si>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</si>
  <si>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</si>
  <si>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</si>
  <si>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</si>
  <si>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</si>
  <si>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</si>
  <si>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</si>
  <si>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</si>
  <si>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</si>
  <si>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</si>
  <si>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</si>
  <si>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</si>
  <si>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</si>
  <si>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</si>
  <si>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</si>
  <si>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</si>
  <si>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</si>
  <si>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</si>
  <si>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</si>
  <si>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</si>
  <si>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</si>
  <si>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</si>
  <si>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</si>
  <si>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</si>
  <si>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</si>
  <si>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</si>
  <si>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</si>
  <si>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</si>
  <si>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</si>
  <si>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</si>
  <si>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</si>
  <si>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</si>
  <si>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</si>
  <si>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</si>
  <si>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</si>
  <si>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</si>
  <si>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</si>
  <si>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</si>
  <si>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</si>
  <si>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</si>
  <si>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</si>
  <si>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</si>
  <si>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</si>
  <si>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</si>
  <si>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</si>
  <si>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</si>
  <si>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</si>
  <si>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</si>
  <si>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</si>
  <si>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</si>
  <si>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</si>
  <si>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</si>
  <si>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</si>
  <si>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</si>
  <si>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</si>
  <si>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</si>
  <si>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</si>
  <si>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</si>
  <si>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</si>
  <si>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</si>
  <si>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</si>
  <si>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</si>
  <si>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</si>
  <si>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</si>
  <si>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</si>
  <si>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</si>
  <si>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</si>
  <si>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</si>
  <si>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</si>
  <si>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</si>
  <si>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</si>
  <si>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</si>
  <si>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</si>
  <si>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</si>
  <si>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</si>
  <si>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</si>
  <si>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</si>
  <si>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</si>
  <si>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</si>
  <si>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</si>
  <si>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</si>
  <si>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</si>
  <si>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</si>
  <si>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</si>
  <si>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</si>
  <si>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</si>
  <si>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</si>
  <si>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</si>
  <si>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</si>
  <si>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</si>
  <si>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</si>
  <si>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</si>
  <si>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</si>
  <si>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</si>
  <si>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</si>
  <si>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</si>
  <si>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</si>
  <si>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</si>
  <si>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</si>
  <si>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</si>
  <si>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</si>
  <si>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</si>
  <si>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</si>
  <si>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</si>
  <si>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</si>
  <si>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</si>
  <si>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</si>
  <si>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</si>
  <si>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</si>
  <si>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</si>
  <si>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</si>
  <si>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</si>
  <si>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</si>
  <si>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</si>
  <si>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</si>
  <si>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</si>
  <si>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</si>
  <si>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</si>
  <si>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</si>
  <si>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</si>
  <si>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</si>
  <si>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</si>
  <si>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</si>
  <si>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</si>
  <si>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</si>
  <si>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</si>
  <si>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</si>
  <si>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</si>
  <si>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</si>
  <si>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</si>
  <si>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</si>
  <si>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</si>
  <si>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</si>
  <si>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</si>
  <si>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</si>
  <si>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</si>
  <si>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</si>
  <si>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</si>
  <si>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</si>
  <si>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</si>
  <si>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</si>
  <si>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</si>
  <si>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</si>
  <si>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</si>
  <si>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</si>
  <si>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</si>
  <si>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</si>
  <si>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</si>
  <si>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</si>
  <si>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</si>
  <si>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</si>
  <si>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</si>
  <si>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</si>
  <si>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</si>
  <si>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</si>
  <si>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</si>
  <si>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</si>
  <si>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</si>
  <si>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</si>
  <si>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</si>
  <si>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</si>
  <si>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</si>
  <si>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</si>
  <si>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</si>
  <si>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</si>
  <si>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</si>
  <si>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</si>
  <si>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</si>
  <si>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</si>
  <si>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</si>
  <si>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</si>
  <si>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</si>
  <si>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</si>
  <si>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</si>
  <si>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</si>
  <si>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</si>
  <si>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</si>
  <si>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</si>
  <si>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</si>
  <si>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</si>
  <si>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</si>
  <si>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</si>
  <si>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</si>
  <si>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</si>
  <si>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</si>
  <si>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</si>
  <si>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</si>
  <si>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</si>
  <si>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</si>
  <si>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</si>
  <si>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</si>
  <si>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</si>
  <si>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</si>
  <si>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</si>
  <si>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</si>
  <si>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</si>
  <si>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</si>
  <si>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</si>
  <si>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</si>
  <si>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</si>
  <si>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</si>
  <si>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</si>
  <si>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</si>
  <si>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</si>
  <si>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</si>
  <si>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</si>
  <si>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</si>
  <si>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</si>
  <si>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</si>
  <si>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</si>
  <si>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</si>
  <si>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</si>
  <si>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</si>
  <si>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</si>
  <si>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</si>
  <si>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</si>
  <si>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</si>
  <si>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</si>
  <si>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</si>
  <si>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</si>
  <si>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</si>
  <si>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</si>
  <si>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</si>
  <si>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</si>
  <si>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</si>
  <si>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</si>
  <si>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</si>
  <si>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</si>
  <si>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</si>
  <si>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</si>
  <si>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</si>
  <si>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</si>
  <si>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</si>
  <si>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</si>
  <si>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</si>
  <si>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</si>
  <si>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</si>
  <si>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</si>
  <si>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</si>
  <si>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</si>
  <si>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</si>
  <si>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</si>
  <si>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</si>
  <si>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</si>
  <si>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</si>
  <si>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</si>
  <si>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</si>
  <si>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</si>
  <si>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</si>
  <si>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</si>
  <si>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</si>
  <si>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</si>
  <si>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</si>
  <si>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</si>
  <si>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</si>
  <si>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</si>
  <si>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</si>
  <si>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</si>
  <si>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</si>
  <si>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</si>
  <si>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</si>
  <si>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</si>
  <si>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</si>
  <si>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</si>
  <si>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</si>
  <si>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</si>
  <si>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</si>
  <si>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</si>
  <si>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</si>
  <si>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</si>
  <si>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</si>
  <si>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</si>
  <si>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</si>
  <si>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</si>
  <si>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</si>
  <si>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</si>
  <si>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</si>
  <si>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</si>
  <si>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</si>
  <si>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</si>
  <si>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</si>
  <si>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</si>
  <si>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</si>
  <si>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</si>
  <si>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</si>
  <si>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</si>
  <si>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</si>
  <si>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</si>
  <si>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</si>
  <si>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</si>
  <si>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</si>
  <si>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</si>
  <si>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</si>
  <si>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</si>
  <si>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</si>
  <si>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</si>
  <si>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</si>
  <si>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</si>
  <si>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</si>
  <si>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</si>
  <si>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</si>
  <si>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</si>
  <si>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</si>
  <si>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</si>
  <si>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</si>
  <si>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</si>
  <si>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</si>
  <si>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</si>
  <si>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</si>
  <si>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</si>
  <si>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</si>
  <si>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</si>
  <si>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</si>
  <si>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</si>
  <si>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</si>
  <si>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</si>
  <si>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</si>
  <si>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</si>
  <si>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</si>
  <si>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</si>
  <si>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</si>
  <si>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</si>
  <si>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</si>
  <si>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</si>
  <si>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</si>
  <si>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</si>
  <si>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</si>
  <si>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</si>
  <si>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</si>
  <si>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</si>
  <si>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</si>
  <si>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</si>
  <si>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</si>
  <si>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</si>
  <si>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</si>
  <si>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</si>
  <si>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</si>
  <si>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</si>
  <si>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</si>
  <si>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</si>
  <si>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</si>
  <si>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</si>
  <si>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</si>
  <si>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</si>
  <si>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</si>
  <si>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</si>
  <si>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</si>
  <si>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</si>
  <si>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</si>
  <si>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</si>
  <si>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</si>
  <si>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</si>
  <si>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</si>
  <si>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</si>
  <si>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</si>
  <si>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</si>
  <si>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</si>
  <si>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</si>
  <si>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</si>
  <si>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</si>
  <si>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</si>
  <si>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</si>
  <si>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</si>
  <si>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</si>
  <si>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</si>
  <si>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</si>
  <si>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</si>
  <si>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</si>
  <si>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</si>
  <si>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</si>
  <si>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</si>
  <si>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</si>
  <si>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</si>
  <si>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</si>
  <si>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</si>
  <si>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</si>
  <si>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</si>
  <si>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</si>
  <si>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</si>
  <si>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</si>
  <si>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</si>
  <si>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</si>
  <si>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</si>
  <si>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</si>
  <si>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</si>
  <si>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</si>
  <si>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</si>
  <si>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</si>
  <si>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</si>
  <si>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</si>
  <si>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</si>
  <si>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</si>
  <si>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</si>
  <si>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</si>
  <si>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</si>
  <si>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</si>
  <si>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</si>
  <si>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</si>
  <si>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</si>
  <si>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</si>
  <si>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</si>
  <si>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</si>
  <si>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</si>
  <si>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</si>
  <si>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</si>
  <si>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</si>
  <si>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</si>
  <si>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</si>
  <si>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</si>
  <si>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</si>
  <si>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</si>
  <si>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</si>
  <si>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</si>
  <si>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</si>
  <si>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</si>
  <si>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</si>
  <si>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</si>
  <si>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</si>
  <si>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</si>
  <si>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</si>
  <si>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</si>
  <si>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</si>
  <si>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</si>
  <si>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</si>
  <si>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</si>
  <si>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</si>
  <si>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</si>
  <si>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</si>
  <si>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</si>
  <si>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</si>
  <si>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</si>
  <si>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</si>
  <si>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</si>
  <si>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</si>
  <si>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</si>
  <si>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</si>
  <si>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</si>
  <si>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</si>
  <si>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</si>
  <si>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</si>
  <si>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</si>
  <si>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</si>
  <si>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</si>
  <si>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</si>
  <si>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</si>
  <si>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</si>
  <si>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</si>
  <si>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</si>
  <si>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</si>
  <si>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</si>
  <si>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</si>
  <si>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</si>
  <si>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</si>
  <si>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</si>
  <si>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</si>
  <si>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</si>
  <si>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</si>
  <si>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</si>
  <si>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</si>
  <si>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</si>
  <si>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</si>
  <si>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</si>
  <si>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</si>
  <si>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</si>
  <si>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</si>
  <si>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</si>
  <si>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</si>
  <si>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</si>
  <si>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</si>
  <si>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</si>
  <si>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</si>
  <si>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</si>
  <si>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</si>
  <si>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</si>
  <si>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</si>
  <si>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</si>
  <si>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</si>
  <si>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</si>
  <si>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</si>
  <si>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</si>
  <si>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</si>
  <si>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</si>
  <si>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</si>
  <si>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</si>
  <si>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</si>
  <si>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</si>
  <si>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</si>
  <si>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</si>
  <si>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</si>
  <si>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</si>
  <si>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</si>
  <si>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</si>
  <si>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</si>
  <si>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</si>
  <si>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</si>
  <si>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</si>
  <si>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</si>
  <si>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</si>
  <si>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</si>
  <si>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</si>
  <si>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</si>
  <si>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</si>
  <si>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</si>
  <si>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</si>
  <si>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</si>
  <si>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</si>
  <si>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</si>
  <si>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</si>
  <si>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</si>
  <si>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</si>
  <si>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</si>
  <si>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</si>
  <si>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</si>
  <si>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</si>
  <si>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</si>
  <si>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</si>
  <si>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</si>
  <si>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</si>
  <si>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</si>
  <si>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</si>
  <si>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</si>
  <si>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</si>
  <si>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</si>
  <si>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</si>
  <si>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</si>
  <si>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</si>
  <si>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</si>
  <si>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</si>
  <si>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</si>
  <si>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</si>
  <si>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</si>
  <si>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</si>
  <si>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</si>
  <si>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</si>
  <si>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</si>
  <si>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</si>
  <si>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</si>
  <si>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</si>
  <si>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</si>
  <si>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</si>
  <si>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</si>
  <si>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</si>
  <si>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</si>
  <si>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</si>
  <si>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</si>
  <si>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</si>
  <si>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</si>
  <si>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</si>
  <si>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</si>
  <si>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</si>
  <si>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</si>
  <si>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</si>
  <si>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</si>
  <si>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</si>
  <si>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</si>
  <si>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</si>
  <si>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</si>
  <si>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</si>
  <si>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</si>
  <si>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</si>
  <si>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</si>
  <si>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</si>
  <si>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</si>
  <si>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</si>
  <si>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</si>
  <si>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</si>
  <si>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</si>
  <si>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</si>
  <si>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</si>
  <si>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</si>
  <si>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</si>
  <si>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</si>
  <si>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</si>
  <si>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</si>
  <si>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</si>
  <si>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</si>
  <si>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</si>
  <si>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</si>
  <si>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</si>
  <si>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</si>
  <si>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</si>
  <si>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</si>
  <si>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</si>
  <si>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</si>
  <si>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</si>
  <si>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</si>
  <si>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</si>
  <si>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</si>
  <si>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</si>
  <si>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</si>
  <si>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</si>
  <si>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</si>
  <si>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</si>
  <si>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</si>
  <si>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</si>
  <si>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</si>
  <si>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</si>
  <si>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</si>
  <si>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</si>
  <si>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</si>
  <si>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</si>
  <si>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</si>
  <si>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</si>
  <si>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</si>
  <si>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</si>
  <si>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</si>
  <si>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</si>
  <si>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</si>
  <si>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</si>
  <si>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</si>
  <si>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</si>
  <si>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</si>
  <si>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</si>
  <si>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</si>
  <si>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</si>
  <si>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</si>
  <si>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</si>
  <si>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</si>
  <si>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</si>
  <si>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</si>
  <si>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</si>
  <si>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</si>
  <si>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</si>
  <si>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</si>
  <si>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</si>
  <si>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</si>
  <si>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</si>
  <si>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</si>
  <si>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</si>
  <si>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</si>
  <si>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</si>
  <si>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</si>
  <si>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</si>
  <si>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</si>
  <si>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</si>
  <si>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</si>
  <si>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</si>
  <si>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</si>
  <si>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</si>
  <si>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</si>
  <si>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</si>
  <si>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</si>
  <si>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</si>
  <si>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</si>
  <si>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</si>
  <si>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</si>
  <si>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</si>
  <si>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</si>
  <si>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</si>
  <si>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</si>
  <si>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</si>
  <si>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</si>
  <si>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</si>
  <si>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</si>
  <si>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</si>
  <si>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</si>
  <si>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</si>
  <si>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</si>
  <si>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</si>
  <si>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</si>
  <si>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</si>
  <si>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</si>
  <si>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</si>
  <si>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</si>
  <si>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</si>
  <si>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</si>
  <si>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</si>
  <si>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</si>
  <si>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</si>
  <si>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</si>
  <si>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</si>
  <si>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</si>
  <si>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</si>
  <si>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</si>
  <si>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</si>
  <si>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</si>
  <si>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</si>
  <si>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</si>
  <si>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</si>
  <si>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</si>
  <si>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</si>
  <si>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</si>
  <si>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</si>
  <si>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</si>
  <si>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</si>
  <si>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</si>
  <si>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</si>
  <si>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</si>
  <si>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</si>
  <si>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</si>
  <si>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</si>
  <si>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</si>
  <si>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</si>
  <si>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</si>
  <si>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</si>
  <si>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</si>
  <si>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</si>
  <si>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</si>
  <si>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</si>
  <si>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</si>
  <si>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</si>
  <si>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</si>
  <si>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</si>
  <si>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</si>
  <si>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</si>
  <si>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</si>
  <si>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</si>
  <si>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</si>
  <si>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</si>
  <si>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</si>
  <si>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</si>
  <si>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</si>
  <si>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</si>
  <si>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</si>
  <si>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</si>
  <si>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</si>
  <si>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</si>
  <si>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</si>
  <si>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</si>
  <si>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</si>
  <si>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</si>
  <si>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</si>
  <si>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</si>
  <si>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</si>
  <si>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</si>
  <si>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</si>
  <si>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</si>
  <si>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</si>
  <si>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</si>
  <si>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</si>
  <si>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</si>
  <si>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</si>
  <si>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</si>
  <si>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</si>
  <si>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</si>
  <si>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</si>
  <si>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</si>
  <si>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</si>
  <si>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</si>
  <si>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</si>
  <si>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</si>
  <si>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</si>
  <si>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</si>
  <si>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</si>
  <si>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</si>
  <si>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</si>
  <si>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</si>
  <si>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</si>
  <si>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</si>
  <si>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</si>
  <si>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</si>
  <si>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</si>
  <si>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</si>
  <si>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</si>
  <si>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</si>
  <si>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</si>
  <si>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</si>
  <si>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</si>
  <si>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</si>
  <si>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</si>
  <si>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</si>
  <si>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</si>
  <si>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</si>
  <si>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</si>
  <si>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</si>
  <si>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</si>
  <si>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</si>
  <si>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</si>
  <si>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</si>
  <si>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</si>
  <si>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</si>
  <si>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</si>
  <si>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</si>
  <si>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</si>
  <si>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</si>
  <si>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</si>
  <si>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</si>
  <si>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</si>
  <si>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</si>
  <si>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</si>
  <si>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</si>
  <si>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</si>
  <si>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</si>
  <si>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</si>
  <si>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</si>
  <si>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</si>
  <si>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</si>
  <si>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</si>
  <si>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</si>
  <si>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</si>
  <si>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</si>
  <si>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</si>
  <si>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</si>
  <si>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</si>
  <si>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</si>
  <si>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</si>
  <si>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</si>
  <si>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</si>
  <si>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</si>
  <si>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</si>
  <si>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</si>
  <si>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</si>
  <si>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</si>
  <si>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</si>
  <si>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</si>
  <si>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</si>
  <si>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</si>
  <si>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</si>
  <si>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</si>
  <si>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</si>
  <si>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</si>
  <si>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</si>
  <si>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</si>
  <si>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</si>
  <si>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</si>
  <si>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</si>
  <si>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</si>
  <si>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</si>
  <si>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</si>
  <si>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</si>
  <si>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</si>
  <si>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</si>
  <si>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</si>
  <si>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</si>
  <si>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</si>
  <si>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</si>
  <si>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</si>
  <si>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</si>
  <si>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</si>
  <si>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</si>
  <si>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</si>
  <si>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</si>
  <si>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</si>
  <si>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</si>
  <si>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</si>
  <si>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</si>
  <si>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</si>
  <si>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</si>
  <si>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</si>
  <si>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</si>
  <si>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</si>
  <si>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</si>
  <si>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</si>
  <si>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</si>
  <si>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</si>
  <si>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</si>
  <si>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</si>
  <si>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</si>
  <si>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</si>
  <si>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</si>
  <si>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</si>
  <si>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</si>
  <si>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</si>
  <si>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</si>
  <si>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</si>
  <si>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</si>
  <si>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</si>
  <si>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</si>
  <si>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</si>
  <si>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</si>
  <si>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</si>
  <si>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</si>
  <si>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</si>
  <si>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</si>
  <si>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</si>
  <si>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</si>
  <si>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</si>
  <si>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</si>
  <si>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</si>
  <si>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</si>
  <si>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</si>
  <si>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</si>
  <si>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</si>
  <si>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</si>
  <si>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</si>
  <si>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</si>
  <si>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</si>
  <si>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</si>
  <si>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</si>
  <si>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</si>
  <si>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</si>
  <si>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</si>
  <si>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</si>
  <si>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</si>
  <si>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</si>
  <si>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</si>
  <si>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</si>
  <si>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</si>
  <si>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</si>
  <si>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</si>
  <si>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</si>
  <si>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</si>
  <si>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</si>
  <si>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</si>
  <si>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</si>
  <si>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</si>
  <si>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</si>
  <si>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</si>
  <si>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</si>
  <si>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</si>
  <si>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</si>
  <si>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</si>
  <si>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</si>
  <si>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</si>
  <si>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</si>
  <si>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</si>
  <si>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</si>
  <si>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</si>
  <si>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</si>
  <si>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</si>
  <si>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</si>
  <si>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</si>
  <si>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</si>
  <si>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</si>
  <si>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</si>
  <si>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</si>
  <si>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</si>
  <si>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</si>
  <si>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</si>
  <si>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</si>
  <si>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</si>
  <si>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</si>
  <si>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</si>
  <si>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</si>
  <si>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</si>
  <si>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</si>
  <si>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</si>
  <si>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</si>
  <si>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</si>
  <si>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</si>
  <si>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</si>
  <si>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</si>
  <si>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</si>
  <si>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</si>
  <si>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</si>
  <si>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</si>
  <si>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</si>
  <si>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</si>
  <si>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</si>
  <si>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</si>
  <si>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</si>
  <si>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</si>
  <si>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</si>
  <si>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</si>
  <si>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</si>
  <si>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</si>
  <si>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</si>
  <si>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</si>
  <si>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</si>
  <si>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</si>
  <si>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</si>
  <si>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</si>
  <si>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</si>
  <si>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</si>
  <si>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</si>
  <si>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</si>
  <si>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</si>
  <si>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</si>
  <si>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</si>
  <si>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</si>
  <si>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</si>
  <si>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</si>
  <si>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</si>
  <si>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</si>
  <si>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</si>
  <si>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</si>
  <si>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</si>
  <si>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</si>
  <si>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</si>
  <si>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</si>
  <si>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</si>
  <si>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</si>
  <si>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</si>
  <si>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</si>
  <si>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</si>
  <si>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</si>
  <si>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</si>
  <si>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</si>
  <si>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</si>
  <si>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</si>
  <si>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</si>
  <si>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</si>
  <si>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</si>
  <si>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</si>
  <si>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</si>
  <si>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</si>
  <si>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</si>
  <si>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</si>
  <si>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</si>
  <si>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</si>
  <si>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</si>
  <si>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</si>
  <si>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</si>
  <si>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</si>
  <si>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</si>
  <si>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</si>
  <si>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</si>
  <si>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</si>
  <si>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</si>
  <si>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</si>
  <si>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</si>
  <si>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</si>
  <si>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</si>
  <si>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</si>
  <si>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</si>
  <si>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</si>
  <si>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</si>
  <si>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</si>
  <si>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</si>
  <si>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</si>
  <si>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</si>
  <si>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</si>
  <si>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</si>
  <si>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</si>
  <si>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</si>
  <si>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</si>
  <si>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</si>
  <si>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</si>
  <si>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</si>
  <si>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</si>
  <si>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</si>
  <si>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</si>
  <si>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</si>
  <si>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</si>
  <si>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</si>
  <si>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</si>
  <si>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</si>
  <si>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</si>
  <si>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</si>
  <si>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</si>
  <si>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</si>
  <si>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</si>
  <si>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</si>
  <si>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</si>
  <si>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</si>
  <si>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</si>
  <si>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</si>
  <si>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</si>
  <si>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</si>
  <si>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</si>
  <si>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</si>
  <si>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</si>
  <si>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</si>
  <si>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</si>
  <si>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</si>
  <si>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</si>
  <si>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</si>
  <si>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</si>
  <si>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</si>
  <si>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</si>
  <si>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</si>
  <si>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</si>
  <si>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</si>
  <si>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</si>
  <si>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</si>
  <si>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</si>
  <si>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</si>
  <si>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</si>
  <si>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</si>
  <si>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</si>
  <si>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</si>
  <si>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</si>
  <si>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</si>
  <si>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</si>
  <si>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</si>
  <si>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</si>
  <si>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</si>
  <si>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</si>
  <si>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</si>
  <si>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</si>
  <si>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</si>
  <si>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</si>
  <si>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</si>
  <si>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</si>
  <si>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</si>
  <si>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</si>
  <si>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</si>
  <si>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</si>
  <si>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</si>
  <si>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</si>
  <si>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</si>
  <si>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</si>
  <si>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</si>
  <si>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</si>
  <si>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</si>
  <si>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</si>
  <si>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</si>
  <si>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</si>
  <si>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</si>
  <si>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</si>
  <si>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</si>
  <si>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</si>
  <si>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</si>
  <si>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</si>
  <si>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</si>
  <si>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</si>
  <si>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</si>
  <si>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</si>
  <si>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</si>
  <si>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</si>
  <si>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</si>
  <si>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</si>
  <si>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</si>
  <si>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</si>
  <si>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</si>
  <si>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</si>
  <si>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</si>
  <si>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</si>
  <si>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</si>
  <si>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</si>
  <si>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</si>
  <si>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</si>
  <si>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</si>
  <si>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</si>
  <si>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</si>
  <si>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</si>
  <si>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</si>
  <si>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</si>
  <si>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</si>
  <si>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</si>
  <si>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</si>
  <si>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</si>
  <si>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</si>
  <si>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</si>
  <si>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</si>
  <si>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</si>
  <si>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</si>
  <si>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</si>
  <si>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</si>
  <si>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</si>
  <si>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</si>
  <si>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</si>
  <si>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</si>
  <si>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</si>
  <si>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</si>
  <si>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</si>
  <si>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</si>
  <si>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</si>
  <si>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</si>
  <si>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</si>
  <si>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</si>
  <si>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</si>
  <si>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</si>
  <si>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</si>
  <si>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</si>
  <si>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</si>
  <si>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</si>
  <si>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</si>
  <si>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</si>
  <si>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</si>
  <si>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</si>
  <si>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</si>
  <si>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</si>
  <si>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</si>
  <si>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</si>
  <si>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</si>
  <si>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</si>
  <si>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</si>
  <si>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</si>
  <si>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</si>
  <si>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</si>
  <si>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</si>
  <si>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</si>
  <si>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</si>
  <si>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</si>
  <si>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</si>
  <si>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</si>
  <si>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</si>
  <si>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</si>
  <si>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</si>
  <si>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</si>
  <si>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</si>
  <si>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</si>
  <si>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</si>
  <si>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</si>
  <si>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</si>
  <si>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</si>
  <si>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</si>
  <si>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</si>
  <si>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</si>
  <si>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</si>
  <si>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</si>
  <si>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</si>
  <si>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</si>
  <si>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</si>
  <si>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</si>
  <si>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</si>
  <si>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</si>
  <si>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</si>
  <si>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</si>
  <si>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</si>
  <si>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</si>
  <si>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</si>
  <si>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</si>
  <si>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</si>
  <si>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</si>
  <si>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</si>
  <si>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</si>
  <si>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</si>
  <si>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</si>
  <si>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</si>
  <si>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</si>
  <si>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</si>
  <si>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</si>
  <si>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</si>
  <si>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</si>
  <si>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</si>
  <si>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</si>
  <si>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</si>
  <si>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</si>
  <si>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</si>
  <si>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</si>
  <si>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</si>
  <si>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</si>
  <si>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</si>
  <si>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</si>
  <si>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</si>
  <si>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</si>
  <si>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</si>
  <si>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</si>
  <si>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</si>
  <si>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</si>
  <si>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</si>
  <si>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</si>
  <si>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</si>
  <si>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</si>
  <si>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</si>
  <si>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</si>
  <si>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</si>
  <si>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</si>
  <si>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</si>
  <si>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</si>
  <si>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</si>
  <si>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</si>
  <si>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</si>
  <si>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</si>
  <si>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</si>
  <si>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</si>
  <si>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</si>
  <si>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</si>
  <si>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</si>
  <si>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</si>
  <si>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</si>
  <si>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</si>
  <si>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</si>
  <si>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</si>
  <si>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</si>
  <si>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</si>
  <si>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</si>
  <si>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</si>
  <si>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</si>
  <si>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</si>
  <si>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</si>
  <si>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</si>
  <si>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</si>
  <si>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</si>
  <si>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</si>
  <si>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</si>
  <si>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</si>
  <si>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</si>
  <si>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</si>
  <si>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</si>
  <si>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</si>
  <si>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</si>
  <si>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</si>
  <si>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</si>
  <si>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</si>
  <si>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</si>
  <si>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</si>
  <si>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</si>
  <si>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</si>
  <si>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</si>
  <si>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</si>
  <si>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</si>
  <si>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</si>
  <si>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</si>
  <si>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</si>
  <si>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</si>
  <si>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</si>
  <si>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</si>
  <si>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</si>
  <si>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</si>
  <si>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</si>
  <si>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</si>
  <si>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</si>
  <si>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</si>
  <si>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</si>
  <si>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</si>
  <si>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</si>
  <si>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</si>
  <si>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</si>
  <si>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</si>
  <si>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</si>
  <si>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</si>
  <si>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</si>
  <si>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</si>
  <si>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</si>
  <si>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</si>
  <si>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</si>
  <si>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</si>
  <si>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</si>
  <si>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</si>
  <si>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</si>
  <si>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</si>
  <si>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</si>
  <si>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</si>
  <si>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</si>
  <si>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</si>
  <si>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</si>
  <si>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</si>
  <si>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</si>
  <si>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</si>
  <si>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</si>
  <si>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</si>
  <si>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</si>
  <si>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</si>
  <si>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</si>
  <si>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</si>
  <si>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</si>
  <si>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</si>
  <si>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</si>
  <si>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</si>
  <si>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</si>
  <si>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</si>
  <si>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</si>
  <si>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</si>
  <si>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</si>
  <si>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</si>
  <si>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</si>
  <si>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</si>
  <si>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</si>
  <si>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</si>
  <si>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</si>
  <si>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</si>
  <si>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</si>
  <si>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</si>
  <si>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</si>
  <si>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</si>
  <si>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</si>
  <si>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</si>
  <si>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</si>
  <si>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</si>
  <si>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</si>
  <si>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</si>
  <si>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</si>
  <si>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</si>
  <si>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</si>
  <si>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</si>
  <si>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</si>
  <si>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</si>
  <si>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</si>
  <si>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</si>
  <si>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</si>
  <si>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</si>
  <si>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</si>
  <si>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</si>
  <si>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</si>
  <si>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</si>
  <si>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</si>
  <si>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</si>
  <si>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</si>
  <si>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</si>
  <si>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</si>
  <si>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</si>
  <si>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</si>
  <si>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</si>
  <si>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</si>
  <si>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</si>
  <si>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</si>
  <si>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</si>
  <si>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</si>
  <si>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</si>
  <si>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</si>
  <si>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</si>
  <si>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</si>
  <si>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</si>
  <si>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</si>
  <si>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</si>
  <si>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</si>
  <si>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</si>
  <si>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</si>
  <si>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</si>
  <si>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</si>
  <si>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</si>
  <si>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</si>
  <si>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</si>
  <si>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</si>
  <si>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</si>
  <si>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</si>
  <si>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</si>
  <si>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</si>
  <si>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</si>
  <si>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</si>
  <si>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</si>
  <si>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</si>
  <si>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</si>
  <si>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</si>
  <si>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</si>
  <si>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</si>
  <si>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</si>
  <si>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</si>
  <si>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</si>
  <si>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</si>
  <si>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</si>
  <si>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</si>
  <si>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</si>
  <si>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</si>
  <si>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</si>
  <si>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</si>
  <si>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</si>
  <si>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</si>
  <si>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</si>
  <si>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</si>
  <si>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</si>
  <si>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</si>
  <si>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</si>
  <si>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</si>
  <si>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</si>
  <si>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</si>
  <si>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</si>
  <si>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</si>
  <si>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</si>
  <si>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</si>
  <si>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</si>
  <si>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</si>
  <si>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</si>
  <si>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</si>
  <si>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</si>
  <si>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</si>
  <si>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</si>
  <si>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</si>
  <si>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</si>
  <si>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</si>
  <si>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</si>
  <si>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</si>
  <si>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</si>
  <si>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</si>
  <si>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</si>
  <si>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</si>
  <si>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</si>
  <si>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</si>
  <si>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</si>
  <si>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</si>
  <si>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</si>
  <si>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</si>
  <si>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</si>
  <si>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</si>
  <si>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</si>
  <si>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</si>
  <si>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</si>
  <si>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</si>
  <si>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</si>
  <si>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</si>
  <si>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</si>
  <si>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</si>
  <si>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</si>
  <si>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</si>
  <si>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</si>
  <si>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</si>
  <si>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</si>
  <si>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</si>
  <si>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</si>
  <si>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</si>
  <si>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</si>
  <si>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</si>
  <si>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</si>
  <si>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</si>
  <si>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</si>
  <si>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</si>
  <si>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</si>
  <si>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</si>
  <si>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</si>
  <si>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</si>
  <si>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</si>
  <si>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</si>
  <si>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</si>
  <si>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</si>
  <si>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</si>
  <si>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</si>
  <si>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</si>
  <si>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</si>
  <si>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</si>
  <si>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</si>
  <si>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</si>
  <si>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</si>
  <si>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</si>
  <si>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</si>
  <si>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</si>
  <si>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</si>
  <si>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</si>
  <si>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</si>
  <si>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</si>
  <si>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</si>
  <si>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</si>
  <si>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</si>
  <si>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</si>
  <si>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</si>
  <si>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</si>
  <si>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</si>
  <si>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</si>
  <si>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</si>
  <si>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</si>
  <si>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</si>
  <si>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</si>
  <si>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</si>
  <si>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</si>
  <si>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</si>
  <si>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</si>
  <si>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</si>
  <si>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</si>
  <si>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</si>
  <si>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</si>
  <si>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</si>
  <si>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</si>
  <si>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</si>
  <si>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</si>
  <si>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</si>
  <si>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</si>
  <si>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</si>
  <si>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</si>
  <si>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</si>
  <si>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</si>
  <si>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</si>
  <si>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</si>
  <si>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</si>
  <si>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</si>
  <si>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</si>
  <si>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</si>
  <si>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</si>
  <si>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</si>
  <si>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</si>
  <si>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</si>
  <si>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</si>
  <si>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</si>
  <si>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</si>
  <si>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</si>
  <si>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</si>
  <si>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</si>
  <si>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</si>
  <si>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</si>
  <si>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</si>
  <si>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</si>
  <si>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</si>
  <si>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</si>
  <si>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</si>
  <si>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</si>
  <si>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</si>
  <si>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</si>
  <si>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</si>
  <si>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</si>
  <si>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</si>
  <si>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</si>
  <si>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</si>
  <si>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</si>
  <si>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</si>
  <si>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</si>
  <si>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</si>
  <si>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</si>
  <si>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</si>
  <si>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</si>
  <si>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</si>
  <si>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</si>
  <si>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</si>
  <si>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</si>
  <si>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</si>
  <si>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</si>
  <si>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</si>
  <si>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</si>
  <si>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</si>
  <si>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</si>
  <si>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</si>
  <si>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</si>
  <si>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</si>
  <si>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</si>
  <si>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</si>
  <si>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</si>
  <si>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</si>
  <si>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</si>
  <si>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</si>
  <si>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</si>
  <si>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</si>
  <si>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</si>
  <si>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</si>
  <si>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</si>
  <si>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</si>
  <si>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</si>
  <si>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</si>
  <si>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</si>
  <si>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</si>
  <si>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</si>
  <si>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</si>
  <si>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</si>
  <si>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</si>
  <si>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</si>
  <si>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</si>
  <si>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</si>
  <si>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</si>
  <si>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</si>
  <si>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</si>
  <si>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</si>
  <si>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</si>
  <si>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</si>
  <si>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</si>
  <si>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</si>
  <si>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</si>
  <si>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</si>
  <si>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</si>
  <si>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</si>
  <si>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</si>
  <si>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</si>
  <si>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</si>
  <si>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</si>
  <si>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</si>
  <si>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</si>
  <si>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</si>
  <si>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</si>
  <si>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</si>
  <si>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</si>
  <si>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</si>
  <si>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</si>
  <si>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</si>
  <si>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</si>
  <si>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</si>
  <si>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</si>
  <si>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</si>
  <si>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</si>
  <si>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</si>
  <si>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</si>
  <si>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</si>
  <si>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</si>
  <si>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</si>
  <si>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</si>
  <si>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</si>
  <si>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</si>
  <si>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</si>
  <si>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</si>
  <si>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</si>
  <si>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</si>
  <si>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</si>
  <si>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</si>
  <si>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</si>
  <si>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</si>
  <si>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</si>
  <si>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</si>
  <si>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</si>
  <si>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</si>
  <si>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</si>
  <si>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</si>
  <si>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</si>
  <si>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</si>
  <si>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</si>
  <si>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</si>
  <si>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</si>
  <si>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</si>
  <si>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</si>
  <si>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</si>
  <si>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</si>
  <si>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</si>
  <si>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</si>
  <si>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</si>
  <si>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</si>
  <si>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</si>
  <si>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</si>
  <si>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</si>
  <si>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</si>
  <si>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</si>
  <si>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</si>
  <si>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</si>
  <si>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</si>
  <si>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</si>
  <si>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</si>
  <si>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</si>
  <si>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</si>
  <si>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</si>
  <si>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</si>
  <si>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</si>
  <si>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</si>
  <si>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</si>
  <si>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</si>
  <si>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</si>
  <si>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</si>
  <si>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</si>
  <si>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</si>
  <si>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</si>
  <si>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</si>
  <si>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</si>
  <si>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</si>
  <si>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</si>
  <si>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</si>
  <si>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</si>
  <si>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</si>
  <si>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</si>
  <si>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</si>
  <si>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</si>
  <si>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</si>
  <si>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</si>
  <si>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</si>
  <si>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</si>
  <si>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</si>
  <si>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</si>
  <si>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</si>
  <si>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</si>
  <si>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</si>
  <si>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</si>
  <si>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</si>
  <si>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</si>
  <si>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</si>
  <si>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</si>
  <si>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</si>
  <si>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</si>
  <si>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</si>
  <si>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</si>
  <si>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</si>
  <si>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</si>
  <si>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</si>
  <si>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</si>
  <si>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</si>
  <si>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</si>
  <si>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</si>
  <si>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</si>
  <si>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</si>
  <si>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</si>
  <si>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</si>
  <si>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</si>
  <si>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</si>
  <si>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</si>
  <si>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</si>
  <si>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</si>
  <si>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</si>
  <si>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</si>
  <si>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</si>
  <si>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</si>
  <si>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</si>
  <si>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</si>
  <si>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</si>
  <si>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</si>
  <si>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</si>
  <si>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</si>
  <si>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</si>
  <si>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</si>
  <si>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</si>
  <si>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</si>
  <si>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</si>
  <si>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</si>
  <si>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</si>
  <si>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</si>
  <si>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</si>
  <si>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</si>
  <si>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</si>
  <si>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</si>
  <si>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</si>
  <si>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</si>
  <si>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</si>
  <si>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</si>
  <si>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</si>
  <si>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</si>
  <si>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</si>
  <si>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</si>
  <si>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</si>
  <si>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</si>
  <si>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</si>
  <si>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</si>
  <si>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</si>
  <si>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</si>
  <si>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</si>
  <si>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</si>
  <si>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</si>
  <si>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</si>
  <si>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</si>
  <si>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</si>
  <si>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</si>
  <si>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</si>
  <si>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</si>
  <si>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</si>
  <si>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</si>
  <si>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</si>
  <si>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</si>
  <si>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</si>
  <si>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</si>
  <si>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</si>
  <si>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</si>
  <si>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</si>
  <si>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</si>
  <si>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</si>
  <si>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</si>
  <si>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</si>
  <si>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</si>
  <si>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</si>
  <si>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</si>
  <si>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</si>
  <si>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</si>
  <si>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</si>
  <si>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</si>
  <si>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</si>
  <si>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</si>
  <si>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</si>
  <si>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</si>
  <si>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</si>
  <si>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</si>
  <si>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</si>
  <si>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</si>
  <si>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</si>
  <si>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</si>
  <si>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</si>
  <si>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</si>
  <si>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</si>
  <si>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</si>
  <si>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</si>
  <si>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</si>
  <si>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</si>
  <si>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</si>
  <si>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</si>
  <si>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</si>
  <si>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</si>
  <si>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</si>
  <si>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</si>
  <si>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</si>
  <si>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</si>
  <si>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</si>
  <si>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</si>
  <si>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</si>
  <si>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</si>
  <si>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</si>
  <si>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</si>
  <si>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</si>
  <si>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</si>
  <si>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</si>
  <si>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</si>
  <si>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</si>
  <si>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</si>
  <si>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</si>
  <si>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</si>
  <si>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</si>
  <si>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</si>
  <si>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</si>
  <si>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</si>
  <si>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</si>
  <si>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</si>
  <si>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</si>
  <si>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</si>
  <si>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</si>
  <si>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</si>
  <si>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</si>
  <si>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</si>
  <si>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</si>
  <si>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</si>
  <si>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</si>
  <si>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</si>
  <si>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</si>
  <si>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</si>
  <si>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</si>
  <si>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</si>
  <si>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</si>
  <si>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</si>
  <si>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</si>
  <si>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</si>
  <si>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</si>
  <si>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</si>
  <si>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</si>
  <si>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</si>
  <si>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</si>
  <si>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</si>
  <si>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</si>
  <si>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</si>
  <si>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</si>
  <si>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</si>
  <si>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</si>
  <si>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</si>
  <si>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</si>
  <si>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</si>
  <si>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</si>
  <si>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</si>
  <si>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</si>
  <si>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</si>
  <si>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</si>
  <si>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</si>
  <si>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</si>
  <si>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</si>
  <si>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</si>
  <si>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</si>
  <si>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</si>
  <si>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</si>
  <si>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</si>
  <si>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</si>
  <si>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</si>
  <si>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</si>
  <si>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</si>
  <si>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</si>
  <si>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</si>
  <si>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</si>
  <si>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</si>
  <si>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</si>
  <si>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</si>
  <si>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</si>
  <si>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</si>
  <si>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</si>
  <si>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</si>
  <si>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</si>
  <si>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</si>
  <si>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</si>
  <si>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</si>
  <si>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</si>
  <si>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</si>
  <si>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</si>
  <si>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</si>
  <si>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</si>
  <si>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</si>
  <si>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</si>
  <si>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</si>
  <si>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</si>
  <si>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</si>
  <si>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</si>
  <si>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</si>
  <si>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</si>
  <si>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</si>
  <si>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</si>
  <si>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</si>
  <si>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</si>
  <si>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</si>
  <si>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</si>
  <si>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</si>
  <si>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</si>
  <si>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</si>
  <si>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</si>
  <si>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</si>
  <si>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</si>
  <si>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</si>
  <si>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</si>
  <si>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</si>
  <si>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</si>
  <si>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</si>
  <si>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</si>
  <si>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</si>
  <si>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</si>
  <si>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</si>
  <si>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</si>
  <si>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</si>
  <si>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</si>
  <si>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</si>
  <si>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</si>
  <si>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</si>
  <si>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</si>
  <si>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</si>
  <si>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</si>
  <si>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</si>
  <si>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</si>
  <si>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</si>
  <si>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</si>
  <si>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</si>
  <si>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</si>
  <si>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</si>
  <si>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</si>
  <si>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</si>
  <si>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</si>
  <si>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</si>
  <si>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</si>
  <si>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</si>
  <si>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</si>
  <si>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</si>
  <si>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</si>
  <si>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</si>
  <si>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</si>
  <si>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</si>
  <si>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</si>
  <si>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</si>
  <si>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</si>
  <si>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</si>
  <si>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</si>
  <si>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</si>
  <si>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</si>
  <si>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</si>
  <si>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</si>
  <si>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</si>
  <si>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</si>
  <si>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</si>
  <si>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</si>
  <si>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</si>
  <si>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</si>
  <si>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</si>
  <si>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</si>
  <si>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</si>
  <si>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</si>
  <si>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</si>
  <si>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</si>
  <si>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</si>
  <si>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</si>
  <si>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</si>
  <si>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</si>
  <si>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</si>
  <si>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</si>
  <si>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</si>
  <si>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</si>
  <si>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</si>
  <si>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</si>
  <si>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</si>
  <si>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</si>
  <si>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</si>
  <si>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</si>
  <si>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</si>
  <si>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</si>
  <si>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</si>
  <si>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</si>
  <si>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</si>
  <si>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</si>
  <si>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</si>
  <si>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</si>
  <si>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</si>
  <si>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</si>
  <si>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</si>
  <si>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</si>
  <si>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</si>
  <si>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</si>
  <si>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</si>
  <si>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</si>
  <si>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</si>
  <si>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</si>
  <si>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</si>
  <si>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</si>
  <si>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</si>
  <si>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</si>
  <si>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</si>
  <si>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</si>
  <si>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</si>
  <si>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</si>
  <si>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</si>
  <si>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</si>
  <si>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</si>
  <si>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</si>
  <si>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</si>
  <si>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</si>
  <si>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</si>
  <si>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</si>
  <si>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</si>
  <si>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</si>
  <si>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</si>
  <si>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</si>
  <si>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</si>
  <si>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</si>
  <si>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</si>
  <si>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</si>
  <si>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</si>
  <si>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</si>
  <si>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</si>
  <si>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</si>
  <si>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</si>
  <si>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</si>
  <si>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</si>
  <si>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</si>
  <si>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</si>
  <si>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</si>
  <si>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</si>
  <si>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</si>
  <si>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</si>
  <si>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</si>
  <si>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</si>
  <si>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</si>
  <si>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</si>
  <si>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</si>
  <si>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</si>
  <si>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</si>
  <si>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</si>
  <si>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</si>
  <si>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</si>
  <si>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</si>
  <si>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</si>
  <si>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</si>
  <si>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</si>
  <si>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</si>
  <si>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</si>
  <si>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</si>
  <si>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</si>
  <si>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</si>
  <si>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</si>
  <si>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</si>
  <si>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</si>
  <si>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</si>
  <si>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</si>
  <si>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</si>
  <si>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</si>
  <si>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</si>
  <si>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</si>
  <si>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</si>
  <si>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</si>
  <si>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</si>
  <si>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</si>
  <si>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</si>
  <si>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</si>
  <si>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</si>
  <si>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</si>
  <si>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</si>
  <si>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</si>
  <si>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</si>
  <si>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</si>
  <si>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</si>
  <si>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</si>
  <si>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</si>
  <si>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</si>
  <si>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</si>
  <si>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</si>
  <si>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</si>
  <si>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</si>
  <si>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</si>
  <si>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</si>
  <si>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</si>
  <si>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</si>
  <si>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</si>
  <si>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</si>
  <si>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</si>
  <si>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</si>
  <si>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</si>
  <si>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</si>
  <si>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</si>
  <si>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</si>
  <si>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</si>
  <si>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</si>
  <si>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</si>
  <si>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</si>
  <si>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</si>
  <si>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</si>
  <si>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</si>
  <si>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</si>
  <si>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</si>
  <si>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</si>
  <si>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</si>
  <si>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</si>
  <si>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</si>
  <si>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</si>
  <si>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</si>
  <si>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</si>
  <si>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</si>
  <si>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</si>
  <si>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</si>
  <si>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</si>
  <si>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</si>
  <si>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</si>
  <si>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</si>
  <si>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</si>
  <si>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</si>
  <si>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</si>
  <si>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</si>
  <si>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</si>
  <si>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</si>
  <si>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</si>
  <si>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</si>
  <si>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</si>
  <si>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</si>
  <si>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</si>
  <si>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</si>
  <si>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</si>
  <si>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</si>
  <si>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</si>
  <si>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</si>
  <si>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</si>
  <si>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</si>
  <si>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</si>
  <si>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</si>
  <si>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</si>
  <si>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</si>
  <si>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</si>
  <si>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</si>
  <si>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</si>
  <si>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</si>
  <si>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</si>
  <si>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</si>
  <si>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</si>
  <si>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</si>
  <si>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</si>
  <si>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</si>
  <si>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</si>
  <si>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</si>
  <si>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</si>
  <si>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</si>
  <si>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</si>
  <si>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</si>
  <si>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</si>
  <si>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</si>
  <si>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</si>
  <si>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</si>
  <si>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</si>
  <si>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</si>
  <si>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</si>
  <si>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</si>
  <si>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</si>
  <si>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</si>
  <si>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</si>
  <si>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</si>
  <si>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</si>
  <si>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</si>
  <si>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</si>
  <si>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</si>
  <si>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</si>
  <si>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</si>
  <si>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</si>
  <si>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</si>
  <si>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</si>
  <si>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</si>
  <si>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</si>
  <si>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</si>
  <si>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</si>
  <si>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</si>
  <si>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</si>
  <si>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</si>
  <si>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</si>
  <si>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</si>
  <si>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</si>
  <si>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</si>
  <si>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</si>
  <si>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</si>
  <si>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</si>
  <si>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</si>
  <si>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</si>
  <si>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</si>
  <si>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</si>
  <si>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</si>
  <si>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</si>
  <si>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</si>
  <si>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</si>
  <si>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</si>
  <si>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</si>
  <si>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</si>
  <si>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</si>
  <si>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</si>
  <si>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</si>
  <si>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</si>
  <si>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</si>
  <si>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</si>
  <si>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</si>
  <si>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</si>
  <si>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</si>
  <si>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</si>
  <si>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</si>
  <si>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</si>
  <si>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</si>
  <si>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</si>
  <si>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</si>
  <si>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</si>
  <si>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</si>
  <si>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</si>
  <si>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</si>
  <si>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</si>
  <si>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</si>
  <si>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</si>
  <si>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</si>
  <si>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</si>
  <si>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</si>
  <si>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</si>
  <si>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</si>
  <si>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</si>
  <si>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</si>
  <si>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</si>
  <si>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</si>
  <si>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</si>
  <si>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</si>
  <si>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</si>
  <si>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</si>
  <si>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</si>
  <si>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</si>
  <si>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</si>
  <si>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</si>
  <si>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</si>
  <si>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</si>
  <si>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</si>
  <si>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</si>
  <si>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</si>
  <si>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</si>
  <si>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</si>
  <si>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</si>
  <si>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</si>
  <si>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</si>
  <si>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</si>
  <si>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</si>
  <si>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</si>
  <si>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</si>
  <si>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</si>
  <si>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</si>
  <si>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</si>
  <si>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</si>
  <si>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</si>
  <si>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</si>
  <si>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</si>
  <si>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</si>
  <si>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</si>
  <si>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</si>
  <si>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</si>
  <si>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</si>
  <si>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</si>
  <si>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</si>
  <si>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</si>
  <si>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</si>
  <si>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</si>
  <si>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</si>
  <si>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</si>
  <si>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</si>
  <si>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</si>
  <si>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</si>
  <si>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</si>
  <si>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</si>
  <si>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</si>
  <si>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</si>
  <si>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</si>
  <si>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</si>
  <si>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</si>
  <si>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</si>
  <si>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</si>
  <si>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</si>
  <si>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</si>
  <si>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</si>
  <si>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</si>
  <si>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</si>
  <si>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</si>
  <si>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</si>
  <si>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</si>
  <si>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</si>
  <si>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</si>
  <si>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</si>
  <si>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</si>
  <si>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</si>
  <si>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</si>
  <si>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</si>
  <si>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</si>
  <si>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</si>
  <si>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</si>
  <si>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</si>
  <si>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</si>
  <si>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</si>
  <si>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</si>
  <si>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</si>
  <si>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</si>
  <si>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</si>
  <si>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</si>
  <si>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</si>
  <si>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</si>
  <si>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</si>
  <si>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</si>
  <si>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</si>
  <si>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</si>
  <si>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</si>
  <si>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</si>
  <si>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</si>
  <si>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</si>
  <si>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</si>
  <si>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</si>
  <si>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</si>
  <si>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</si>
  <si>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</si>
  <si>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</si>
  <si>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</si>
  <si>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</si>
  <si>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</si>
  <si>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</si>
  <si>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</si>
  <si>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</si>
  <si>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</si>
  <si>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</si>
  <si>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</si>
  <si>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</si>
  <si>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</si>
  <si>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</si>
  <si>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</si>
  <si>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</si>
  <si>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</si>
  <si>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</si>
  <si>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</si>
  <si>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</si>
  <si>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</si>
  <si>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</si>
  <si>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</si>
  <si>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</si>
  <si>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</si>
  <si>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</si>
  <si>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</si>
  <si>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</si>
  <si>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</si>
  <si>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</si>
  <si>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</si>
  <si>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</si>
  <si>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</si>
  <si>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</si>
  <si>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</si>
  <si>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</si>
  <si>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</si>
  <si>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</si>
  <si>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</si>
  <si>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</si>
  <si>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</si>
  <si>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</si>
  <si>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</si>
  <si>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</si>
  <si>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</si>
  <si>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</si>
  <si>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</si>
  <si>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</si>
  <si>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</si>
  <si>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</si>
  <si>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</si>
  <si>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</si>
  <si>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</si>
  <si>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</si>
  <si>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</si>
  <si>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</si>
  <si>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</si>
  <si>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</si>
  <si>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</si>
  <si>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</si>
  <si>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</si>
  <si>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</si>
  <si>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</si>
  <si>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</si>
  <si>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</si>
  <si>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</si>
  <si>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</si>
  <si>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</si>
  <si>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</si>
  <si>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</si>
  <si>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</si>
  <si>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</si>
  <si>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</si>
  <si>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</si>
  <si>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</si>
  <si>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</si>
  <si>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</si>
  <si>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</si>
  <si>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</si>
  <si>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</si>
  <si>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</si>
  <si>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</si>
  <si>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</si>
  <si>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</si>
  <si>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</si>
  <si>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</si>
  <si>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</si>
  <si>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</si>
  <si>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</si>
  <si>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</si>
  <si>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</si>
  <si>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</si>
  <si>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</si>
  <si>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</si>
  <si>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</si>
  <si>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</si>
  <si>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</si>
  <si>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</si>
  <si>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</si>
  <si>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</si>
  <si>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</si>
  <si>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</si>
  <si>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</si>
  <si>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</si>
  <si>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</si>
  <si>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</si>
  <si>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</si>
  <si>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</si>
  <si>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</si>
  <si>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</si>
  <si>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</si>
  <si>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</si>
  <si>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</si>
  <si>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</si>
  <si>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</si>
  <si>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</si>
  <si>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</si>
  <si>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</si>
  <si>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</si>
  <si>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</si>
  <si>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</si>
  <si>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</si>
  <si>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</si>
  <si>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</si>
  <si>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</si>
  <si>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</si>
  <si>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</si>
  <si>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</si>
  <si>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</si>
  <si>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</si>
  <si>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</si>
  <si>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</si>
  <si>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</si>
  <si>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</si>
  <si>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</si>
  <si>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</si>
  <si>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</si>
  <si>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</si>
  <si>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</si>
  <si>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</si>
  <si>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</si>
  <si>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</si>
  <si>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</si>
  <si>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</si>
  <si>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</si>
  <si>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</si>
  <si>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</si>
  <si>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</si>
  <si>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</si>
  <si>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</si>
  <si>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</si>
  <si>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</si>
  <si>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</si>
  <si>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</si>
  <si>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</si>
  <si>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</si>
  <si>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</si>
  <si>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</si>
  <si>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</si>
  <si>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</si>
  <si>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</si>
  <si>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</si>
  <si>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</si>
  <si>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</si>
  <si>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</si>
  <si>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</si>
  <si>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</si>
  <si>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</si>
  <si>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</si>
  <si>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</si>
  <si>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</si>
  <si>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</si>
  <si>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</si>
  <si>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</si>
  <si>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</si>
  <si>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</si>
  <si>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</si>
  <si>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</si>
  <si>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</si>
  <si>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</si>
  <si>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</si>
  <si>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</si>
  <si>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</si>
  <si>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</si>
  <si>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</si>
  <si>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</si>
  <si>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</si>
  <si>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</si>
  <si>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</si>
  <si>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</si>
  <si>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</si>
  <si>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</si>
  <si>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</si>
  <si>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</si>
  <si>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</si>
  <si>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</si>
  <si>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</si>
  <si>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</si>
  <si>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</si>
  <si>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</si>
  <si>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</si>
  <si>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</si>
  <si>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</si>
  <si>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</si>
  <si>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</si>
  <si>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</si>
  <si>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</si>
  <si>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</si>
  <si>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</si>
  <si>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</si>
  <si>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</si>
  <si>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</si>
  <si>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</si>
  <si>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</si>
  <si>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</si>
  <si>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</si>
  <si>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</si>
  <si>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</si>
  <si>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</si>
  <si>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</si>
  <si>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</si>
  <si>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</si>
  <si>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</si>
  <si>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</si>
  <si>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</si>
  <si>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</si>
  <si>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</si>
  <si>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</si>
  <si>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</si>
  <si>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</si>
  <si>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</si>
  <si>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</si>
  <si>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</si>
  <si>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</si>
  <si>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</si>
  <si>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</si>
  <si>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</si>
  <si>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</si>
  <si>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</si>
  <si>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</si>
  <si>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</si>
  <si>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</si>
  <si>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</si>
  <si>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</si>
  <si>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</si>
  <si>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</si>
  <si>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</si>
  <si>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</si>
  <si>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</si>
  <si>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</si>
  <si>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</si>
  <si>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</si>
  <si>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</si>
  <si>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</si>
  <si>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</si>
  <si>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</si>
  <si>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</si>
  <si>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</si>
  <si>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</si>
  <si>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</si>
  <si>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</si>
  <si>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</si>
  <si>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</si>
  <si>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</si>
  <si>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</si>
  <si>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</si>
  <si>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</si>
  <si>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</si>
  <si>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</si>
  <si>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</si>
  <si>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</si>
  <si>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</si>
  <si>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</si>
  <si>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</si>
  <si>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</si>
  <si>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</si>
  <si>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</si>
  <si>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</si>
  <si>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</si>
  <si>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</si>
  <si>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</si>
  <si>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</si>
  <si>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</si>
  <si>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</si>
  <si>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</si>
  <si>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</si>
  <si>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</si>
  <si>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</si>
  <si>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</si>
  <si>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</si>
  <si>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</si>
  <si>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</si>
  <si>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</si>
  <si>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</si>
  <si>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</si>
  <si>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</si>
  <si>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</si>
  <si>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</si>
  <si>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</si>
  <si>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</si>
  <si>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</si>
  <si>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</si>
  <si>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</si>
  <si>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</si>
  <si>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</si>
  <si>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</si>
  <si>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</si>
  <si>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</si>
  <si>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</si>
  <si>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</si>
  <si>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</si>
  <si>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</si>
  <si>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</si>
  <si>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</si>
  <si>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</si>
  <si>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</si>
  <si>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</si>
  <si>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</si>
  <si>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</si>
  <si>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</si>
  <si>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</si>
  <si>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</si>
  <si>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</si>
  <si>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</si>
  <si>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</si>
  <si>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</si>
  <si>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</si>
  <si>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</si>
  <si>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</si>
  <si>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</si>
  <si>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</si>
  <si>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</si>
  <si>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</si>
  <si>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</si>
  <si>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</si>
  <si>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</si>
  <si>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</si>
  <si>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</si>
  <si>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</si>
  <si>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</si>
  <si>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</si>
  <si>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</si>
  <si>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</si>
  <si>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</si>
  <si>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</si>
  <si>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</si>
  <si>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</si>
  <si>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</si>
  <si>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</si>
  <si>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</si>
  <si>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</si>
  <si>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</si>
  <si>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</si>
  <si>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</si>
  <si>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</si>
  <si>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</si>
  <si>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</si>
  <si>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</si>
  <si>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</si>
  <si>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</si>
  <si>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</si>
  <si>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</si>
  <si>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</si>
  <si>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</si>
  <si>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</si>
  <si>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</si>
  <si>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</si>
  <si>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</si>
  <si>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</si>
  <si>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</si>
  <si>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</si>
  <si>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</si>
  <si>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</si>
  <si>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</si>
  <si>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</si>
  <si>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</si>
  <si>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</si>
  <si>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</si>
  <si>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</si>
  <si>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</si>
  <si>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</si>
  <si>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</si>
  <si>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</si>
  <si>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</si>
  <si>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</si>
  <si>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</si>
  <si>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</si>
  <si>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</si>
  <si>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</si>
  <si>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</si>
  <si>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</si>
  <si>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</si>
  <si>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</si>
  <si>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Cleaned Customer_Name</t>
  </si>
  <si>
    <t>Cleaned_Segment</t>
  </si>
  <si>
    <t>Cleaned_Region</t>
  </si>
  <si>
    <t>Cleaned_State</t>
  </si>
  <si>
    <t>Cleaned_City</t>
  </si>
  <si>
    <t>Cleaned_Category</t>
  </si>
  <si>
    <t>Cleaned_Sub_category</t>
  </si>
  <si>
    <t>Cleaned_ship_Mode</t>
  </si>
  <si>
    <t>Cleaned_Payment_Status</t>
  </si>
  <si>
    <t>Cleaned_order_Status</t>
  </si>
  <si>
    <t>Order_Date_Flag</t>
  </si>
  <si>
    <t>Cleaned_Order_Date</t>
  </si>
  <si>
    <t>Ship_Date_Flag</t>
  </si>
  <si>
    <t>Cleaned_Ship_Date</t>
  </si>
  <si>
    <t>Shipping_Delay_Days</t>
  </si>
  <si>
    <t>Duplicates</t>
  </si>
  <si>
    <t>Unknown</t>
  </si>
  <si>
    <t>Unkown</t>
  </si>
  <si>
    <t>Cleaned Discount</t>
  </si>
  <si>
    <t>Flag Discount</t>
  </si>
  <si>
    <t>Calculated_Sales</t>
  </si>
  <si>
    <t>Calculated Profit</t>
  </si>
  <si>
    <t>Profit Margin</t>
  </si>
  <si>
    <t>Order_Month</t>
  </si>
  <si>
    <t>Order_Year</t>
  </si>
  <si>
    <t>Duplicate_Flags</t>
  </si>
  <si>
    <t>Data_Quality_Flags</t>
  </si>
  <si>
    <t>Row Labels</t>
  </si>
  <si>
    <t>Grand Total</t>
  </si>
  <si>
    <t>Sum of Calculated_Sales</t>
  </si>
  <si>
    <t>Sum of Calculated Profit</t>
  </si>
  <si>
    <t>Count of order_id</t>
  </si>
  <si>
    <t>Average of Profit Margin</t>
  </si>
  <si>
    <t>Column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</si>
  <si>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</si>
  <si>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</si>
  <si>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</si>
  <si>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</si>
  <si>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</si>
  <si>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</si>
  <si>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</si>
  <si>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</si>
  <si>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</si>
  <si>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</si>
  <si>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</si>
  <si>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</si>
  <si>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Monthly_Trend</t>
  </si>
  <si>
    <t>Region Summary</t>
  </si>
  <si>
    <t>Category Summary</t>
  </si>
  <si>
    <t>Ship Mode Summary</t>
  </si>
  <si>
    <t>Segment Summary</t>
  </si>
  <si>
    <t>Issues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</si>
</sst>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5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35</xdr:row>
      <xdr:rowOff>53885</xdr:rowOff>
    </xdr:from>
    <xdr:to>
      <xdr:col>4</xdr:col>
      <xdr:colOff>647701</xdr:colOff>
      <xdr:row>60</xdr:row>
      <xdr:rowOff>32190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A916C-E532-4CE2-A390-63C068079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1" y="6294665"/>
          <a:ext cx="5524500" cy="47484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v" refreshedDate="46201.876308680556" createdVersion="8" refreshedVersion="8" minRefreshableVersion="3" recordCount="932" xr:uid="{690BC7CD-9D99-4051-A7ED-6A88E8FD7D81}">
  <cacheSource type="worksheet">
    <worksheetSource ref="A1:AT933" sheet="Cleaned_Order"/>
  </cacheSource>
  <cacheFields count="46">
    <cacheField name="order_id" numFmtId="0">
      <sharedItems/>
    </cacheField>
    <cacheField name="Duplicates" numFmtId="0">
      <sharedItems containsSemiMixedTypes="0" containsString="0" containsNumber="1" containsInteger="1" minValue="1" maxValue="7"/>
    </cacheField>
    <cacheField name="Duplicate_Flags" numFmtId="0">
      <sharedItems/>
    </cacheField>
    <cacheField name="order_date" numFmtId="0">
      <sharedItems/>
    </cacheField>
    <cacheField name="ship_date" numFmtId="0">
      <sharedItems/>
    </cacheField>
    <cacheField name="Cleaned_Order_Date" numFmtId="0">
      <sharedItems containsSemiMixedTypes="0" containsNonDate="0" containsDate="1" containsString="0" minDate="2024-01-01T00:00:00" maxDate="2025-12-11T00:00:00"/>
    </cacheField>
    <cacheField name="Cleaned_Ship_Date" numFmtId="0">
      <sharedItems containsSemiMixedTypes="0" containsNonDate="0" containsDate="1" containsString="0" minDate="2024-01-02T00:00:00" maxDate="2025-12-11T00:00:00"/>
    </cacheField>
    <cacheField name="Order_Month" numFmtId="0">
      <sharedItems count="12">
        <s v="July"/>
        <s v="August"/>
        <s v="June"/>
        <s v="November"/>
        <s v="May"/>
        <s v="April"/>
        <s v="February"/>
        <s v="December"/>
        <s v="January"/>
        <s v="September"/>
        <s v="October"/>
        <s v="March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Order_Date_Flag" numFmtId="0">
      <sharedItems/>
    </cacheField>
    <cacheField name="Ship_Date_Flag" numFmtId="0">
      <sharedItems/>
    </cacheField>
    <cacheField name="Shipping_Delay_Days" numFmtId="0">
      <sharedItems containsSemiMixedTypes="0" containsString="0" containsNumber="1" containsInteger="1" minValue="-323" maxValue="331"/>
    </cacheField>
    <cacheField name="customer_id" numFmtId="0">
      <sharedItems/>
    </cacheField>
    <cacheField name="customer_name" numFmtId="0">
      <sharedItems/>
    </cacheField>
    <cacheField name="Cleaned Customer_Name" numFmtId="0">
      <sharedItems/>
    </cacheField>
    <cacheField name="segment" numFmtId="0">
      <sharedItems/>
    </cacheField>
    <cacheField name="Cleaned_Segment" numFmtId="0">
      <sharedItems count="4">
        <s v="Consumer"/>
        <s v="Small Business"/>
        <s v="Corporate"/>
        <s v="Home Office"/>
      </sharedItems>
    </cacheField>
    <cacheField name="region" numFmtId="0">
      <sharedItems/>
    </cacheField>
    <cacheField name="Cleaned_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leaned_State" numFmtId="0">
      <sharedItems/>
    </cacheField>
    <cacheField name="city" numFmtId="0">
      <sharedItems/>
    </cacheField>
    <cacheField name="Cleaned_City" numFmtId="0">
      <sharedItems/>
    </cacheField>
    <cacheField name="category" numFmtId="0">
      <sharedItems/>
    </cacheField>
    <cacheField name="Cleaned_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Cleaned_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/>
    </cacheField>
    <cacheField name="Cleaned_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Cleaned Discount" numFmtId="0">
      <sharedItems containsMixedTypes="1" containsNumber="1" minValue="-0.24" maxValue="0.85"/>
    </cacheField>
    <cacheField name="Flag Discount" numFmtId="0">
      <sharedItems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MixedTypes="1" containsNumber="1" minValue="36.447000000000003" maxValue="36782.271000000008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 Profit" numFmtId="0">
      <sharedItems containsMixedTypes="1" containsNumber="1" minValue="-23452.5635" maxValue="15225.999000000003"/>
    </cacheField>
    <cacheField name="Profit Margin" numFmtId="0">
      <sharedItems containsMixedTypes="1" containsNumber="1" minValue="-30820.84" maxValue="-119.77"/>
    </cacheField>
    <cacheField name="payment_status" numFmtId="0">
      <sharedItems/>
    </cacheField>
    <cacheField name="Cleaned_Payment_Status" numFmtId="0">
      <sharedItems/>
    </cacheField>
    <cacheField name="order_status" numFmtId="0">
      <sharedItems/>
    </cacheField>
    <cacheField name="Cleaned_order_Status" numFmtId="0">
      <sharedItems count="3">
        <s v="Completed"/>
        <s v="Cancelled"/>
        <s v="Returned"/>
      </sharedItems>
    </cacheField>
    <cacheField name="Data_Quality_Flag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n v="1"/>
    <s v="Unique"/>
    <s v="21 Jul 2024"/>
    <s v="07/27/2024"/>
    <d v="2024-07-21T00:00:00"/>
    <d v="2024-07-27T00:00:00"/>
    <x v="0"/>
    <x v="0"/>
    <s v="Valid"/>
    <s v="Valid"/>
    <n v="6"/>
    <s v="CUST-4655"/>
    <s v="Karan Malhotra"/>
    <s v="Karan Malhotra"/>
    <s v="Consumer"/>
    <x v="0"/>
    <s v="North"/>
    <x v="0"/>
    <s v="Rajasthan"/>
    <s v="Rajasthan"/>
    <s v="Jaipur"/>
    <s v="Jaipur"/>
    <s v="Office Supplies"/>
    <x v="0"/>
    <s v="Paper"/>
    <x v="0"/>
    <s v="Pro Paper 122"/>
    <s v="Second Class"/>
    <x v="0"/>
    <n v="8"/>
    <n v="2976.45"/>
    <n v="0.2"/>
    <n v="0.2"/>
    <s v="Valid"/>
    <n v="19049.28"/>
    <n v="19049.28"/>
    <n v="15841.89"/>
    <n v="3207.39"/>
    <n v="3207.3899999999994"/>
    <n v="-15841.89"/>
    <s v="Paid"/>
    <s v="Paid"/>
    <s v="Completed"/>
    <x v="0"/>
    <s v="Clean"/>
  </r>
  <r>
    <s v="ORD-2024-10002"/>
    <n v="1"/>
    <s v="Unique"/>
    <s v="08/31/2024"/>
    <s v="05 Sep 2024"/>
    <d v="2024-08-31T00:00:00"/>
    <d v="2024-05-09T00:00:00"/>
    <x v="1"/>
    <x v="0"/>
    <s v="Valid"/>
    <s v="Valid"/>
    <n v="-114"/>
    <s v="CUST-2054"/>
    <s v="Mira Das"/>
    <s v="Mira Das"/>
    <s v="Small Business"/>
    <x v="1"/>
    <s v="East"/>
    <x v="1"/>
    <s v="Odisha"/>
    <s v="Odisha"/>
    <s v="Bhubaneswar"/>
    <s v="Bhubaneswar"/>
    <s v="Furniture"/>
    <x v="1"/>
    <s v="Tables"/>
    <x v="1"/>
    <s v="Pro Tables 258"/>
    <s v="Same Day"/>
    <x v="1"/>
    <n v="3"/>
    <n v="2437.5"/>
    <n v="0"/>
    <n v="0"/>
    <s v="Valid"/>
    <n v="7312.5"/>
    <n v="7312.5"/>
    <n v="4904.7299999999996"/>
    <n v="2407.77"/>
    <n v="2407.7700000000004"/>
    <n v="-4904.7299999999996"/>
    <s v="Paid"/>
    <s v="Paid"/>
    <s v="Completed"/>
    <x v="0"/>
    <s v="Clean"/>
  </r>
  <r>
    <s v="ORD-2024-10003"/>
    <n v="1"/>
    <s v="Unique"/>
    <s v="06/08/2024"/>
    <s v="15 Jun 2024"/>
    <d v="2024-06-08T00:00:00"/>
    <d v="2024-06-15T00:00:00"/>
    <x v="2"/>
    <x v="0"/>
    <s v="Valid"/>
    <s v="Valid"/>
    <n v="7"/>
    <s v="CUST-6843"/>
    <s v="Isha Nair"/>
    <s v="Isha Nair"/>
    <s v="Consumer"/>
    <x v="0"/>
    <s v="East"/>
    <x v="1"/>
    <s v="Odisha"/>
    <s v="Odisha"/>
    <s v="Bhubaneswar"/>
    <s v="Bhubaneswar"/>
    <s v="Office Supplies"/>
    <x v="0"/>
    <s v="Art"/>
    <x v="2"/>
    <s v="Elite Art 525"/>
    <s v="First Class"/>
    <x v="2"/>
    <n v="4"/>
    <n v="1065.43"/>
    <n v="0.55000000000000004"/>
    <n v="0.55000000000000004"/>
    <s v="Valid"/>
    <n v="4261.72"/>
    <n v="1917.7739999999999"/>
    <n v="2465.69"/>
    <n v="1796.03"/>
    <n v="-547.91600000000017"/>
    <n v="-2465.69"/>
    <s v="Paid"/>
    <s v="Paid"/>
    <s v="Completed"/>
    <x v="0"/>
    <s v="Clean"/>
  </r>
  <r>
    <s v="ORD-2024-10004"/>
    <n v="1"/>
    <s v="Unique"/>
    <s v="28-11-2024"/>
    <s v="11/29/2024"/>
    <d v="2024-11-28T00:00:00"/>
    <d v="2024-11-29T00:00:00"/>
    <x v="3"/>
    <x v="0"/>
    <s v="Valid"/>
    <s v="Valid"/>
    <n v="1"/>
    <s v="CUST-3722"/>
    <s v="Arjun Bose"/>
    <s v="Arjun Bose"/>
    <s v="Small Business"/>
    <x v="1"/>
    <s v="South"/>
    <x v="2"/>
    <s v="Telangana"/>
    <s v="Telangana"/>
    <s v="Hyderabad"/>
    <s v="Hyderabad"/>
    <s v="Furniture"/>
    <x v="1"/>
    <s v="Furnishings"/>
    <x v="3"/>
    <s v="Smart Furnishings 294"/>
    <s v="Standard Class"/>
    <x v="3"/>
    <n v="6"/>
    <n v="1848.43"/>
    <n v="0.25"/>
    <n v="0.25"/>
    <s v="Valid"/>
    <n v="8317.93"/>
    <n v="8317.9349999999995"/>
    <n v="6796.77"/>
    <n v="1521.16"/>
    <n v="1521.1649999999991"/>
    <n v="-6796.77"/>
    <s v="Paid"/>
    <s v="Paid"/>
    <s v="Completed"/>
    <x v="0"/>
    <s v="Clean"/>
  </r>
  <r>
    <s v="ORD-2025-10005"/>
    <n v="1"/>
    <s v="Unique"/>
    <s v="29 Aug 2025"/>
    <s v="2025-09-01"/>
    <d v="2025-08-29T00:00:00"/>
    <d v="2025-01-09T00:00:00"/>
    <x v="1"/>
    <x v="1"/>
    <s v="Valid"/>
    <s v="Valid"/>
    <n v="-232"/>
    <s v="CUST-8130"/>
    <s v="Ananya Rao"/>
    <s v="Ananya Rao"/>
    <s v="Small Business"/>
    <x v="1"/>
    <s v="West"/>
    <x v="3"/>
    <s v="Maharashtra"/>
    <s v="Maharashtra"/>
    <s v="Mumbai"/>
    <s v="Mumbai"/>
    <s v="Furniture"/>
    <x v="1"/>
    <s v="Chairs"/>
    <x v="4"/>
    <s v="Elite Chairs 543"/>
    <s v="First Class"/>
    <x v="2"/>
    <n v="7"/>
    <n v="2973.76"/>
    <n v="0"/>
    <n v="0"/>
    <s v="Valid"/>
    <n v="20816.32"/>
    <n v="20816.32"/>
    <n v="17705.37"/>
    <n v="3110.95"/>
    <n v="3110.9500000000007"/>
    <n v="-17705.37"/>
    <s v="Paid"/>
    <s v="Paid"/>
    <s v="Cancelled"/>
    <x v="1"/>
    <s v="Clean"/>
  </r>
  <r>
    <s v="ORD-2024-10006"/>
    <n v="1"/>
    <s v="Unique"/>
    <s v="2024-05-24"/>
    <s v="28-05-2024"/>
    <d v="2024-05-24T00:00:00"/>
    <d v="2024-05-28T00:00:00"/>
    <x v="4"/>
    <x v="0"/>
    <s v="Valid"/>
    <s v="Valid"/>
    <n v="4"/>
    <s v="CUST-6056"/>
    <s v="Vikram Iyer"/>
    <s v="Vikram Iyer"/>
    <s v="Small Business"/>
    <x v="1"/>
    <s v="West"/>
    <x v="3"/>
    <s v="Madhya Pradesh"/>
    <s v="Madhya Pradesh"/>
    <s v="Indore"/>
    <s v="Indore"/>
    <s v="Technology"/>
    <x v="2"/>
    <s v="Accessories"/>
    <x v="5"/>
    <s v="Pro Accessories 821"/>
    <s v="Same Day"/>
    <x v="1"/>
    <n v="3"/>
    <n v="1053.1099999999999"/>
    <n v="0.2"/>
    <n v="0.2"/>
    <s v="Valid"/>
    <n v="2527.46"/>
    <n v="2527.4639999999999"/>
    <n v="1533.58"/>
    <n v="993.88"/>
    <n v="993.88400000000001"/>
    <n v="-1533.58"/>
    <s v="Paid"/>
    <s v="Paid"/>
    <s v="Completed"/>
    <x v="0"/>
    <s v="Clean"/>
  </r>
  <r>
    <s v="ORD-2025-10007"/>
    <n v="1"/>
    <s v="Exact Duplicate"/>
    <s v="04/10/2025"/>
    <s v="04/16/2025"/>
    <d v="2025-04-10T00:00:00"/>
    <d v="2025-04-16T00:00:00"/>
    <x v="5"/>
    <x v="1"/>
    <s v="Valid"/>
    <s v="Valid"/>
    <n v="6"/>
    <s v="CUST-3656"/>
    <s v="Neha Gupta"/>
    <s v="Neha Gupta"/>
    <s v="Consumer"/>
    <x v="0"/>
    <s v="East"/>
    <x v="1"/>
    <s v="Odisha"/>
    <s v="Odisha"/>
    <s v="Bhubaneswar"/>
    <s v="Bhubaneswar"/>
    <s v="Technology"/>
    <x v="2"/>
    <s v="Copiers"/>
    <x v="6"/>
    <s v="Eco Copiers 790"/>
    <s v="Standard Class"/>
    <x v="3"/>
    <n v="4"/>
    <n v="1719.87"/>
    <n v="0.15"/>
    <n v="0.15"/>
    <s v="Valid"/>
    <n v="5847.56"/>
    <n v="5847.5579999999991"/>
    <n v="4727.25"/>
    <n v="1120.31"/>
    <n v="1120.3079999999991"/>
    <n v="-4727.25"/>
    <s v="Paid"/>
    <s v="Paid"/>
    <s v="Completed"/>
    <x v="0"/>
    <s v="Clean"/>
  </r>
  <r>
    <s v="ORD-2025-10008"/>
    <n v="1"/>
    <s v="Unique"/>
    <s v="2025-02-23"/>
    <s v="26-02-2025"/>
    <d v="2025-02-23T00:00:00"/>
    <d v="2025-02-26T00:00:00"/>
    <x v="6"/>
    <x v="1"/>
    <s v="Valid"/>
    <s v="Valid"/>
    <n v="3"/>
    <s v="CUST-4683"/>
    <s v="Isha Nair"/>
    <s v="Isha Nair"/>
    <s v="Small Business"/>
    <x v="1"/>
    <s v="South"/>
    <x v="2"/>
    <s v="Andhra Pradesh"/>
    <s v="Andhra Pradesh"/>
    <s v="Vijayawada"/>
    <s v="Vijayawada"/>
    <s v="Office Supplies"/>
    <x v="0"/>
    <s v="Art"/>
    <x v="2"/>
    <s v="Eco Art 848"/>
    <s v="First Class"/>
    <x v="2"/>
    <n v="1"/>
    <n v="2980.71"/>
    <n v="0"/>
    <n v="0"/>
    <s v="Valid"/>
    <n v="2980.71"/>
    <n v="2980.71"/>
    <n v="2357.2199999999998"/>
    <n v="623.49"/>
    <n v="623.49000000000024"/>
    <n v="-2357.2199999999998"/>
    <s v="Paid"/>
    <s v="Paid"/>
    <s v="Completed"/>
    <x v="0"/>
    <s v="Clean"/>
  </r>
  <r>
    <s v="ORD-2024-10009"/>
    <n v="1"/>
    <s v="Unique"/>
    <s v="11/05/2024"/>
    <s v="11/10/2024"/>
    <d v="2024-11-05T00:00:00"/>
    <d v="2024-11-10T00:00:00"/>
    <x v="3"/>
    <x v="0"/>
    <s v="Valid"/>
    <s v="Valid"/>
    <n v="5"/>
    <s v="CUST-2598"/>
    <s v="Aditi Sen"/>
    <s v="Aditi Sen"/>
    <s v="Corporate"/>
    <x v="2"/>
    <s v="South"/>
    <x v="2"/>
    <s v="Telangana"/>
    <s v="Telangana"/>
    <s v="Hyderabad"/>
    <s v="Hyderabad"/>
    <s v="Office Supplies"/>
    <x v="0"/>
    <s v="Labels"/>
    <x v="7"/>
    <s v="Classic Labels 815"/>
    <s v="First Class"/>
    <x v="2"/>
    <n v="8"/>
    <n v="3134.2"/>
    <n v="0"/>
    <n v="0"/>
    <s v="Valid"/>
    <n v="25073.599999999999"/>
    <n v="25073.599999999999"/>
    <n v="17347.23"/>
    <n v="7726.37"/>
    <n v="7726.369999999999"/>
    <n v="-17347.23"/>
    <s v="Paid"/>
    <s v="Paid"/>
    <s v="Completed"/>
    <x v="0"/>
    <s v="Clean"/>
  </r>
  <r>
    <s v="ORD-2025-10010"/>
    <n v="1"/>
    <s v="Unique"/>
    <s v="07-09-2025"/>
    <s v="09/12/2025"/>
    <d v="2025-07-09T00:00:00"/>
    <d v="2025-09-12T00:00:00"/>
    <x v="0"/>
    <x v="1"/>
    <s v="Valid"/>
    <s v="Valid"/>
    <n v="65"/>
    <s v="CUST-2483"/>
    <s v="Mira Das"/>
    <s v="Mira Das"/>
    <s v="Home Office"/>
    <x v="3"/>
    <s v="South"/>
    <x v="2"/>
    <s v="Telangana"/>
    <s v="Telangana"/>
    <s v="Hyderabad"/>
    <s v="Hyderabad"/>
    <s v="Office Supplies"/>
    <x v="0"/>
    <s v="Paper"/>
    <x v="0"/>
    <s v="Pro Paper 622"/>
    <s v="Second Class"/>
    <x v="0"/>
    <n v="9"/>
    <n v="852.04"/>
    <n v="0.2"/>
    <n v="0.2"/>
    <s v="Valid"/>
    <n v="6134.69"/>
    <n v="6134.6880000000001"/>
    <n v="3800.19"/>
    <n v="2334.5"/>
    <n v="2334.498"/>
    <n v="-3800.19"/>
    <s v="Paid"/>
    <s v="Paid"/>
    <s v="Completed"/>
    <x v="0"/>
    <s v="Clean"/>
  </r>
  <r>
    <s v="ORD-2025-10011"/>
    <n v="1"/>
    <s v="Unique"/>
    <s v="20 May 2025"/>
    <s v="05/20/2025"/>
    <d v="2025-05-20T00:00:00"/>
    <d v="2025-05-20T00:00:00"/>
    <x v="4"/>
    <x v="1"/>
    <s v="Valid"/>
    <s v="Valid"/>
    <n v="0"/>
    <s v="CUST-8092"/>
    <s v="Ananya Rao"/>
    <s v="Ananya Rao"/>
    <s v="Corporate"/>
    <x v="2"/>
    <s v="East"/>
    <x v="1"/>
    <s v="West Bengal"/>
    <s v="West Bengal"/>
    <s v="Kolkata"/>
    <s v="Kolkata"/>
    <s v="Office Supplies"/>
    <x v="0"/>
    <s v="Labels"/>
    <x v="7"/>
    <s v="Prime Labels 644"/>
    <s v="Second Class"/>
    <x v="0"/>
    <n v="3"/>
    <n v="3534.83"/>
    <n v="0.05"/>
    <n v="0.05"/>
    <s v="Valid"/>
    <n v="10074.27"/>
    <n v="10074.2655"/>
    <n v="6048.27"/>
    <n v="4026"/>
    <n v="4025.9954999999991"/>
    <n v="-6048.27"/>
    <s v="Refunded"/>
    <s v="Refunded"/>
    <s v="Returned"/>
    <x v="2"/>
    <s v="Clean"/>
  </r>
  <r>
    <s v="ORD-2024-10012"/>
    <n v="1"/>
    <s v="Unique"/>
    <s v="2024-07-22"/>
    <s v="23-07-2024"/>
    <d v="2024-07-22T00:00:00"/>
    <d v="2024-07-23T00:00:00"/>
    <x v="0"/>
    <x v="0"/>
    <s v="Valid"/>
    <s v="Valid"/>
    <n v="1"/>
    <s v="CUST-6528"/>
    <s v="Vikram Iyer"/>
    <s v="Vikram Iyer"/>
    <s v="Small Business"/>
    <x v="1"/>
    <s v="East"/>
    <x v="1"/>
    <s v="Odisha"/>
    <s v="Odisha"/>
    <s v="Bhubaneswar"/>
    <s v="Bhubaneswar"/>
    <s v="Technology"/>
    <x v="2"/>
    <s v="Accessories"/>
    <x v="5"/>
    <s v="Smart Accessories 603"/>
    <s v="Same Day"/>
    <x v="1"/>
    <n v="6"/>
    <n v="2005.95"/>
    <n v="0.2"/>
    <n v="0.2"/>
    <s v="Valid"/>
    <n v="9628.56"/>
    <n v="9628.5600000000013"/>
    <n v="8038.59"/>
    <n v="1589.97"/>
    <n v="1589.9700000000012"/>
    <n v="-8038.59"/>
    <s v="Paid"/>
    <s v="Paid"/>
    <s v="Completed"/>
    <x v="0"/>
    <s v="Clean"/>
  </r>
  <r>
    <s v="ORD-2024-10013"/>
    <n v="1"/>
    <s v="Unique"/>
    <s v="20 Dec 2024"/>
    <s v="12/21/2024"/>
    <d v="2024-12-20T00:00:00"/>
    <d v="2024-12-21T00:00:00"/>
    <x v="7"/>
    <x v="0"/>
    <s v="Valid"/>
    <s v="Valid"/>
    <n v="1"/>
    <s v="CUST-2648"/>
    <s v="Ananya Rao"/>
    <s v="Ananya Rao"/>
    <s v="Corporate"/>
    <x v="2"/>
    <s v="West"/>
    <x v="3"/>
    <s v="Rajasthan"/>
    <s v="Rajasthan"/>
    <s v="Udaipur"/>
    <s v="Udaipur"/>
    <s v="Office Supplies"/>
    <x v="0"/>
    <s v="Paper"/>
    <x v="0"/>
    <s v="Pro Paper 481"/>
    <s v="First Class"/>
    <x v="2"/>
    <n v="1"/>
    <n v="702.14"/>
    <n v="0.15"/>
    <n v="0.15"/>
    <s v="Valid"/>
    <n v="596.82000000000005"/>
    <n v="596.81899999999996"/>
    <n v="380.25"/>
    <n v="216.57"/>
    <n v="216.56899999999996"/>
    <n v="-380.25"/>
    <s v="Pending"/>
    <s v="Pending"/>
    <s v="Returned"/>
    <x v="2"/>
    <s v="Clean"/>
  </r>
  <r>
    <s v="ORD-2025-10014"/>
    <n v="1"/>
    <s v="Unique"/>
    <s v="2025-10-12"/>
    <s v="16-10-2025"/>
    <d v="2025-12-10T00:00:00"/>
    <d v="2025-10-16T00:00:00"/>
    <x v="7"/>
    <x v="1"/>
    <s v="Valid"/>
    <s v="Valid"/>
    <n v="-55"/>
    <s v="CUST-7482"/>
    <s v="Priya Menon"/>
    <s v="Priya Menon"/>
    <s v="Small Business"/>
    <x v="1"/>
    <s v="West"/>
    <x v="3"/>
    <s v="Maharashtra"/>
    <s v="Maharashtra"/>
    <s v="Mumbai"/>
    <s v="Mumbai"/>
    <s v="Office Supplies"/>
    <x v="0"/>
    <s v="Art"/>
    <x v="2"/>
    <s v="Smart Art 795"/>
    <s v="Second Class"/>
    <x v="0"/>
    <n v="7"/>
    <n v="3964.72"/>
    <n v="0.05"/>
    <n v="0.05"/>
    <s v="Valid"/>
    <n v="26365.39"/>
    <n v="26365.387999999995"/>
    <n v="22306.240000000002"/>
    <n v="4059.15"/>
    <n v="4059.1479999999938"/>
    <n v="-22306.240000000002"/>
    <s v="Paid"/>
    <s v="Paid"/>
    <s v="Completed"/>
    <x v="0"/>
    <s v="Clean"/>
  </r>
  <r>
    <s v="ORD-2024-10015"/>
    <n v="1"/>
    <s v="Unique"/>
    <s v="27 Dec 2024"/>
    <s v="12/28/2024"/>
    <d v="2024-12-27T00:00:00"/>
    <d v="2024-12-28T00:00:00"/>
    <x v="7"/>
    <x v="0"/>
    <s v="Valid"/>
    <s v="Valid"/>
    <n v="1"/>
    <s v="CUST-4912"/>
    <s v="Rahul Verma"/>
    <s v="Rahul Verma"/>
    <s v="Consumer"/>
    <x v="0"/>
    <s v="West"/>
    <x v="3"/>
    <s v="Rajasthan"/>
    <s v="Rajasthan"/>
    <s v="Udaipur"/>
    <s v="Udaipur"/>
    <s v="Technology"/>
    <x v="2"/>
    <s v="Copiers"/>
    <x v="6"/>
    <s v="Max Copiers 983"/>
    <s v="Standard Class"/>
    <x v="3"/>
    <n v="2"/>
    <n v="2737.83"/>
    <n v="0.25"/>
    <n v="0.25"/>
    <s v="Valid"/>
    <n v="4106.74"/>
    <n v="4106.7449999999999"/>
    <n v="2666.3"/>
    <n v="1440.44"/>
    <n v="1440.4449999999997"/>
    <n v="-2666.3"/>
    <s v="Paid"/>
    <s v="Paid"/>
    <s v="Completed"/>
    <x v="0"/>
    <s v="Clean"/>
  </r>
  <r>
    <s v="ORD-2024-10016"/>
    <n v="1"/>
    <s v="Unique"/>
    <s v="07/09/2024"/>
    <s v="09 Jul 2024"/>
    <d v="2024-07-09T00:00:00"/>
    <d v="2024-09-07T00:00:00"/>
    <x v="0"/>
    <x v="0"/>
    <s v="Valid"/>
    <s v="Valid"/>
    <n v="60"/>
    <s v="CUST-7656"/>
    <s v="Karan Malhotra"/>
    <s v="Karan Malhotra"/>
    <s v="Small Business"/>
    <x v="1"/>
    <s v="North"/>
    <x v="0"/>
    <s v="Punjab"/>
    <s v="Punjab"/>
    <s v="Ludhiana"/>
    <s v="Ludhiana"/>
    <s v="Office Supplies"/>
    <x v="0"/>
    <s v="Storage"/>
    <x v="8"/>
    <s v="Classic Storage 198"/>
    <s v="Second Class"/>
    <x v="0"/>
    <n v="6"/>
    <n v="3965.76"/>
    <n v="0"/>
    <n v="0"/>
    <s v="Valid"/>
    <n v="23794.560000000001"/>
    <n v="23794.560000000001"/>
    <n v="15698.47"/>
    <n v="8096.09"/>
    <n v="8096.090000000002"/>
    <n v="-15698.47"/>
    <s v="Paid"/>
    <s v="Paid"/>
    <s v="Completed"/>
    <x v="0"/>
    <s v="Clean"/>
  </r>
  <r>
    <s v="ORD-2024-10017"/>
    <n v="1"/>
    <s v="Unique"/>
    <s v="05/08/2024"/>
    <s v="15-05-2024"/>
    <d v="2024-05-08T00:00:00"/>
    <d v="2024-05-15T00:00:00"/>
    <x v="4"/>
    <x v="0"/>
    <s v="Valid"/>
    <s v="Valid"/>
    <n v="7"/>
    <s v="CUST-6214"/>
    <s v="Aarav Sharma"/>
    <s v="Aarav Sharma"/>
    <s v="Consumer"/>
    <x v="0"/>
    <s v="South"/>
    <x v="2"/>
    <s v="Telangana"/>
    <s v="Telangana"/>
    <s v="Hyderabad"/>
    <s v="Hyderabad"/>
    <s v="Office Supplies"/>
    <x v="0"/>
    <s v="Art"/>
    <x v="2"/>
    <s v="Basic Art 204"/>
    <s v="First Class"/>
    <x v="2"/>
    <n v="4"/>
    <n v="3323.51"/>
    <n v="0.25"/>
    <n v="0.25"/>
    <s v="Valid"/>
    <n v="9970.5300000000007"/>
    <n v="9970.5300000000007"/>
    <n v="5668.17"/>
    <n v="4302.3599999999997"/>
    <n v="4302.3600000000006"/>
    <n v="-5668.17"/>
    <s v="Paid"/>
    <s v="Paid"/>
    <s v="Completed"/>
    <x v="0"/>
    <s v="Clean"/>
  </r>
  <r>
    <s v="ORD-2024-10018"/>
    <n v="1"/>
    <s v="Unique"/>
    <s v="01/07/2024"/>
    <s v="2024-01-08"/>
    <d v="2024-01-07T00:00:00"/>
    <d v="2024-08-01T00:00:00"/>
    <x v="8"/>
    <x v="0"/>
    <s v="Valid"/>
    <s v="Valid"/>
    <n v="207"/>
    <s v="CUST-1626"/>
    <s v="Sneha Kapoor"/>
    <s v="Sneha Kapoor"/>
    <s v="Small Business"/>
    <x v="1"/>
    <s v="North"/>
    <x v="0"/>
    <s v="Rajasthan"/>
    <s v="Rajasthan"/>
    <s v="Jaipur"/>
    <s v="Jaipur"/>
    <s v="Furniture"/>
    <x v="1"/>
    <s v="Furnishings"/>
    <x v="3"/>
    <s v="Basic Furnishings 434"/>
    <s v="Same Day"/>
    <x v="1"/>
    <n v="5"/>
    <n v="1526.78"/>
    <n v="0"/>
    <n v="0"/>
    <s v="Valid"/>
    <n v="7633.9"/>
    <n v="7633.9"/>
    <n v="4706.91"/>
    <n v="2926.99"/>
    <n v="2926.99"/>
    <n v="-4706.91"/>
    <s v="Paid"/>
    <s v="Paid"/>
    <s v="Completed"/>
    <x v="0"/>
    <s v="Clean"/>
  </r>
  <r>
    <s v="ORD-2025-10019"/>
    <n v="1"/>
    <s v="Unique"/>
    <s v="07/15/2025"/>
    <s v="17-07-2025"/>
    <d v="2025-07-15T00:00:00"/>
    <d v="2025-07-17T00:00:00"/>
    <x v="0"/>
    <x v="1"/>
    <s v="Valid"/>
    <s v="Valid"/>
    <n v="2"/>
    <s v="CUST-2110"/>
    <s v="Aarav Sharma"/>
    <s v="Aarav Sharma"/>
    <s v="Home Office"/>
    <x v="3"/>
    <s v="North"/>
    <x v="0"/>
    <s v="Uttar Pradesh"/>
    <s v="Uttar Pradesh"/>
    <s v="Noida"/>
    <s v="Noida"/>
    <s v="Technology"/>
    <x v="2"/>
    <s v="Copiers"/>
    <x v="6"/>
    <s v="Eco Copiers 755"/>
    <s v="First Class"/>
    <x v="2"/>
    <n v="2"/>
    <n v="1997.99"/>
    <n v="0"/>
    <n v="0"/>
    <s v="Valid"/>
    <n v="3995.98"/>
    <n v="3995.98"/>
    <n v="2633.2"/>
    <n v="1362.78"/>
    <n v="1362.7800000000002"/>
    <n v="-2633.2"/>
    <s v="Refunded"/>
    <s v="Refunded"/>
    <s v="Cancelled"/>
    <x v="1"/>
    <s v="Clean"/>
  </r>
  <r>
    <s v="ORD-2024-10020"/>
    <n v="1"/>
    <s v="Unique"/>
    <s v="07/27/2024"/>
    <s v="31 Jul 2024"/>
    <d v="2024-07-27T00:00:00"/>
    <d v="2024-07-31T00:00:00"/>
    <x v="0"/>
    <x v="0"/>
    <s v="Valid"/>
    <s v="Valid"/>
    <n v="4"/>
    <s v="CUST-3186"/>
    <s v="Rohan Mehta"/>
    <s v="Rohan Mehta"/>
    <s v="Home Office"/>
    <x v="3"/>
    <s v="West"/>
    <x v="3"/>
    <s v="Madhya Pradesh"/>
    <s v="Madhya Pradesh"/>
    <s v="Indore"/>
    <s v="Indore"/>
    <s v="Office Supplies"/>
    <x v="0"/>
    <s v="Storage"/>
    <x v="8"/>
    <s v="Prime Storage 121"/>
    <s v="Second Class"/>
    <x v="0"/>
    <n v="3"/>
    <n v="3887.94"/>
    <n v="-0.19"/>
    <n v="-0.19"/>
    <s v="Invalid - Negative Discount"/>
    <n v="9331.06"/>
    <n v="13879.9458"/>
    <n v="7529.31"/>
    <n v="1801.75"/>
    <n v="6350.6357999999991"/>
    <n v="-7529.31"/>
    <s v="Paid"/>
    <s v="Paid"/>
    <s v="Completed"/>
    <x v="0"/>
    <s v="Clean"/>
  </r>
  <r>
    <s v="ORD-2025-10021"/>
    <n v="1"/>
    <s v="Unique"/>
    <s v="21-01-2025"/>
    <s v="23 Jan 2025"/>
    <d v="2025-01-21T00:00:00"/>
    <d v="2025-01-23T00:00:00"/>
    <x v="8"/>
    <x v="1"/>
    <s v="Valid"/>
    <s v="Valid"/>
    <n v="2"/>
    <s v="CUST-3190"/>
    <s v="Aditi Sen"/>
    <s v="Aditi Sen"/>
    <s v="Home Office"/>
    <x v="3"/>
    <s v="East"/>
    <x v="1"/>
    <s v="Bihar"/>
    <s v="Bihar"/>
    <s v="Patna"/>
    <s v="Patna"/>
    <s v="Technology"/>
    <x v="2"/>
    <s v="Copiers"/>
    <x v="6"/>
    <s v="Elite Copiers 233"/>
    <s v="First Class"/>
    <x v="2"/>
    <n v="5"/>
    <n v="4373.0600000000004"/>
    <n v="0.25"/>
    <n v="0.25"/>
    <s v="Valid"/>
    <n v="16398.98"/>
    <n v="16398.975000000002"/>
    <n v="9556.52"/>
    <n v="6842.46"/>
    <n v="6842.4550000000017"/>
    <n v="-9556.52"/>
    <s v="Paid"/>
    <s v="Paid"/>
    <s v="Completed"/>
    <x v="0"/>
    <s v="Clean"/>
  </r>
  <r>
    <s v="ORD-2025-10022"/>
    <n v="1"/>
    <s v="Unique"/>
    <s v="24-01-2025"/>
    <s v="01/30/2025"/>
    <d v="2025-01-24T00:00:00"/>
    <d v="2025-01-30T00:00:00"/>
    <x v="8"/>
    <x v="1"/>
    <s v="Valid"/>
    <s v="Valid"/>
    <n v="6"/>
    <s v="CUST-3036"/>
    <s v="Sneha Kapoor"/>
    <s v="Sneha Kapoor"/>
    <s v="Consumer"/>
    <x v="0"/>
    <s v="West"/>
    <x v="3"/>
    <s v="Madhya Pradesh"/>
    <s v="Madhya Pradesh"/>
    <s v="Indore"/>
    <s v="Indore"/>
    <s v="Furniture"/>
    <x v="1"/>
    <s v="Furnishings"/>
    <x v="3"/>
    <s v="Eco Furnishings 897"/>
    <s v="Second Class"/>
    <x v="0"/>
    <n v="4"/>
    <n v="697.69"/>
    <n v="-0.23"/>
    <n v="-0.23"/>
    <s v="Invalid - Negative Discount"/>
    <n v="2790.76"/>
    <n v="3432.6348000000003"/>
    <n v="2037.71"/>
    <n v="753.05"/>
    <n v="1394.9248000000002"/>
    <n v="-2037.71"/>
    <s v="Paid"/>
    <s v="Paid"/>
    <s v="Completed"/>
    <x v="0"/>
    <s v="Clean"/>
  </r>
  <r>
    <s v="ORD-2025-10023"/>
    <n v="1"/>
    <s v="Unique"/>
    <s v="19 Jan 2025"/>
    <s v="2025-01-21"/>
    <d v="2025-01-19T00:00:00"/>
    <d v="2025-01-21T00:00:00"/>
    <x v="8"/>
    <x v="1"/>
    <s v="Valid"/>
    <s v="Valid"/>
    <n v="2"/>
    <s v="CUST-3588"/>
    <s v="Mira Das"/>
    <s v="Mira Das"/>
    <s v="Consumer"/>
    <x v="0"/>
    <s v="South"/>
    <x v="2"/>
    <s v="Telangana"/>
    <s v="Telangana"/>
    <s v="Hyderabad"/>
    <s v="Hyderabad"/>
    <s v="Office Supplies"/>
    <x v="0"/>
    <s v="Binders"/>
    <x v="9"/>
    <s v="Max Binders 355"/>
    <s v="Standard Class"/>
    <x v="3"/>
    <n v="8"/>
    <n v="1219.3399999999999"/>
    <n v="0.15"/>
    <n v="0.15"/>
    <s v="Valid"/>
    <n v="8291.51"/>
    <n v="8291.5119999999988"/>
    <n v="6685.03"/>
    <n v="1606.48"/>
    <n v="1606.4819999999991"/>
    <n v="-6685.03"/>
    <s v="Failed"/>
    <s v="Failed"/>
    <s v="Returned"/>
    <x v="2"/>
    <s v="Clean"/>
  </r>
  <r>
    <s v="ORD-2025-10024"/>
    <n v="2"/>
    <s v="Unique"/>
    <s v="29 Aug 2025"/>
    <s v="31-08-2025"/>
    <d v="2025-08-29T00:00:00"/>
    <d v="2025-08-31T00:00:00"/>
    <x v="1"/>
    <x v="1"/>
    <s v="Valid"/>
    <s v="Valid"/>
    <n v="2"/>
    <s v="CUST-7098"/>
    <s v="Rahul Verma"/>
    <s v="Rahul Verma"/>
    <s v="Home Office"/>
    <x v="3"/>
    <s v="East"/>
    <x v="1"/>
    <s v="Bihar"/>
    <s v="Bihar"/>
    <s v="Patna"/>
    <s v="Patna"/>
    <s v="Furniture"/>
    <x v="1"/>
    <s v="Bookcases"/>
    <x v="10"/>
    <s v="Pro Bookcases 394"/>
    <s v="First Class"/>
    <x v="2"/>
    <n v="4"/>
    <n v="1958.01"/>
    <n v="0.2"/>
    <n v="0.2"/>
    <s v="Valid"/>
    <n v="6265.63"/>
    <n v="6265.6320000000005"/>
    <n v="4321.8599999999997"/>
    <n v="1943.77"/>
    <n v="1943.7720000000008"/>
    <n v="-4321.8599999999997"/>
    <s v="Paid"/>
    <s v="Paid"/>
    <s v="Completed"/>
    <x v="0"/>
    <s v="Clean"/>
  </r>
  <r>
    <s v="ORD-2024-10025"/>
    <n v="1"/>
    <s v="Unique"/>
    <s v="2024-03-04"/>
    <s v="03/01/2024"/>
    <d v="2024-04-03T00:00:00"/>
    <d v="2024-03-01T00:00:00"/>
    <x v="5"/>
    <x v="0"/>
    <s v="Valid"/>
    <s v="Valid"/>
    <n v="-33"/>
    <s v="CUST-1747"/>
    <s v="Diya Patel"/>
    <s v="Diya Patel"/>
    <s v="Consumer"/>
    <x v="0"/>
    <s v="North"/>
    <x v="0"/>
    <s v="Punjab"/>
    <s v="Punjab"/>
    <s v="Ludhiana"/>
    <s v="Ludhiana"/>
    <s v="Office Supplies"/>
    <x v="0"/>
    <s v="Art"/>
    <x v="2"/>
    <s v="Max Art 215"/>
    <s v="Standard Class"/>
    <x v="3"/>
    <n v="4"/>
    <n v="4492.9399999999996"/>
    <n v="0.25"/>
    <n v="0.25"/>
    <s v="Valid"/>
    <n v="13478.82"/>
    <n v="13478.82"/>
    <n v="10937.35"/>
    <n v="2541.4699999999998"/>
    <n v="2541.4699999999993"/>
    <n v="-10937.35"/>
    <s v="Pending"/>
    <s v="Pending"/>
    <s v="Cancelled"/>
    <x v="1"/>
    <s v="Clean"/>
  </r>
  <r>
    <s v="ORD-2024-10026"/>
    <n v="1"/>
    <s v="Unique"/>
    <s v="11-10-2024"/>
    <s v="2024-10-19"/>
    <d v="2024-11-10T00:00:00"/>
    <d v="2024-10-19T00:00:00"/>
    <x v="3"/>
    <x v="0"/>
    <s v="Valid"/>
    <s v="Valid"/>
    <n v="-22"/>
    <s v="CUST-1731"/>
    <s v="Arjun Bose"/>
    <s v="Arjun Bose"/>
    <s v="Corporate"/>
    <x v="2"/>
    <s v="East"/>
    <x v="1"/>
    <s v="Assam"/>
    <s v="Assam"/>
    <s v="Guwahati"/>
    <s v="Guwahati"/>
    <s v="Technology"/>
    <x v="2"/>
    <s v="Accessories"/>
    <x v="5"/>
    <s v="Classic Accessories 478"/>
    <s v="First Class"/>
    <x v="2"/>
    <n v="2"/>
    <n v="4315.2"/>
    <n v="0.15"/>
    <n v="0.15"/>
    <s v="Valid"/>
    <n v="7335.84"/>
    <n v="7335.8399999999992"/>
    <n v="4968.41"/>
    <n v="2367.4299999999998"/>
    <n v="2367.4299999999994"/>
    <n v="-4968.41"/>
    <s v="Paid"/>
    <s v="Paid"/>
    <s v="Completed"/>
    <x v="0"/>
    <s v="Clean"/>
  </r>
  <r>
    <s v="ORD-2024-10027"/>
    <n v="1"/>
    <s v="Unique"/>
    <s v="23-11-2024"/>
    <s v="23 Nov 2024"/>
    <d v="2024-11-23T00:00:00"/>
    <d v="2024-11-23T00:00:00"/>
    <x v="3"/>
    <x v="0"/>
    <s v="Valid"/>
    <s v="Valid"/>
    <n v="0"/>
    <s v="CUST-4401"/>
    <s v="Diya Patel"/>
    <s v="Diya Patel"/>
    <s v="Corporate"/>
    <x v="2"/>
    <s v="North"/>
    <x v="0"/>
    <s v="Uttar Pradesh"/>
    <s v="Uttar Pradesh"/>
    <s v="Noida"/>
    <s v="Noida"/>
    <s v="Technology"/>
    <x v="2"/>
    <s v="Phones"/>
    <x v="11"/>
    <s v="Pro Phones 243"/>
    <s v="Standard Class"/>
    <x v="3"/>
    <n v="4"/>
    <n v="716.13"/>
    <n v="0.1"/>
    <n v="0.1"/>
    <s v="Valid"/>
    <n v="2578.0700000000002"/>
    <n v="2578.0680000000002"/>
    <n v="1527.55"/>
    <n v="1050.52"/>
    <n v="1050.5180000000003"/>
    <n v="-1527.55"/>
    <s v="Paid"/>
    <s v="Paid"/>
    <s v="Returned"/>
    <x v="2"/>
    <s v="Clean"/>
  </r>
  <r>
    <s v="ORD-2025-10028"/>
    <n v="1"/>
    <s v="Unique"/>
    <s v="29 Sep 2025"/>
    <s v="05-10-2025"/>
    <d v="2025-09-29T00:00:00"/>
    <d v="2025-05-10T00:00:00"/>
    <x v="9"/>
    <x v="1"/>
    <s v="Valid"/>
    <s v="Valid"/>
    <n v="-142"/>
    <s v="CUST-9875"/>
    <s v="Arjun Bose"/>
    <s v="Arjun Bose"/>
    <s v="Small Business"/>
    <x v="1"/>
    <s v="South"/>
    <x v="2"/>
    <s v="Karnataka"/>
    <s v="Karnataka"/>
    <s v="Bengaluru"/>
    <s v="Bengaluru"/>
    <s v="Office Supplies"/>
    <x v="0"/>
    <s v="Paper"/>
    <x v="0"/>
    <s v="Basic Paper 613"/>
    <s v="Second Class"/>
    <x v="0"/>
    <n v="5"/>
    <n v="1806.51"/>
    <n v="0.25"/>
    <n v="0.25"/>
    <s v="Valid"/>
    <n v="6774.41"/>
    <n v="6774.4124999999995"/>
    <n v="4710.3599999999997"/>
    <n v="2064.0500000000002"/>
    <n v="2064.0524999999998"/>
    <n v="-4710.3599999999997"/>
    <s v="Failed"/>
    <s v="Failed"/>
    <s v="Returned"/>
    <x v="2"/>
    <s v="Clean"/>
  </r>
  <r>
    <s v="ORD-2024-10029"/>
    <n v="2"/>
    <s v="Unique"/>
    <s v="11-10-2024"/>
    <s v="18-10-2024"/>
    <d v="2024-11-10T00:00:00"/>
    <d v="2024-10-18T00:00:00"/>
    <x v="3"/>
    <x v="0"/>
    <s v="Valid"/>
    <s v="Valid"/>
    <n v="-23"/>
    <s v="CUST-1569"/>
    <s v="Ananya Rao"/>
    <s v="Ananya Rao"/>
    <s v="Home Office"/>
    <x v="3"/>
    <s v="West"/>
    <x v="3"/>
    <s v="Gujarat"/>
    <s v="Gujarat"/>
    <s v="Ahmedabad"/>
    <s v="Ahmedabad"/>
    <s v="Technology"/>
    <x v="2"/>
    <s v="Phones"/>
    <x v="11"/>
    <s v="Prime Phones 698"/>
    <s v="Second Class"/>
    <x v="0"/>
    <n v="2"/>
    <n v="1942.22"/>
    <n v="0.25"/>
    <n v="0.25"/>
    <s v="Valid"/>
    <n v="2913.33"/>
    <n v="2913.33"/>
    <n v="2122.33"/>
    <n v="791"/>
    <n v="791"/>
    <n v="-2122.33"/>
    <s v="Refunded"/>
    <s v="Refunded"/>
    <s v="Cancelled"/>
    <x v="1"/>
    <s v="Clean"/>
  </r>
  <r>
    <s v="ORD-2025-10030"/>
    <n v="1"/>
    <s v="Unique"/>
    <s v="13 Aug 2025"/>
    <s v="13-08-2025"/>
    <d v="2025-08-13T00:00:00"/>
    <d v="2025-08-13T00:00:00"/>
    <x v="1"/>
    <x v="1"/>
    <s v="Valid"/>
    <s v="Valid"/>
    <n v="0"/>
    <s v="CUST-5936"/>
    <s v="Rohan Mehta"/>
    <s v="Rohan Mehta"/>
    <s v="Home Office"/>
    <x v="3"/>
    <s v="South"/>
    <x v="2"/>
    <s v="Kerala"/>
    <s v="Kerala"/>
    <s v="Kochi"/>
    <s v="Kochi"/>
    <s v="Technology"/>
    <x v="2"/>
    <s v="Phones"/>
    <x v="11"/>
    <s v="Pro Phones 442"/>
    <s v="Standard Class"/>
    <x v="3"/>
    <n v="1"/>
    <n v="256.01"/>
    <n v="0.15"/>
    <n v="0.15"/>
    <s v="Valid"/>
    <n v="217.61"/>
    <n v="217.60849999999999"/>
    <n v="119.77"/>
    <n v="97.84"/>
    <n v="97.838499999999996"/>
    <n v="-119.77"/>
    <s v="Paid"/>
    <s v="Paid"/>
    <s v="Completed"/>
    <x v="0"/>
    <s v="Clean"/>
  </r>
  <r>
    <s v="ORD-2024-10031"/>
    <n v="1"/>
    <s v="Unique"/>
    <s v="09 Feb 2024"/>
    <s v="02/12/2024"/>
    <d v="2024-09-02T00:00:00"/>
    <d v="2024-02-12T00:00:00"/>
    <x v="9"/>
    <x v="0"/>
    <s v="Valid"/>
    <s v="Valid"/>
    <n v="-203"/>
    <s v="CUST-8759"/>
    <s v="Ananya Rao"/>
    <s v="Ananya Rao"/>
    <s v="Corporate"/>
    <x v="2"/>
    <s v="West"/>
    <x v="3"/>
    <s v="Goa"/>
    <s v="Goa"/>
    <s v="Panaji"/>
    <s v="Panaji"/>
    <s v="Office Supplies"/>
    <x v="0"/>
    <s v="Labels"/>
    <x v="7"/>
    <s v="Pro Labels 355"/>
    <s v="First Class"/>
    <x v="2"/>
    <n v="1"/>
    <n v="3421.77"/>
    <n v="0.1"/>
    <n v="0.1"/>
    <s v="Valid"/>
    <n v="3079.59"/>
    <n v="3079.5929999999998"/>
    <n v="2001.89"/>
    <n v="1077.7"/>
    <n v="1077.7029999999997"/>
    <n v="-2001.89"/>
    <s v="Paid"/>
    <s v="Paid"/>
    <s v="Completed"/>
    <x v="0"/>
    <s v="Clean"/>
  </r>
  <r>
    <s v="ORD-2025-10032"/>
    <n v="1"/>
    <s v="Unique"/>
    <s v="15-06-2025"/>
    <s v="19-06-2025"/>
    <d v="2025-06-15T00:00:00"/>
    <d v="2025-06-19T00:00:00"/>
    <x v="2"/>
    <x v="1"/>
    <s v="Valid"/>
    <s v="Valid"/>
    <n v="4"/>
    <s v="CUST-7867"/>
    <s v="Karan Malhotra"/>
    <s v="Karan Malhotra"/>
    <s v="Small Business"/>
    <x v="1"/>
    <s v="West"/>
    <x v="3"/>
    <s v="Madhya Pradesh"/>
    <s v="Madhya Pradesh"/>
    <s v="Indore"/>
    <s v="Indore"/>
    <s v="Office Supplies"/>
    <x v="0"/>
    <s v="Paper"/>
    <x v="0"/>
    <s v="Pro Paper 959"/>
    <s v="Second Class"/>
    <x v="0"/>
    <n v="9"/>
    <n v="3092.55"/>
    <n v="0"/>
    <n v="0"/>
    <s v="Valid"/>
    <n v="27832.95"/>
    <n v="27832.95"/>
    <n v="17769.75"/>
    <n v="10063.200000000001"/>
    <n v="10063.200000000001"/>
    <n v="-17769.75"/>
    <s v="Failed"/>
    <s v="Failed"/>
    <s v="Returned"/>
    <x v="2"/>
    <s v="Clean"/>
  </r>
  <r>
    <s v="ORD-2024-10033"/>
    <n v="1"/>
    <s v="Unique"/>
    <s v="22-11-2024"/>
    <s v="2024-11-26"/>
    <d v="2024-11-22T00:00:00"/>
    <d v="2024-11-26T00:00:00"/>
    <x v="3"/>
    <x v="0"/>
    <s v="Valid"/>
    <s v="Valid"/>
    <n v="4"/>
    <s v="CUST-6509"/>
    <s v="Aarav Sharma"/>
    <s v="Aarav Sharma"/>
    <s v="Corporate"/>
    <x v="2"/>
    <s v="South"/>
    <x v="2"/>
    <s v="Andhra Pradesh"/>
    <s v="Andhra Pradesh"/>
    <s v="Vijayawada"/>
    <s v="Vijayawada"/>
    <s v="Technology"/>
    <x v="2"/>
    <s v="Phones"/>
    <x v="11"/>
    <s v="Basic Phones 242"/>
    <s v="Second Class"/>
    <x v="0"/>
    <n v="3"/>
    <n v="4001.25"/>
    <s v="Unknown"/>
    <s v="Unkown"/>
    <s v="Invalid - Above Range"/>
    <n v="9002.81"/>
    <s v="Unknown"/>
    <n v="7529.92"/>
    <n v="1472.89"/>
    <s v="Unknown"/>
    <s v="Unknown"/>
    <s v="Paid"/>
    <s v="Paid"/>
    <s v="Completed"/>
    <x v="0"/>
    <s v="Clean"/>
  </r>
  <r>
    <s v="ORD-2024-10034"/>
    <n v="1"/>
    <s v="Unique"/>
    <s v="07/22/2024"/>
    <s v="27-07-2024"/>
    <d v="2024-07-22T00:00:00"/>
    <d v="2024-07-27T00:00:00"/>
    <x v="0"/>
    <x v="0"/>
    <s v="Valid"/>
    <s v="Valid"/>
    <n v="5"/>
    <s v="CUST-6660"/>
    <s v="Priya Menon"/>
    <s v="Priya Menon"/>
    <s v="Home Office"/>
    <x v="3"/>
    <s v="West"/>
    <x v="3"/>
    <s v="Goa"/>
    <s v="Goa"/>
    <s v="Panaji"/>
    <s v="Panaji"/>
    <s v="Furniture"/>
    <x v="1"/>
    <s v="Tables"/>
    <x v="1"/>
    <s v="Max Tables 836"/>
    <s v="Same Day"/>
    <x v="1"/>
    <n v="7"/>
    <n v="492.41"/>
    <n v="0.25"/>
    <n v="0.25"/>
    <s v="Valid"/>
    <n v="2585.15"/>
    <n v="2585.1525000000001"/>
    <n v="2070.73"/>
    <n v="514.41999999999996"/>
    <n v="514.42250000000013"/>
    <n v="-2070.73"/>
    <s v="Paid"/>
    <s v="Paid"/>
    <s v="Completed"/>
    <x v="0"/>
    <s v="Clean"/>
  </r>
  <r>
    <s v="ORD-2025-10035"/>
    <n v="1"/>
    <s v="Unique"/>
    <s v="2025-01-31"/>
    <s v="2025-02-05"/>
    <d v="2025-01-31T00:00:00"/>
    <d v="2025-05-02T00:00:00"/>
    <x v="8"/>
    <x v="1"/>
    <s v="Valid"/>
    <s v="Valid"/>
    <n v="91"/>
    <s v="CUST-2392"/>
    <s v="Priya Menon"/>
    <s v="Priya Menon"/>
    <s v="Home Office"/>
    <x v="3"/>
    <s v="East"/>
    <x v="1"/>
    <s v="West Bengal"/>
    <s v="West Bengal"/>
    <s v="Kolkata"/>
    <s v="Kolkata"/>
    <s v="Furniture"/>
    <x v="1"/>
    <s v="Chairs"/>
    <x v="4"/>
    <s v="Elite Chairs 862"/>
    <s v="Unknown"/>
    <x v="4"/>
    <n v="2"/>
    <n v="4159.6899999999996"/>
    <n v="0.2"/>
    <n v="0.2"/>
    <s v="Valid"/>
    <n v="6655.5"/>
    <n v="6655.5039999999999"/>
    <n v="4340.21"/>
    <n v="2607.3200000000002"/>
    <n v="2315.2939999999999"/>
    <n v="-4340.21"/>
    <s v="Paid"/>
    <s v="Paid"/>
    <s v="Completed"/>
    <x v="0"/>
    <s v="Clean"/>
  </r>
  <r>
    <s v="ORD-2024-10036"/>
    <n v="1"/>
    <s v="Unique"/>
    <s v="29-05-2024"/>
    <s v="29 May 2024"/>
    <d v="2024-05-29T00:00:00"/>
    <d v="2024-05-29T00:00:00"/>
    <x v="4"/>
    <x v="0"/>
    <s v="Valid"/>
    <s v="Valid"/>
    <n v="0"/>
    <s v="CUST-1611"/>
    <s v="Sneha Kapoor"/>
    <s v="Sneha Kapoor"/>
    <s v="Small Business"/>
    <x v="1"/>
    <s v="West"/>
    <x v="3"/>
    <s v="Gujarat"/>
    <s v="Gujarat"/>
    <s v="Ahmedabad"/>
    <s v="Ahmedabad"/>
    <s v="Furniture"/>
    <x v="1"/>
    <s v="Bookcases"/>
    <x v="10"/>
    <s v="Prime Bookcases 414"/>
    <s v="Second Class"/>
    <x v="0"/>
    <n v="8"/>
    <n v="2507.12"/>
    <n v="0.05"/>
    <n v="0.05"/>
    <s v="Valid"/>
    <n v="19054.11"/>
    <n v="19054.111999999997"/>
    <n v="15313.83"/>
    <n v="3740.28"/>
    <n v="3740.2819999999974"/>
    <n v="-15313.83"/>
    <s v="Pending"/>
    <s v="Pending"/>
    <s v="Returned"/>
    <x v="2"/>
    <s v="Clean"/>
  </r>
  <r>
    <s v="ORD-2024-10037"/>
    <n v="1"/>
    <s v="Unique"/>
    <s v="2024-10-25"/>
    <s v="28 Oct 2024"/>
    <d v="2024-10-25T00:00:00"/>
    <d v="2024-10-28T00:00:00"/>
    <x v="10"/>
    <x v="0"/>
    <s v="Valid"/>
    <s v="Valid"/>
    <n v="3"/>
    <s v="CUST-8296"/>
    <s v="Rohan Mehta"/>
    <s v="Rohan Mehta"/>
    <s v="Corporate"/>
    <x v="2"/>
    <s v="West"/>
    <x v="3"/>
    <s v="Maharashtra"/>
    <s v="Maharashtra"/>
    <s v="Mumbai"/>
    <s v="Mumbai"/>
    <s v="Furniture"/>
    <x v="1"/>
    <s v="Bookcases"/>
    <x v="10"/>
    <s v="Eco Bookcases 220"/>
    <s v="Second Class"/>
    <x v="0"/>
    <n v="3"/>
    <n v="3126.47"/>
    <n v="0"/>
    <n v="0"/>
    <s v="Valid"/>
    <n v="9379.41"/>
    <n v="9379.41"/>
    <n v="6670.85"/>
    <n v="2708.56"/>
    <n v="2708.5599999999995"/>
    <n v="-6670.85"/>
    <s v="Paid"/>
    <s v="Paid"/>
    <s v="Returned"/>
    <x v="2"/>
    <s v="Clean"/>
  </r>
  <r>
    <s v="ORD-2025-10038"/>
    <n v="1"/>
    <s v="Unique"/>
    <s v="29-07-2025"/>
    <s v="29-07-2025"/>
    <d v="2025-07-29T00:00:00"/>
    <d v="2025-07-29T00:00:00"/>
    <x v="0"/>
    <x v="1"/>
    <s v="Valid"/>
    <s v="Valid"/>
    <n v="0"/>
    <s v="CUST-4646"/>
    <s v="Diya Patel"/>
    <s v="Diya Patel"/>
    <s v="Consumer"/>
    <x v="0"/>
    <s v="West"/>
    <x v="3"/>
    <s v="Maharashtra"/>
    <s v="Maharashtra"/>
    <s v="Mumbai"/>
    <s v="Mumbai"/>
    <s v="Technology"/>
    <x v="2"/>
    <s v="Copiers"/>
    <x v="6"/>
    <s v="Pro Copiers 830"/>
    <s v="Standard Class"/>
    <x v="3"/>
    <n v="4"/>
    <n v="1327.54"/>
    <n v="0.2"/>
    <n v="0.2"/>
    <s v="Valid"/>
    <n v="4248.13"/>
    <n v="4248.1279999999997"/>
    <n v="3321.09"/>
    <n v="927.04"/>
    <n v="927.03799999999956"/>
    <n v="-3321.09"/>
    <s v="Paid"/>
    <s v="Paid"/>
    <s v="Completed"/>
    <x v="0"/>
    <s v="Clean"/>
  </r>
  <r>
    <s v="ORD-2024-10039"/>
    <n v="1"/>
    <s v="Unique"/>
    <s v="2024-06-17"/>
    <s v="22-06-2024"/>
    <d v="2024-06-17T00:00:00"/>
    <d v="2024-06-22T00:00:00"/>
    <x v="2"/>
    <x v="0"/>
    <s v="Valid"/>
    <s v="Valid"/>
    <n v="5"/>
    <s v="CUST-8235"/>
    <s v="Aarav Sharma"/>
    <s v="Aarav Sharma"/>
    <s v="Corporate"/>
    <x v="2"/>
    <s v="West"/>
    <x v="3"/>
    <s v="Gujarat"/>
    <s v="Gujarat"/>
    <s v="Ahmedabad"/>
    <s v="Ahmedabad"/>
    <s v="Technology"/>
    <x v="2"/>
    <s v="Phones"/>
    <x v="11"/>
    <s v="Prime Phones 507"/>
    <s v="First Class"/>
    <x v="2"/>
    <n v="7"/>
    <n v="2210.6799999999998"/>
    <n v="0.1"/>
    <n v="0.1"/>
    <s v="Valid"/>
    <n v="13927.28"/>
    <n v="13927.284"/>
    <n v="10504.87"/>
    <n v="3422.41"/>
    <n v="3422.4139999999989"/>
    <n v="-10504.87"/>
    <s v="Paid"/>
    <s v="Paid"/>
    <s v="Completed"/>
    <x v="0"/>
    <s v="Clean"/>
  </r>
  <r>
    <s v="ORD-2024-10040"/>
    <n v="1"/>
    <s v="Unique"/>
    <s v="12/11/2024"/>
    <s v="2024-12-11"/>
    <d v="2024-12-11T00:00:00"/>
    <d v="2024-11-12T00:00:00"/>
    <x v="7"/>
    <x v="0"/>
    <s v="Valid"/>
    <s v="Valid"/>
    <n v="-29"/>
    <s v="CUST-5830"/>
    <s v="Mira Das"/>
    <s v="Mira Das"/>
    <s v="Small Business"/>
    <x v="1"/>
    <s v="West"/>
    <x v="3"/>
    <s v="Madhya Pradesh"/>
    <s v="Madhya Pradesh"/>
    <s v="Indore"/>
    <s v="Indore"/>
    <s v="Technology"/>
    <x v="2"/>
    <s v="Copiers"/>
    <x v="6"/>
    <s v="Classic Copiers 590"/>
    <s v="First Class"/>
    <x v="2"/>
    <n v="4"/>
    <n v="1370.92"/>
    <n v="0.1"/>
    <n v="0.1"/>
    <s v="Valid"/>
    <n v="4935.3100000000004"/>
    <n v="4935.3120000000008"/>
    <n v="3374.77"/>
    <n v="1560.54"/>
    <n v="1560.5420000000008"/>
    <n v="-3374.77"/>
    <s v="Pending"/>
    <s v="Pending"/>
    <s v="Returned"/>
    <x v="2"/>
    <s v="Clean"/>
  </r>
  <r>
    <s v="ORD-2024-10041"/>
    <n v="1"/>
    <s v="Unique"/>
    <s v="10-10-2024"/>
    <s v="16 Oct 2024"/>
    <d v="2024-10-10T00:00:00"/>
    <d v="2024-10-16T00:00:00"/>
    <x v="10"/>
    <x v="0"/>
    <s v="Valid"/>
    <s v="Valid"/>
    <n v="6"/>
    <s v="CUST-7178"/>
    <s v="Isha Nair"/>
    <s v="Isha Nair"/>
    <s v="Home Office"/>
    <x v="3"/>
    <s v="West"/>
    <x v="3"/>
    <s v="Rajasthan"/>
    <s v="Rajasthan"/>
    <s v="Udaipur"/>
    <s v="Udaipur"/>
    <s v="Technology"/>
    <x v="2"/>
    <s v="Copiers"/>
    <x v="6"/>
    <s v="Eco Copiers 865"/>
    <s v="Standard Class"/>
    <x v="3"/>
    <n v="7"/>
    <n v="2509.27"/>
    <n v="0.2"/>
    <n v="0.2"/>
    <s v="Valid"/>
    <n v="14051.91"/>
    <n v="14051.912"/>
    <n v="11990.37"/>
    <n v="2061.54"/>
    <n v="2061.5419999999995"/>
    <n v="-11990.37"/>
    <s v="Paid"/>
    <s v="Paid"/>
    <s v="Completed"/>
    <x v="0"/>
    <s v="Clean"/>
  </r>
  <r>
    <s v="ORD-2024-10042"/>
    <n v="1"/>
    <s v="Unique"/>
    <s v="03/12/2024"/>
    <s v="17-03-2024"/>
    <d v="2024-03-12T00:00:00"/>
    <d v="2024-03-17T00:00:00"/>
    <x v="11"/>
    <x v="0"/>
    <s v="Valid"/>
    <s v="Valid"/>
    <n v="5"/>
    <s v="CUST-3829"/>
    <s v="Aarav Sharma"/>
    <s v="Aarav Sharma"/>
    <s v="Small Business"/>
    <x v="1"/>
    <s v="East"/>
    <x v="1"/>
    <s v="Odisha"/>
    <s v="Odisha"/>
    <s v="Bhubaneswar"/>
    <s v="Bhubaneswar"/>
    <s v="Furniture"/>
    <x v="1"/>
    <s v="Bookcases"/>
    <x v="10"/>
    <s v="Classic Bookcases 835"/>
    <s v="Same Day"/>
    <x v="1"/>
    <n v="8"/>
    <n v="855.81"/>
    <n v="0"/>
    <n v="0"/>
    <s v="Valid"/>
    <n v="6846.48"/>
    <n v="6846.48"/>
    <n v="4239.8900000000003"/>
    <n v="2606.59"/>
    <n v="2606.5899999999992"/>
    <n v="-4239.8900000000003"/>
    <s v="Pending"/>
    <s v="Pending"/>
    <s v="Cancelled"/>
    <x v="1"/>
    <s v="Clean"/>
  </r>
  <r>
    <s v="ORD-2025-10043"/>
    <n v="1"/>
    <s v="Unique"/>
    <s v="2025-10-10"/>
    <s v="15 Oct 2025"/>
    <d v="2025-10-10T00:00:00"/>
    <d v="2025-10-15T00:00:00"/>
    <x v="10"/>
    <x v="1"/>
    <s v="Valid"/>
    <s v="Valid"/>
    <n v="5"/>
    <s v="CUST-6708"/>
    <s v="Arjun Bose"/>
    <s v="Arjun Bose"/>
    <s v="Corporate"/>
    <x v="2"/>
    <s v="East"/>
    <x v="1"/>
    <s v="Jharkhand"/>
    <s v="Jharkhand"/>
    <s v="Ranchi"/>
    <s v="Ranchi"/>
    <s v="Technology"/>
    <x v="2"/>
    <s v="Phones"/>
    <x v="11"/>
    <s v="Eco Phones 702"/>
    <s v="Standard Class"/>
    <x v="3"/>
    <n v="8"/>
    <n v="979.87"/>
    <n v="0.05"/>
    <n v="0.05"/>
    <s v="Valid"/>
    <n v="7447.01"/>
    <n v="7447.0119999999997"/>
    <n v="4496.22"/>
    <n v="2950.79"/>
    <n v="2950.7919999999995"/>
    <n v="-4496.22"/>
    <s v="Paid"/>
    <s v="Paid"/>
    <s v="Completed"/>
    <x v="0"/>
    <s v="Clean"/>
  </r>
  <r>
    <s v="ORD-2024-10044"/>
    <n v="1"/>
    <s v="Unique"/>
    <s v="07/08/2024"/>
    <s v="07/14/2024"/>
    <d v="2024-07-08T00:00:00"/>
    <d v="2024-07-14T00:00:00"/>
    <x v="0"/>
    <x v="0"/>
    <s v="Valid"/>
    <s v="Valid"/>
    <n v="6"/>
    <s v="CUST-7119"/>
    <s v="Priya Menon"/>
    <s v="Priya Menon"/>
    <s v="Small Business"/>
    <x v="1"/>
    <s v="East"/>
    <x v="1"/>
    <s v="Odisha"/>
    <s v="Odisha"/>
    <s v="Bhubaneswar"/>
    <s v="Bhubaneswar"/>
    <s v="Furniture"/>
    <x v="1"/>
    <s v="Furnishings"/>
    <x v="3"/>
    <s v="Smart Furnishings 956"/>
    <s v="Same Day"/>
    <x v="1"/>
    <n v="3"/>
    <n v="1010.23"/>
    <n v="0"/>
    <n v="0"/>
    <s v="Valid"/>
    <n v="3030.69"/>
    <n v="3030.69"/>
    <n v="1721.08"/>
    <n v="1309.6099999999999"/>
    <n v="1309.6100000000001"/>
    <n v="-1721.08"/>
    <s v="Paid"/>
    <s v="Paid"/>
    <s v="Completed"/>
    <x v="0"/>
    <s v="Clean"/>
  </r>
  <r>
    <s v="ORD-2024-10045"/>
    <n v="1"/>
    <s v="Unique"/>
    <s v="06/22/2024"/>
    <s v="25-06-2024"/>
    <d v="2024-06-22T00:00:00"/>
    <d v="2024-06-25T00:00:00"/>
    <x v="2"/>
    <x v="0"/>
    <s v="Valid"/>
    <s v="Valid"/>
    <n v="3"/>
    <s v="CUST-3373"/>
    <s v="Rohan Mehta"/>
    <s v="Rohan Mehta"/>
    <s v="Small Business"/>
    <x v="1"/>
    <s v="North"/>
    <x v="0"/>
    <s v="Haryana"/>
    <s v="Haryana"/>
    <s v="Gurugram"/>
    <s v="Gurugram"/>
    <s v="Furniture"/>
    <x v="1"/>
    <s v="Chairs"/>
    <x v="4"/>
    <s v="Max Chairs 393"/>
    <s v="Standard Class"/>
    <x v="3"/>
    <n v="9"/>
    <n v="3329.77"/>
    <n v="0.1"/>
    <n v="0.1"/>
    <s v="Valid"/>
    <n v="26971.14"/>
    <n v="26971.137000000002"/>
    <n v="17376.2"/>
    <n v="9594.94"/>
    <n v="9594.9370000000017"/>
    <n v="-17376.2"/>
    <s v="Paid"/>
    <s v="Paid"/>
    <s v="Completed"/>
    <x v="0"/>
    <s v="Clean"/>
  </r>
  <r>
    <s v="ORD-2024-10046"/>
    <n v="1"/>
    <s v="Unique"/>
    <s v="18 Jan 2024"/>
    <s v="24-01-2024"/>
    <d v="2024-01-18T00:00:00"/>
    <d v="2024-01-24T00:00:00"/>
    <x v="8"/>
    <x v="0"/>
    <s v="Valid"/>
    <s v="Valid"/>
    <n v="6"/>
    <s v="CUST-8896"/>
    <s v="Isha Nair"/>
    <s v="Isha Nair"/>
    <s v="Home Office"/>
    <x v="3"/>
    <s v="East"/>
    <x v="1"/>
    <s v="Bihar"/>
    <s v="Bihar"/>
    <s v="Patna"/>
    <s v="Patna"/>
    <s v="Office Supplies"/>
    <x v="0"/>
    <s v="Art"/>
    <x v="2"/>
    <s v="Prime Art 221"/>
    <s v="Second Class"/>
    <x v="0"/>
    <n v="8"/>
    <n v="3927.82"/>
    <n v="0.05"/>
    <n v="0.05"/>
    <s v="Valid"/>
    <n v="29851.43"/>
    <n v="29851.432000000001"/>
    <n v="17487.48"/>
    <n v="12363.95"/>
    <n v="12363.952000000001"/>
    <n v="-17487.48"/>
    <s v="Pending"/>
    <s v="Pending"/>
    <s v="Returned"/>
    <x v="2"/>
    <s v="Clean"/>
  </r>
  <r>
    <s v="ORD-2024-10047"/>
    <n v="1"/>
    <s v="Unique"/>
    <s v="19-07-2024"/>
    <s v="19-07-2024"/>
    <d v="2024-07-19T00:00:00"/>
    <d v="2024-07-19T00:00:00"/>
    <x v="0"/>
    <x v="0"/>
    <s v="Valid"/>
    <s v="Valid"/>
    <n v="0"/>
    <s v="CUST-8517"/>
    <s v="Ananya Rao"/>
    <s v="Ananya Rao"/>
    <s v="Small Business"/>
    <x v="1"/>
    <s v="South"/>
    <x v="2"/>
    <s v="Kerala"/>
    <s v="Kerala"/>
    <s v="Kochi"/>
    <s v="Kochi"/>
    <s v="Furniture"/>
    <x v="1"/>
    <s v="Bookcases"/>
    <x v="10"/>
    <s v="Elite Bookcases 671"/>
    <s v="Standard Class"/>
    <x v="3"/>
    <n v="9"/>
    <n v="2386.79"/>
    <n v="0.25"/>
    <n v="0.25"/>
    <s v="Valid"/>
    <n v="16110.83"/>
    <n v="16110.8325"/>
    <n v="10680.03"/>
    <n v="5430.8"/>
    <n v="5430.8024999999998"/>
    <n v="-10680.03"/>
    <s v="Refunded"/>
    <s v="Refunded"/>
    <s v="Returned"/>
    <x v="2"/>
    <s v="Clean"/>
  </r>
  <r>
    <s v="ORD-2024-10048"/>
    <n v="1"/>
    <s v="Unique"/>
    <s v="12-08-2024"/>
    <s v="2024-08-12"/>
    <d v="2024-12-08T00:00:00"/>
    <d v="2024-12-08T00:00:00"/>
    <x v="7"/>
    <x v="0"/>
    <s v="Valid"/>
    <s v="Valid"/>
    <n v="0"/>
    <s v="CUST-1987"/>
    <s v="Rahul Verma"/>
    <s v="Rahul Verma"/>
    <s v="Corporate"/>
    <x v="2"/>
    <s v="South"/>
    <x v="2"/>
    <s v="Tamil Nadu"/>
    <s v="Tamil Nadu"/>
    <s v="Chennai"/>
    <s v="Chennai"/>
    <s v="Office Supplies"/>
    <x v="0"/>
    <s v="Storage"/>
    <x v="8"/>
    <s v="Max Storage 432"/>
    <s v="Standard Class"/>
    <x v="3"/>
    <n v="8"/>
    <n v="2445.31"/>
    <n v="0.1"/>
    <n v="0.1"/>
    <s v="Valid"/>
    <n v="17606.23"/>
    <n v="17606.232"/>
    <n v="12438.96"/>
    <n v="5167.2700000000004"/>
    <n v="5167.2720000000008"/>
    <n v="-12438.96"/>
    <s v="Paid"/>
    <s v="Paid"/>
    <s v="Completed"/>
    <x v="0"/>
    <s v="Clean"/>
  </r>
  <r>
    <s v="ORD-2025-10049"/>
    <n v="1"/>
    <s v="Unique"/>
    <s v="30 Jan 2025"/>
    <s v="05 Feb 2025"/>
    <d v="2025-01-30T00:00:00"/>
    <d v="2025-05-02T00:00:00"/>
    <x v="8"/>
    <x v="1"/>
    <s v="Valid"/>
    <s v="Valid"/>
    <n v="92"/>
    <s v="CUST-8183"/>
    <s v="Neha Gupta"/>
    <s v="Neha Gupta"/>
    <s v="Corporate"/>
    <x v="2"/>
    <s v="West"/>
    <x v="3"/>
    <s v="Maharashtra"/>
    <s v="Maharashtra"/>
    <s v="Mumbai"/>
    <s v="Mumbai"/>
    <s v="Furniture"/>
    <x v="1"/>
    <s v="Chairs"/>
    <x v="4"/>
    <s v="Basic Chairs 837"/>
    <s v="Second Class"/>
    <x v="0"/>
    <n v="7"/>
    <n v="4063.66"/>
    <n v="0"/>
    <n v="0"/>
    <s v="Valid"/>
    <n v="28445.62"/>
    <n v="28445.62"/>
    <n v="20938.59"/>
    <n v="7507.03"/>
    <n v="7507.0299999999988"/>
    <n v="-20938.59"/>
    <s v="Paid"/>
    <s v="Paid"/>
    <s v="Completed"/>
    <x v="0"/>
    <s v="Clean"/>
  </r>
  <r>
    <s v="ORD-2024-10050"/>
    <n v="1"/>
    <s v="Unique"/>
    <s v="2024-04-06"/>
    <s v="13 Apr 2024"/>
    <d v="2024-06-04T00:00:00"/>
    <d v="2024-04-13T00:00:00"/>
    <x v="2"/>
    <x v="0"/>
    <s v="Valid"/>
    <s v="Valid"/>
    <n v="-52"/>
    <s v="CUST-2380"/>
    <s v="Aarav Sharma"/>
    <s v="Aarav Sharma"/>
    <s v="Home Office"/>
    <x v="3"/>
    <s v="North"/>
    <x v="0"/>
    <s v="Uttar Pradesh"/>
    <s v="Uttar Pradesh"/>
    <s v="Noida"/>
    <s v="Noida"/>
    <s v="Technology"/>
    <x v="2"/>
    <s v="Copiers"/>
    <x v="6"/>
    <s v="Classic Copiers 295"/>
    <s v="Second Class"/>
    <x v="0"/>
    <n v="9"/>
    <n v="792.11"/>
    <n v="0.05"/>
    <n v="0.05"/>
    <s v="Valid"/>
    <n v="6772.54"/>
    <n v="6772.5404999999992"/>
    <n v="5755.46"/>
    <n v="1017.08"/>
    <n v="1017.0804999999991"/>
    <n v="-5755.46"/>
    <s v="Paid"/>
    <s v="Paid"/>
    <s v="Completed"/>
    <x v="0"/>
    <s v="Clean"/>
  </r>
  <r>
    <s v="ORD-2025-10051"/>
    <n v="1"/>
    <s v="Unique"/>
    <s v="05/11/2025"/>
    <s v="19 May 2025"/>
    <d v="2025-05-11T00:00:00"/>
    <d v="2025-05-19T00:00:00"/>
    <x v="4"/>
    <x v="1"/>
    <s v="Valid"/>
    <s v="Valid"/>
    <n v="8"/>
    <s v="CUST-8787"/>
    <s v="Sneha Kapoor"/>
    <s v="Sneha Kapoor"/>
    <s v="Consumer"/>
    <x v="0"/>
    <s v="East"/>
    <x v="1"/>
    <s v="West Bengal"/>
    <s v="West Bengal"/>
    <s v="Kolkata"/>
    <s v="Kolkata"/>
    <s v="Technology"/>
    <x v="2"/>
    <s v="Copiers"/>
    <x v="6"/>
    <s v="Pro Copiers 963"/>
    <s v="Standard Class"/>
    <x v="3"/>
    <n v="1"/>
    <n v="2382.8000000000002"/>
    <n v="0.15"/>
    <n v="0.15"/>
    <s v="Valid"/>
    <n v="2025.38"/>
    <n v="2025.38"/>
    <n v="1140.6500000000001"/>
    <n v="884.73"/>
    <n v="884.73"/>
    <n v="-1140.6500000000001"/>
    <s v="Paid"/>
    <s v="Paid"/>
    <s v="Completed"/>
    <x v="0"/>
    <s v="Clean"/>
  </r>
  <r>
    <s v="ORD-2024-10052"/>
    <n v="1"/>
    <s v="Unique"/>
    <s v="24 Apr 2024"/>
    <s v="29 Apr 2024"/>
    <d v="2024-04-24T00:00:00"/>
    <d v="2024-04-29T00:00:00"/>
    <x v="5"/>
    <x v="0"/>
    <s v="Valid"/>
    <s v="Valid"/>
    <n v="5"/>
    <s v="CUST-3557"/>
    <s v="Ananya Rao"/>
    <s v="Ananya Rao"/>
    <s v="Corporate"/>
    <x v="2"/>
    <s v="South"/>
    <x v="2"/>
    <s v="Telangana"/>
    <s v="Telangana"/>
    <s v="Hyderabad"/>
    <s v="Hyderabad"/>
    <s v="Office Supplies"/>
    <x v="0"/>
    <s v="Art"/>
    <x v="2"/>
    <s v="Pro Art 907"/>
    <s v="Standard Class"/>
    <x v="3"/>
    <n v="6"/>
    <n v="1528.08"/>
    <n v="0"/>
    <n v="0"/>
    <s v="Valid"/>
    <n v="9168.48"/>
    <n v="9168.48"/>
    <n v="7439.77"/>
    <n v="1728.71"/>
    <n v="1728.7099999999991"/>
    <n v="-7439.77"/>
    <s v="Paid"/>
    <s v="Paid"/>
    <s v="Completed"/>
    <x v="0"/>
    <s v="Clean"/>
  </r>
  <r>
    <s v="ORD-2024-10053"/>
    <n v="1"/>
    <s v="Unique"/>
    <s v="26-10-2024"/>
    <s v="2024-10-28"/>
    <d v="2024-10-26T00:00:00"/>
    <d v="2024-10-28T00:00:00"/>
    <x v="10"/>
    <x v="0"/>
    <s v="Valid"/>
    <s v="Valid"/>
    <n v="2"/>
    <s v="CUST-2778"/>
    <s v="Kabir Singh"/>
    <s v="Kabir Singh"/>
    <s v="Small Business"/>
    <x v="1"/>
    <s v="North"/>
    <x v="0"/>
    <s v="Rajasthan"/>
    <s v="Rajasthan"/>
    <s v="Jaipur"/>
    <s v="Jaipur"/>
    <s v="Furniture"/>
    <x v="1"/>
    <s v="Chairs"/>
    <x v="4"/>
    <s v="Pro Chairs 526"/>
    <s v="First Class"/>
    <x v="2"/>
    <n v="9"/>
    <n v="1399.63"/>
    <n v="0"/>
    <n v="0"/>
    <s v="Valid"/>
    <n v="12596.67"/>
    <n v="12596.670000000002"/>
    <n v="10603.29"/>
    <n v="1993.38"/>
    <n v="1993.380000000001"/>
    <n v="-10603.29"/>
    <s v="Failed"/>
    <s v="Failed"/>
    <s v="Cancelled"/>
    <x v="1"/>
    <s v="Clean"/>
  </r>
  <r>
    <s v="ORD-2025-10054"/>
    <n v="1"/>
    <s v="Unique"/>
    <s v="31 Mar 2025"/>
    <s v="2025-03-31"/>
    <d v="2025-03-31T00:00:00"/>
    <d v="2025-03-31T00:00:00"/>
    <x v="11"/>
    <x v="1"/>
    <s v="Valid"/>
    <s v="Valid"/>
    <n v="0"/>
    <s v="CUST-7195"/>
    <s v="Kabir Singh"/>
    <s v="Kabir Singh"/>
    <s v="Home Office"/>
    <x v="3"/>
    <s v="West"/>
    <x v="3"/>
    <s v="Gujarat"/>
    <s v="Gujarat"/>
    <s v="Ahmedabad"/>
    <s v="Ahmedabad"/>
    <s v="Office Supplies"/>
    <x v="0"/>
    <s v="Storage"/>
    <x v="8"/>
    <s v="Elite Storage 924"/>
    <s v="First Class"/>
    <x v="2"/>
    <n v="5"/>
    <n v="1207.47"/>
    <n v="0.15"/>
    <n v="0.15"/>
    <s v="Valid"/>
    <n v="5131.75"/>
    <n v="5131.7475000000004"/>
    <n v="2838.68"/>
    <n v="2293.0700000000002"/>
    <n v="2293.0675000000006"/>
    <n v="-2838.68"/>
    <s v="Paid"/>
    <s v="Paid"/>
    <s v="Completed"/>
    <x v="0"/>
    <s v="Clean"/>
  </r>
  <r>
    <s v="ORD-2025-10055"/>
    <n v="1"/>
    <s v="Unique"/>
    <s v="30 May 2025"/>
    <s v="2025-06-02"/>
    <d v="2025-05-30T00:00:00"/>
    <d v="2025-02-06T00:00:00"/>
    <x v="4"/>
    <x v="1"/>
    <s v="Valid"/>
    <s v="Valid"/>
    <n v="-113"/>
    <s v="CUST-9039"/>
    <s v="Arjun Bose"/>
    <s v="Arjun Bose"/>
    <s v="Corporate"/>
    <x v="2"/>
    <s v="South"/>
    <x v="2"/>
    <s v="Tamil Nadu"/>
    <s v="Tamil Nadu"/>
    <s v="Chennai"/>
    <s v="Chennai"/>
    <s v="Office Supplies"/>
    <x v="0"/>
    <s v="Labels"/>
    <x v="7"/>
    <s v="Pro Labels 957"/>
    <s v="Same Day"/>
    <x v="1"/>
    <n v="8"/>
    <n v="474.37"/>
    <n v="0.1"/>
    <n v="0.1"/>
    <s v="Valid"/>
    <n v="3415.46"/>
    <n v="3415.4639999999999"/>
    <n v="1993.23"/>
    <n v="1422.23"/>
    <n v="1422.2339999999999"/>
    <n v="-1993.23"/>
    <s v="Failed"/>
    <s v="Failed"/>
    <s v="Cancelled"/>
    <x v="1"/>
    <s v="Clean"/>
  </r>
  <r>
    <s v="ORD-2025-10056"/>
    <n v="1"/>
    <s v="Unique"/>
    <s v="01-07-2025"/>
    <s v="03-07-2025"/>
    <d v="2025-01-07T00:00:00"/>
    <d v="2025-03-07T00:00:00"/>
    <x v="8"/>
    <x v="1"/>
    <s v="Valid"/>
    <s v="Valid"/>
    <n v="59"/>
    <s v="CUST-9821"/>
    <s v="Mira Das"/>
    <s v="Mira Das"/>
    <s v="Small Business"/>
    <x v="1"/>
    <s v="South"/>
    <x v="2"/>
    <s v="Andhra Pradesh"/>
    <s v="Andhra Pradesh"/>
    <s v="Vijayawada"/>
    <s v="Vijayawada"/>
    <s v="Technology"/>
    <x v="2"/>
    <s v="Machines"/>
    <x v="12"/>
    <s v="Classic Machines 310"/>
    <s v="Same Day"/>
    <x v="1"/>
    <n v="3"/>
    <n v="1516.24"/>
    <n v="0.25"/>
    <n v="0.25"/>
    <s v="Valid"/>
    <n v="3411.54"/>
    <n v="3411.54"/>
    <n v="2803.13"/>
    <n v="608.41"/>
    <n v="608.40999999999985"/>
    <n v="-2803.13"/>
    <s v="Paid"/>
    <s v="Paid"/>
    <s v="Completed"/>
    <x v="0"/>
    <s v="Clean"/>
  </r>
  <r>
    <s v="ORD-2025-10057"/>
    <n v="1"/>
    <s v="Unique"/>
    <s v="2025-01-05"/>
    <s v="06-01-2025"/>
    <d v="2025-05-01T00:00:00"/>
    <d v="2025-06-01T00:00:00"/>
    <x v="4"/>
    <x v="1"/>
    <s v="Valid"/>
    <s v="Valid"/>
    <n v="31"/>
    <s v="CUST-8701"/>
    <s v="Karan Malhotra"/>
    <s v="Karan Malhotra"/>
    <s v="Consumer"/>
    <x v="0"/>
    <s v="South"/>
    <x v="2"/>
    <s v="Karnataka"/>
    <s v="Karnataka"/>
    <s v="Bengaluru"/>
    <s v="Bengaluru"/>
    <s v="Office Supplies"/>
    <x v="0"/>
    <s v="Binders"/>
    <x v="9"/>
    <s v="Smart Binders 393"/>
    <s v="Second Class"/>
    <x v="0"/>
    <n v="3"/>
    <n v="3155.61"/>
    <n v="0"/>
    <n v="0"/>
    <s v="Valid"/>
    <n v="9466.83"/>
    <n v="9466.83"/>
    <n v="6557.83"/>
    <n v="2909"/>
    <n v="2909"/>
    <n v="-6557.83"/>
    <s v="Refunded"/>
    <s v="Refunded"/>
    <s v="Cancelled"/>
    <x v="1"/>
    <s v="Clean"/>
  </r>
  <r>
    <s v="ORD-2024-10058"/>
    <n v="1"/>
    <s v="Unique"/>
    <s v="2024-02-07"/>
    <s v="15 Feb 2024"/>
    <d v="2024-07-02T00:00:00"/>
    <d v="2024-02-15T00:00:00"/>
    <x v="0"/>
    <x v="0"/>
    <s v="Valid"/>
    <s v="Valid"/>
    <n v="-138"/>
    <s v="CUST-9941"/>
    <s v="Priya Menon"/>
    <s v="Priya Menon"/>
    <s v="Consumer"/>
    <x v="0"/>
    <s v="West"/>
    <x v="3"/>
    <s v="Goa"/>
    <s v="Goa"/>
    <s v="Panaji"/>
    <s v="Panaji"/>
    <s v="Furniture"/>
    <x v="1"/>
    <s v="Chairs"/>
    <x v="4"/>
    <s v="Max Chairs 813"/>
    <s v="Same Day"/>
    <x v="1"/>
    <n v="5"/>
    <n v="255.87"/>
    <n v="0"/>
    <n v="0"/>
    <s v="Valid"/>
    <n v="1279.3499999999999"/>
    <n v="1279.3499999999999"/>
    <n v="1091.54"/>
    <n v="187.81"/>
    <n v="187.80999999999995"/>
    <n v="-1091.54"/>
    <s v="Paid"/>
    <s v="Paid"/>
    <s v="Completed"/>
    <x v="0"/>
    <s v="Clean"/>
  </r>
  <r>
    <s v="ORD-2024-10059"/>
    <n v="1"/>
    <s v="Unique"/>
    <s v="2024-09-01"/>
    <s v="2024-09-07"/>
    <d v="2024-01-09T00:00:00"/>
    <d v="2024-07-09T00:00:00"/>
    <x v="8"/>
    <x v="0"/>
    <s v="Valid"/>
    <s v="Valid"/>
    <n v="182"/>
    <s v="CUST-3983"/>
    <s v="Isha Nair"/>
    <s v="Isha Nair"/>
    <s v="Home Office"/>
    <x v="3"/>
    <s v="North"/>
    <x v="0"/>
    <s v="Rajasthan"/>
    <s v="Rajasthan"/>
    <s v="Jaipur"/>
    <s v="Jaipur"/>
    <s v="Office Supplies"/>
    <x v="0"/>
    <s v="Storage"/>
    <x v="8"/>
    <s v="Basic Storage 872"/>
    <s v="Unknown"/>
    <x v="4"/>
    <n v="9"/>
    <n v="1389.48"/>
    <n v="0.1"/>
    <n v="0.1"/>
    <s v="Valid"/>
    <n v="11254.79"/>
    <n v="11254.788"/>
    <n v="6578.06"/>
    <n v="4676.7299999999996"/>
    <n v="4676.7280000000001"/>
    <n v="-6578.06"/>
    <s v="Pending"/>
    <s v="Pending"/>
    <s v="Returned"/>
    <x v="2"/>
    <s v="Clean"/>
  </r>
  <r>
    <s v="ORD-2024-10060"/>
    <n v="1"/>
    <s v="Unique"/>
    <s v="20-07-2024"/>
    <s v="25 Jul 2024"/>
    <d v="2024-07-20T00:00:00"/>
    <d v="2024-07-25T00:00:00"/>
    <x v="0"/>
    <x v="0"/>
    <s v="Valid"/>
    <s v="Valid"/>
    <n v="5"/>
    <s v="CUST-2418"/>
    <s v="Priya Menon"/>
    <s v="Priya Menon"/>
    <s v="Corporate"/>
    <x v="2"/>
    <s v="East"/>
    <x v="1"/>
    <s v="Assam"/>
    <s v="Assam"/>
    <s v="Guwahati"/>
    <s v="Guwahati"/>
    <s v="Office Supplies"/>
    <x v="0"/>
    <s v="Labels"/>
    <x v="7"/>
    <s v="Smart Labels 655"/>
    <s v="Same Day"/>
    <x v="1"/>
    <n v="5"/>
    <n v="4133.8500000000004"/>
    <n v="0.2"/>
    <n v="0.2"/>
    <s v="Valid"/>
    <n v="16535.400000000001"/>
    <n v="16535.400000000001"/>
    <n v="12990.21"/>
    <n v="3545.19"/>
    <n v="3545.1900000000023"/>
    <n v="-12990.21"/>
    <s v="Paid"/>
    <s v="Paid"/>
    <s v="Cancelled"/>
    <x v="1"/>
    <s v="Clean"/>
  </r>
  <r>
    <s v="ORD-2024-10061"/>
    <n v="1"/>
    <s v="Unique"/>
    <s v="07/13/2024"/>
    <s v="2024-07-19"/>
    <d v="2024-07-13T00:00:00"/>
    <d v="2024-07-19T00:00:00"/>
    <x v="0"/>
    <x v="0"/>
    <s v="Valid"/>
    <s v="Valid"/>
    <n v="6"/>
    <s v="CUST-2892"/>
    <s v="Ananya Rao"/>
    <s v="Ananya Rao"/>
    <s v="Corporate"/>
    <x v="2"/>
    <s v="East"/>
    <x v="1"/>
    <s v="Assam"/>
    <s v="Assam"/>
    <s v="Guwahati"/>
    <s v="Guwahati"/>
    <s v="Office Supplies"/>
    <x v="0"/>
    <s v="Labels"/>
    <x v="7"/>
    <s v="Eco Labels 210"/>
    <s v="Same Day"/>
    <x v="1"/>
    <n v="3"/>
    <n v="275.76"/>
    <n v="0.2"/>
    <n v="0.2"/>
    <s v="Valid"/>
    <n v="661.82"/>
    <n v="661.82400000000007"/>
    <n v="481.47"/>
    <n v="180.35"/>
    <n v="180.35400000000004"/>
    <n v="-481.47"/>
    <s v="Refunded"/>
    <s v="Refunded"/>
    <s v="Cancelled"/>
    <x v="1"/>
    <s v="Clean"/>
  </r>
  <r>
    <s v="ORD-2024-10062"/>
    <n v="1"/>
    <s v="Unique"/>
    <s v="16 Apr 2024"/>
    <s v="04/16/2024"/>
    <d v="2024-04-16T00:00:00"/>
    <d v="2024-04-16T00:00:00"/>
    <x v="5"/>
    <x v="0"/>
    <s v="Valid"/>
    <s v="Valid"/>
    <n v="0"/>
    <s v="CUST-7008"/>
    <s v="Vikram Iyer"/>
    <s v="Vikram Iyer"/>
    <s v="Home Office"/>
    <x v="3"/>
    <s v="East"/>
    <x v="1"/>
    <s v="Bihar"/>
    <s v="Bihar"/>
    <s v="Patna"/>
    <s v="Patna"/>
    <s v="Furniture"/>
    <x v="1"/>
    <s v="Bookcases"/>
    <x v="10"/>
    <s v="Classic Bookcases 296"/>
    <s v="Standard Class"/>
    <x v="3"/>
    <n v="1"/>
    <n v="949.59"/>
    <n v="0"/>
    <n v="0"/>
    <s v="Valid"/>
    <n v="949.59"/>
    <n v="949.59"/>
    <n v="751.25"/>
    <n v="198.34"/>
    <n v="198.34000000000003"/>
    <n v="-751.25"/>
    <s v="Paid"/>
    <s v="Paid"/>
    <s v="Completed"/>
    <x v="0"/>
    <s v="Clean"/>
  </r>
  <r>
    <s v="ORD-2024-10063"/>
    <n v="1"/>
    <s v="Unique"/>
    <s v="30 Oct 2024"/>
    <s v="02-11-2024"/>
    <d v="2024-10-30T00:00:00"/>
    <d v="2024-02-11T00:00:00"/>
    <x v="10"/>
    <x v="0"/>
    <s v="Valid"/>
    <s v="Valid"/>
    <n v="-262"/>
    <s v="CUST-4900"/>
    <s v="Sneha Kapoor"/>
    <s v="Sneha Kapoor"/>
    <s v="Home Office"/>
    <x v="3"/>
    <s v="North"/>
    <x v="0"/>
    <s v="Rajasthan"/>
    <s v="Rajasthan"/>
    <s v="Jaipur"/>
    <s v="Jaipur"/>
    <s v="Technology"/>
    <x v="2"/>
    <s v="Phones"/>
    <x v="11"/>
    <s v="Basic Phones 230"/>
    <s v="Standard Class"/>
    <x v="3"/>
    <n v="9"/>
    <n v="3042.29"/>
    <n v="0.2"/>
    <n v="0.2"/>
    <s v="Valid"/>
    <n v="21904.49"/>
    <n v="21904.488000000001"/>
    <n v="13570.55"/>
    <n v="8333.94"/>
    <n v="8333.9380000000019"/>
    <n v="-13570.55"/>
    <s v="Paid"/>
    <s v="Paid"/>
    <s v="Completed"/>
    <x v="0"/>
    <s v="Clean"/>
  </r>
  <r>
    <s v="ORD-2024-10064"/>
    <n v="1"/>
    <s v="Unique"/>
    <s v="2024-01-25"/>
    <s v="01-02-2024"/>
    <d v="2024-01-25T00:00:00"/>
    <d v="2024-01-02T00:00:00"/>
    <x v="8"/>
    <x v="0"/>
    <s v="Valid"/>
    <s v="Valid"/>
    <n v="-23"/>
    <s v="CUST-5382"/>
    <s v="Sneha Kapoor"/>
    <s v="Sneha Kapoor"/>
    <s v="Home Office"/>
    <x v="3"/>
    <s v="North"/>
    <x v="0"/>
    <s v="Haryana"/>
    <s v="Haryana"/>
    <s v="Gurugram"/>
    <s v="Gurugram"/>
    <s v="Office Supplies"/>
    <x v="0"/>
    <s v="Binders"/>
    <x v="9"/>
    <s v="Pro Binders 690"/>
    <s v="Same Day"/>
    <x v="1"/>
    <n v="2"/>
    <n v="2832.77"/>
    <n v="0.15"/>
    <n v="0.15"/>
    <s v="Valid"/>
    <n v="4815.71"/>
    <n v="4815.7089999999998"/>
    <n v="3027.75"/>
    <n v="1917.47"/>
    <n v="1787.9589999999998"/>
    <n v="-3027.75"/>
    <s v="Paid"/>
    <s v="Paid"/>
    <s v="Completed"/>
    <x v="0"/>
    <s v="Clean"/>
  </r>
  <r>
    <s v="ORD-2024-10065"/>
    <n v="1"/>
    <s v="Unique"/>
    <s v="2024-12-23"/>
    <s v="12/29/2024"/>
    <d v="2024-12-23T00:00:00"/>
    <d v="2024-12-29T00:00:00"/>
    <x v="7"/>
    <x v="0"/>
    <s v="Valid"/>
    <s v="Valid"/>
    <n v="6"/>
    <s v="CUST-2749"/>
    <s v="Aarav Sharma"/>
    <s v="Aarav Sharma"/>
    <s v="Corporate"/>
    <x v="2"/>
    <s v="East"/>
    <x v="1"/>
    <s v="Jharkhand"/>
    <s v="Jharkhand"/>
    <s v="Ranchi"/>
    <s v="Ranchi"/>
    <s v="Office Supplies"/>
    <x v="0"/>
    <s v="Paper"/>
    <x v="0"/>
    <s v="Classic Paper 458"/>
    <s v="First Class"/>
    <x v="2"/>
    <n v="7"/>
    <n v="447.84"/>
    <n v="0"/>
    <n v="0"/>
    <s v="Valid"/>
    <n v="3134.88"/>
    <n v="3134.8799999999997"/>
    <n v="2367.63"/>
    <n v="767.25"/>
    <n v="767.24999999999955"/>
    <n v="-2367.63"/>
    <s v="Refunded"/>
    <s v="Refunded"/>
    <s v="Returned"/>
    <x v="2"/>
    <s v="Clean"/>
  </r>
  <r>
    <s v="ORD-2024-10066"/>
    <n v="1"/>
    <s v="Unique"/>
    <s v="22 Apr 2024"/>
    <s v="2024-04-27"/>
    <d v="2024-04-22T00:00:00"/>
    <d v="2024-04-27T00:00:00"/>
    <x v="5"/>
    <x v="0"/>
    <s v="Valid"/>
    <s v="Valid"/>
    <n v="5"/>
    <s v="CUST-2463"/>
    <s v="Mira Das"/>
    <s v="Mira Das"/>
    <s v="Home Office"/>
    <x v="3"/>
    <s v="West"/>
    <x v="3"/>
    <s v="Maharashtra"/>
    <s v="Maharashtra"/>
    <s v="Mumbai"/>
    <s v="Mumbai"/>
    <s v="Office Supplies"/>
    <x v="0"/>
    <s v="Paper"/>
    <x v="0"/>
    <s v="Pro Paper 552"/>
    <s v="Second Class"/>
    <x v="0"/>
    <n v="1"/>
    <n v="4280.1899999999996"/>
    <n v="0.05"/>
    <n v="0.05"/>
    <s v="Valid"/>
    <n v="4066.18"/>
    <n v="4066.1804999999995"/>
    <n v="2628.92"/>
    <n v="1437.26"/>
    <n v="1437.2604999999994"/>
    <n v="-2628.92"/>
    <s v="Paid"/>
    <s v="Paid"/>
    <s v="Completed"/>
    <x v="0"/>
    <s v="Clean"/>
  </r>
  <r>
    <s v="ORD-2025-10067"/>
    <n v="1"/>
    <s v="Unique"/>
    <s v="08/28/2025"/>
    <s v="01 Sep 2025"/>
    <d v="2025-08-28T00:00:00"/>
    <d v="2025-01-09T00:00:00"/>
    <x v="1"/>
    <x v="1"/>
    <s v="Valid"/>
    <s v="Valid"/>
    <n v="-231"/>
    <s v="CUST-1504"/>
    <s v="Karan Malhotra"/>
    <s v="Karan Malhotra"/>
    <s v="Small Business"/>
    <x v="1"/>
    <s v="South"/>
    <x v="2"/>
    <s v="Tamil Nadu"/>
    <s v="Tamil Nadu"/>
    <s v="Chennai"/>
    <s v="Chennai"/>
    <s v="Technology"/>
    <x v="2"/>
    <s v="Accessories"/>
    <x v="5"/>
    <s v="Elite Accessories 187"/>
    <s v="Same Day"/>
    <x v="1"/>
    <n v="7"/>
    <n v="1057.46"/>
    <n v="0.05"/>
    <n v="0.05"/>
    <s v="Valid"/>
    <n v="7032.11"/>
    <n v="7032.1089999999995"/>
    <n v="4610.34"/>
    <n v="2421.77"/>
    <n v="2421.7689999999993"/>
    <n v="-4610.34"/>
    <s v="Paid"/>
    <s v="Paid"/>
    <s v="Completed"/>
    <x v="0"/>
    <s v="Clean"/>
  </r>
  <r>
    <s v="ORD-2025-10068"/>
    <n v="1"/>
    <s v="Unique"/>
    <s v="03 Feb 2025"/>
    <s v="07-02-2025"/>
    <d v="2025-03-02T00:00:00"/>
    <d v="2025-07-02T00:00:00"/>
    <x v="11"/>
    <x v="1"/>
    <s v="Valid"/>
    <s v="Valid"/>
    <n v="122"/>
    <s v="CUST-8282"/>
    <s v="Kabir Singh"/>
    <s v="Kabir Singh"/>
    <s v="Consumer"/>
    <x v="0"/>
    <s v="North"/>
    <x v="0"/>
    <s v="Haryana"/>
    <s v="Haryana"/>
    <s v="Gurugram"/>
    <s v="Gurugram"/>
    <s v="Office Supplies"/>
    <x v="0"/>
    <s v="Paper"/>
    <x v="0"/>
    <s v="Eco Paper 922"/>
    <s v="First Class"/>
    <x v="2"/>
    <n v="7"/>
    <n v="3609.34"/>
    <n v="0.05"/>
    <n v="0.05"/>
    <s v="Valid"/>
    <n v="24002.11"/>
    <n v="24002.111000000001"/>
    <n v="18707.57"/>
    <n v="5294.54"/>
    <n v="5294.5410000000011"/>
    <n v="-18707.57"/>
    <s v="Paid"/>
    <s v="Paid"/>
    <s v="Completed"/>
    <x v="0"/>
    <s v="Clean"/>
  </r>
  <r>
    <s v="ORD-2024-10069"/>
    <n v="3"/>
    <s v="Unique"/>
    <s v="11/10/2024"/>
    <s v="13 Nov 2024"/>
    <d v="2024-11-10T00:00:00"/>
    <d v="2024-11-13T00:00:00"/>
    <x v="3"/>
    <x v="0"/>
    <s v="Valid"/>
    <s v="Valid"/>
    <n v="3"/>
    <s v="CUST-6054"/>
    <s v="Isha Nair"/>
    <s v="Isha Nair"/>
    <s v="Corporate"/>
    <x v="2"/>
    <s v="East"/>
    <x v="1"/>
    <s v="Jharkhand"/>
    <s v="Jharkhand"/>
    <s v="Ranchi"/>
    <s v="Ranchi"/>
    <s v="Office Supplies"/>
    <x v="0"/>
    <s v="Storage"/>
    <x v="8"/>
    <s v="Pro Storage 975"/>
    <s v="Second Class"/>
    <x v="0"/>
    <n v="9"/>
    <n v="2211.12"/>
    <n v="0"/>
    <n v="0"/>
    <s v="Valid"/>
    <n v="19900.080000000002"/>
    <n v="19900.079999999998"/>
    <n v="10962.66"/>
    <n v="8937.42"/>
    <n v="8937.4199999999983"/>
    <n v="-10962.66"/>
    <s v="Failed"/>
    <s v="Failed"/>
    <s v="Returned"/>
    <x v="2"/>
    <s v="Clean"/>
  </r>
  <r>
    <s v="ORD-2024-10070"/>
    <n v="1"/>
    <s v="Unique"/>
    <s v="09 Apr 2024"/>
    <s v="04/14/2024"/>
    <d v="2024-09-04T00:00:00"/>
    <d v="2024-04-14T00:00:00"/>
    <x v="9"/>
    <x v="0"/>
    <s v="Valid"/>
    <s v="Valid"/>
    <n v="-143"/>
    <s v="CUST-5979"/>
    <s v="Neha Gupta"/>
    <s v="Neha Gupta"/>
    <s v="Small Business"/>
    <x v="1"/>
    <s v="West"/>
    <x v="3"/>
    <s v="Gujarat"/>
    <s v="Gujarat"/>
    <s v="Ahmedabad"/>
    <s v="Ahmedabad"/>
    <s v="Technology"/>
    <x v="2"/>
    <s v="Machines"/>
    <x v="12"/>
    <s v="Prime Machines 782"/>
    <s v="Same Day"/>
    <x v="1"/>
    <n v="7"/>
    <n v="3417.09"/>
    <n v="0.1"/>
    <n v="0.1"/>
    <s v="Valid"/>
    <n v="21527.67"/>
    <n v="21527.667000000001"/>
    <n v="18287.580000000002"/>
    <n v="3240.09"/>
    <n v="3240.0869999999995"/>
    <n v="-18287.580000000002"/>
    <s v="Refunded"/>
    <s v="Refunded"/>
    <s v="Returned"/>
    <x v="2"/>
    <s v="Clean"/>
  </r>
  <r>
    <s v="ORD-2025-10071"/>
    <n v="1"/>
    <s v="Unique"/>
    <s v="2025-08-22"/>
    <s v="27 Aug 2025"/>
    <d v="2025-08-22T00:00:00"/>
    <d v="2025-08-27T00:00:00"/>
    <x v="1"/>
    <x v="1"/>
    <s v="Valid"/>
    <s v="Valid"/>
    <n v="5"/>
    <s v="CUST-5582"/>
    <s v="Karan Malhotra"/>
    <s v="Karan Malhotra"/>
    <s v="Corporate"/>
    <x v="2"/>
    <s v="South"/>
    <x v="2"/>
    <s v="Andhra Pradesh"/>
    <s v="Andhra Pradesh"/>
    <s v="Vijayawada"/>
    <s v="Vijayawada"/>
    <s v="Technology"/>
    <x v="2"/>
    <s v="Phones"/>
    <x v="11"/>
    <s v="Max Phones 661"/>
    <s v="First Class"/>
    <x v="2"/>
    <n v="2"/>
    <n v="905.87"/>
    <n v="0.15"/>
    <n v="0.15"/>
    <s v="Valid"/>
    <n v="1539.98"/>
    <n v="1539.979"/>
    <n v="1070.2"/>
    <n v="469.78"/>
    <n v="469.779"/>
    <n v="-1070.2"/>
    <s v="Paid"/>
    <s v="Paid"/>
    <s v="Completed"/>
    <x v="0"/>
    <s v="Clean"/>
  </r>
  <r>
    <s v="ORD-2025-10072"/>
    <n v="1"/>
    <s v="Unique"/>
    <s v="04/16/2025"/>
    <s v="2025-04-23"/>
    <d v="2025-04-16T00:00:00"/>
    <d v="2025-04-23T00:00:00"/>
    <x v="5"/>
    <x v="1"/>
    <s v="Valid"/>
    <s v="Valid"/>
    <n v="7"/>
    <s v="CUST-3308"/>
    <s v="Mira Das"/>
    <s v="Mira Das"/>
    <s v="Small Business"/>
    <x v="1"/>
    <s v="West"/>
    <x v="3"/>
    <s v="Goa"/>
    <s v="Goa"/>
    <s v="Panaji"/>
    <s v="Panaji"/>
    <s v="Technology"/>
    <x v="2"/>
    <s v="Machines"/>
    <x v="12"/>
    <s v="Elite Machines 836"/>
    <s v="Standard Class"/>
    <x v="3"/>
    <n v="6"/>
    <n v="2027.32"/>
    <n v="0.1"/>
    <n v="0.1"/>
    <s v="Valid"/>
    <n v="10947.53"/>
    <n v="10947.528"/>
    <n v="6447.36"/>
    <n v="4500.17"/>
    <n v="4500.1680000000006"/>
    <n v="-6447.36"/>
    <s v="Paid"/>
    <s v="Paid"/>
    <s v="Completed"/>
    <x v="0"/>
    <s v="Clean"/>
  </r>
  <r>
    <s v="ORD-2024-10073"/>
    <n v="1"/>
    <s v="Unique"/>
    <s v="2024-02-11"/>
    <s v="07 Feb 2024"/>
    <d v="2024-11-02T00:00:00"/>
    <d v="2024-07-02T00:00:00"/>
    <x v="3"/>
    <x v="0"/>
    <s v="Valid"/>
    <s v="Valid"/>
    <n v="-123"/>
    <s v="CUST-5018"/>
    <s v="Karan Malhotra"/>
    <s v="Karan Malhotra"/>
    <s v="Home Office"/>
    <x v="3"/>
    <s v="South"/>
    <x v="2"/>
    <s v="Tamil Nadu"/>
    <s v="Tamil Nadu"/>
    <s v="Chennai"/>
    <s v="Chennai"/>
    <s v="Furniture"/>
    <x v="1"/>
    <s v="Tables"/>
    <x v="1"/>
    <s v="Prime Tables 902"/>
    <s v="First Class"/>
    <x v="2"/>
    <n v="7"/>
    <n v="2287.4699999999998"/>
    <n v="0.15"/>
    <n v="0.15"/>
    <s v="Valid"/>
    <n v="13610.45"/>
    <n v="13610.446499999998"/>
    <n v="10039.049999999999"/>
    <n v="3571.4"/>
    <n v="3571.3964999999989"/>
    <n v="-10039.049999999999"/>
    <s v="Paid"/>
    <s v="Paid"/>
    <s v="Completed"/>
    <x v="0"/>
    <s v="Clean"/>
  </r>
  <r>
    <s v="ORD-2025-10074"/>
    <n v="1"/>
    <s v="Unique"/>
    <s v="29-03-2025"/>
    <s v="04/03/2025"/>
    <d v="2025-03-29T00:00:00"/>
    <d v="2025-04-03T00:00:00"/>
    <x v="11"/>
    <x v="1"/>
    <s v="Valid"/>
    <s v="Valid"/>
    <n v="5"/>
    <s v="CUST-2342"/>
    <s v="Sneha Kapoor"/>
    <s v="Sneha Kapoor"/>
    <s v="Corporate"/>
    <x v="2"/>
    <s v="East"/>
    <x v="1"/>
    <s v="West Bengal"/>
    <s v="West Bengal"/>
    <s v="Kolkata"/>
    <s v="Kolkata"/>
    <s v="Furniture"/>
    <x v="1"/>
    <s v="Bookcases"/>
    <x v="10"/>
    <s v="Smart Bookcases 167"/>
    <s v="First Class"/>
    <x v="2"/>
    <n v="5"/>
    <n v="1425.74"/>
    <n v="0"/>
    <n v="0"/>
    <s v="Valid"/>
    <n v="7128.7"/>
    <n v="7128.7"/>
    <n v="4382.1499999999996"/>
    <n v="2746.55"/>
    <n v="2746.55"/>
    <n v="-4382.1499999999996"/>
    <s v="Paid"/>
    <s v="Paid"/>
    <s v="Completed"/>
    <x v="0"/>
    <s v="Clean"/>
  </r>
  <r>
    <s v="ORD-2025-10075"/>
    <n v="1"/>
    <s v="Unique"/>
    <s v="02/27/2025"/>
    <s v="2025-03-01"/>
    <d v="2025-02-27T00:00:00"/>
    <d v="2025-01-03T00:00:00"/>
    <x v="6"/>
    <x v="1"/>
    <s v="Valid"/>
    <s v="Valid"/>
    <n v="-55"/>
    <s v="CUST-6201"/>
    <s v="Vikram Iyer"/>
    <s v="Vikram Iyer"/>
    <s v="Small Business"/>
    <x v="1"/>
    <s v="East"/>
    <x v="1"/>
    <s v="West Bengal"/>
    <s v="West Bengal"/>
    <s v="Kolkata"/>
    <s v="Kolkata"/>
    <s v="Furniture"/>
    <x v="1"/>
    <s v="Chairs"/>
    <x v="4"/>
    <s v="Max Chairs 244"/>
    <s v="Standard Class"/>
    <x v="3"/>
    <n v="6"/>
    <n v="551.64"/>
    <n v="0"/>
    <n v="0"/>
    <s v="Valid"/>
    <n v="3309.84"/>
    <n v="3309.84"/>
    <n v="2671.08"/>
    <n v="638.76"/>
    <n v="638.76000000000022"/>
    <n v="-2671.08"/>
    <s v="Paid"/>
    <s v="Paid"/>
    <s v="Completed"/>
    <x v="0"/>
    <s v="Clean"/>
  </r>
  <r>
    <s v="ORD-2025-10076"/>
    <n v="2"/>
    <s v="Unique"/>
    <s v="22-08-2025"/>
    <s v="08/27/2025"/>
    <d v="2025-08-22T00:00:00"/>
    <d v="2025-08-27T00:00:00"/>
    <x v="1"/>
    <x v="1"/>
    <s v="Valid"/>
    <s v="Valid"/>
    <n v="5"/>
    <s v="CUST-5808"/>
    <s v="Priya Menon"/>
    <s v="Priya Menon"/>
    <s v="Small Business"/>
    <x v="1"/>
    <s v="East"/>
    <x v="1"/>
    <s v="Odisha"/>
    <s v="Odisha"/>
    <s v="Bhubaneswar"/>
    <s v="Bhubaneswar"/>
    <s v="Office Supplies"/>
    <x v="0"/>
    <s v="Labels"/>
    <x v="7"/>
    <s v="Eco Labels 653"/>
    <s v="First Class"/>
    <x v="2"/>
    <n v="3"/>
    <n v="3294.82"/>
    <n v="0.2"/>
    <n v="0.2"/>
    <s v="Valid"/>
    <n v="7907.57"/>
    <n v="7907.5680000000011"/>
    <n v="5391.18"/>
    <n v="2516.39"/>
    <n v="2516.3880000000008"/>
    <n v="-5391.18"/>
    <s v="Paid"/>
    <s v="Paid"/>
    <s v="Completed"/>
    <x v="0"/>
    <s v="Clean"/>
  </r>
  <r>
    <s v="ORD-2024-10077"/>
    <n v="1"/>
    <s v="Unique"/>
    <s v="03 Nov 2024"/>
    <s v="11-11-2024"/>
    <d v="2024-03-11T00:00:00"/>
    <d v="2024-11-11T00:00:00"/>
    <x v="11"/>
    <x v="0"/>
    <s v="Valid"/>
    <s v="Valid"/>
    <n v="245"/>
    <s v="CUST-2642"/>
    <s v="Ananya Rao"/>
    <s v="Ananya Rao"/>
    <s v="Corporate"/>
    <x v="2"/>
    <s v="East"/>
    <x v="1"/>
    <s v="Jharkhand"/>
    <s v="Jharkhand"/>
    <s v="Ranchi"/>
    <s v="Ranchi"/>
    <s v="Office Supplies"/>
    <x v="0"/>
    <s v="Labels"/>
    <x v="7"/>
    <s v="Max Labels 617"/>
    <s v="Second Class"/>
    <x v="0"/>
    <n v="3"/>
    <n v="3406.27"/>
    <n v="0"/>
    <n v="0"/>
    <s v="Valid"/>
    <n v="10218.81"/>
    <n v="10218.81"/>
    <n v="7616.97"/>
    <n v="2601.84"/>
    <n v="2601.8399999999992"/>
    <n v="-7616.97"/>
    <s v="Paid"/>
    <s v="Paid"/>
    <s v="Completed"/>
    <x v="0"/>
    <s v="Clean"/>
  </r>
  <r>
    <s v="ORD-2025-10078"/>
    <n v="1"/>
    <s v="Unique"/>
    <s v="07/08/2025"/>
    <s v="12-07-2025"/>
    <d v="2025-07-08T00:00:00"/>
    <d v="2025-12-07T00:00:00"/>
    <x v="0"/>
    <x v="1"/>
    <s v="Valid"/>
    <s v="Valid"/>
    <n v="152"/>
    <s v="CUST-4385"/>
    <s v="Rohan Mehta"/>
    <s v="Rohan Mehta"/>
    <s v="Home Office"/>
    <x v="3"/>
    <s v="North"/>
    <x v="0"/>
    <s v="Uttar Pradesh"/>
    <s v="Uttar Pradesh"/>
    <s v="Noida"/>
    <s v="Noida"/>
    <s v="Furniture"/>
    <x v="1"/>
    <s v="Furnishings"/>
    <x v="3"/>
    <s v="Pro Furnishings 529"/>
    <s v="Standard Class"/>
    <x v="3"/>
    <n v="1"/>
    <n v="2582.1999999999998"/>
    <n v="0.15"/>
    <n v="0.15"/>
    <s v="Valid"/>
    <n v="2194.87"/>
    <n v="2194.87"/>
    <n v="1223.17"/>
    <n v="971.7"/>
    <n v="971.69999999999982"/>
    <n v="-1223.17"/>
    <s v="Refunded"/>
    <s v="Refunded"/>
    <s v="Cancelled"/>
    <x v="1"/>
    <s v="Clean"/>
  </r>
  <r>
    <s v="ORD-2025-10079"/>
    <n v="1"/>
    <s v="Unique"/>
    <s v="07/16/2025"/>
    <s v="21-07-2025"/>
    <d v="2025-07-16T00:00:00"/>
    <d v="2025-07-21T00:00:00"/>
    <x v="0"/>
    <x v="1"/>
    <s v="Valid"/>
    <s v="Valid"/>
    <n v="5"/>
    <s v="CUST-8043"/>
    <s v="Sneha Kapoor"/>
    <s v="Sneha Kapoor"/>
    <s v="Corporate"/>
    <x v="2"/>
    <s v="East"/>
    <x v="1"/>
    <s v="West Bengal"/>
    <s v="West Bengal"/>
    <s v="Kolkata"/>
    <s v="Kolkata"/>
    <s v="Furniture"/>
    <x v="1"/>
    <s v="Tables"/>
    <x v="1"/>
    <s v="Smart Tables 561"/>
    <s v="First Class"/>
    <x v="2"/>
    <n v="5"/>
    <n v="2129.5100000000002"/>
    <n v="0.15"/>
    <n v="0.15"/>
    <s v="Valid"/>
    <n v="9050.42"/>
    <n v="9050.4175000000014"/>
    <n v="6778.85"/>
    <n v="2271.5700000000002"/>
    <n v="2271.567500000001"/>
    <n v="-6778.85"/>
    <s v="Paid"/>
    <s v="Paid"/>
    <s v="Completed"/>
    <x v="0"/>
    <s v="Clean"/>
  </r>
  <r>
    <s v="ORD-2025-10080"/>
    <n v="1"/>
    <s v="Unique"/>
    <s v="2025-09-27"/>
    <s v="2025-10-03"/>
    <d v="2025-09-27T00:00:00"/>
    <d v="2025-03-10T00:00:00"/>
    <x v="9"/>
    <x v="1"/>
    <s v="Valid"/>
    <s v="Valid"/>
    <n v="-201"/>
    <s v="CUST-9978"/>
    <s v="Diya Patel"/>
    <s v="Diya Patel"/>
    <s v="Home Office"/>
    <x v="3"/>
    <s v="South"/>
    <x v="2"/>
    <s v="Tamil Nadu"/>
    <s v="Tamil Nadu"/>
    <s v="Chennai"/>
    <s v="Chennai"/>
    <s v="Furniture"/>
    <x v="1"/>
    <s v="Chairs"/>
    <x v="4"/>
    <s v="Prime Chairs 838"/>
    <s v="Same Day"/>
    <x v="1"/>
    <n v="9"/>
    <n v="4131.5200000000004"/>
    <n v="0.1"/>
    <n v="0.1"/>
    <s v="Valid"/>
    <n v="33465.31"/>
    <n v="33465.312000000005"/>
    <n v="24781.26"/>
    <n v="8684.0499999999993"/>
    <n v="8684.052000000007"/>
    <n v="-24781.26"/>
    <s v="Paid"/>
    <s v="Paid"/>
    <s v="Completed"/>
    <x v="0"/>
    <s v="Clean"/>
  </r>
  <r>
    <s v="ORD-2024-10081"/>
    <n v="1"/>
    <s v="Unique"/>
    <s v="2024-08-10"/>
    <s v="2024-08-14"/>
    <d v="2024-10-08T00:00:00"/>
    <d v="2024-08-14T00:00:00"/>
    <x v="10"/>
    <x v="0"/>
    <s v="Valid"/>
    <s v="Valid"/>
    <n v="-55"/>
    <s v="CUST-2094"/>
    <s v="Aarav Sharma"/>
    <s v="Aarav Sharma"/>
    <s v="Small Business"/>
    <x v="1"/>
    <s v="North"/>
    <x v="0"/>
    <s v="Delhi"/>
    <s v="Delhi"/>
    <s v="New Delhi"/>
    <s v="New Delhi"/>
    <s v="Office Supplies"/>
    <x v="0"/>
    <s v="Storage"/>
    <x v="8"/>
    <s v="Elite Storage 371"/>
    <s v="Second Class"/>
    <x v="0"/>
    <n v="4"/>
    <n v="1182.32"/>
    <n v="0.1"/>
    <n v="0.1"/>
    <s v="Valid"/>
    <n v="4256.3500000000004"/>
    <n v="4256.3519999999999"/>
    <n v="2495.33"/>
    <n v="1761.02"/>
    <n v="1761.0219999999999"/>
    <n v="-2495.33"/>
    <s v="Pending"/>
    <s v="Pending"/>
    <s v="Returned"/>
    <x v="2"/>
    <s v="Clean"/>
  </r>
  <r>
    <s v="ORD-2025-10082"/>
    <n v="1"/>
    <s v="Unique"/>
    <s v="2025-03-16"/>
    <s v="17-03-2025"/>
    <d v="2025-03-16T00:00:00"/>
    <d v="2025-03-17T00:00:00"/>
    <x v="11"/>
    <x v="1"/>
    <s v="Valid"/>
    <s v="Valid"/>
    <n v="1"/>
    <s v="CUST-7907"/>
    <s v="Karan Malhotra"/>
    <s v="Karan Malhotra"/>
    <s v="Home Office"/>
    <x v="3"/>
    <s v="West"/>
    <x v="3"/>
    <s v="Goa"/>
    <s v="Goa"/>
    <s v="Panaji"/>
    <s v="Panaji"/>
    <s v="Office Supplies"/>
    <x v="0"/>
    <s v="Labels"/>
    <x v="7"/>
    <s v="Eco Labels 662"/>
    <s v="Same Day"/>
    <x v="1"/>
    <n v="3"/>
    <n v="1841.91"/>
    <n v="0"/>
    <n v="0"/>
    <s v="Valid"/>
    <n v="5525.73"/>
    <n v="5525.7300000000005"/>
    <n v="3093.42"/>
    <n v="2432.31"/>
    <n v="2432.3100000000004"/>
    <n v="-3093.42"/>
    <s v="Paid"/>
    <s v="Paid"/>
    <s v="Completed"/>
    <x v="0"/>
    <s v="Clean"/>
  </r>
  <r>
    <s v="ORD-2024-10083"/>
    <n v="1"/>
    <s v="Unique"/>
    <s v="2024-08-03"/>
    <s v="04-08-2024"/>
    <d v="2024-03-08T00:00:00"/>
    <d v="2024-04-08T00:00:00"/>
    <x v="11"/>
    <x v="0"/>
    <s v="Valid"/>
    <s v="Valid"/>
    <n v="31"/>
    <s v="CUST-6516"/>
    <s v="Arjun Bose"/>
    <s v="Arjun Bose"/>
    <s v="Consumer"/>
    <x v="0"/>
    <s v="North"/>
    <x v="0"/>
    <s v="Uttar Pradesh"/>
    <s v="Uttar Pradesh"/>
    <s v="Noida"/>
    <s v="Noida"/>
    <s v="Technology"/>
    <x v="2"/>
    <s v="Copiers"/>
    <x v="6"/>
    <s v="Smart Copiers 702"/>
    <s v="Second Class"/>
    <x v="0"/>
    <n v="6"/>
    <n v="1001.73"/>
    <n v="0"/>
    <n v="0"/>
    <s v="Valid"/>
    <n v="6010.38"/>
    <n v="6010.38"/>
    <n v="3762.85"/>
    <n v="2247.5300000000002"/>
    <n v="2247.5300000000002"/>
    <n v="-3762.85"/>
    <s v="Failed"/>
    <s v="Failed"/>
    <s v="Returned"/>
    <x v="2"/>
    <s v="Clean"/>
  </r>
  <r>
    <s v="ORD-2024-10084"/>
    <n v="2"/>
    <s v="Unique"/>
    <s v="26-10-2024"/>
    <s v="29-10-2024"/>
    <d v="2024-10-26T00:00:00"/>
    <d v="2024-10-29T00:00:00"/>
    <x v="10"/>
    <x v="0"/>
    <s v="Valid"/>
    <s v="Valid"/>
    <n v="3"/>
    <s v="CUST-4989"/>
    <s v="Aditi Sen"/>
    <s v="Aditi Sen"/>
    <s v="Home Office"/>
    <x v="3"/>
    <s v="West"/>
    <x v="3"/>
    <s v="Maharashtra"/>
    <s v="Maharashtra"/>
    <s v="Mumbai"/>
    <s v="Mumbai"/>
    <s v="Furniture"/>
    <x v="1"/>
    <s v="Tables"/>
    <x v="1"/>
    <s v="Elite Tables 362"/>
    <s v="Second Class"/>
    <x v="0"/>
    <n v="9"/>
    <n v="131.74"/>
    <n v="0.2"/>
    <n v="0.2"/>
    <s v="Valid"/>
    <n v="948.53"/>
    <n v="948.52800000000013"/>
    <n v="674.62"/>
    <n v="273.91000000000003"/>
    <n v="273.90800000000013"/>
    <n v="-674.62"/>
    <s v="Paid"/>
    <s v="Paid"/>
    <s v="Completed"/>
    <x v="0"/>
    <s v="Clean"/>
  </r>
  <r>
    <s v="ORD-2024-10085"/>
    <n v="1"/>
    <s v="Unique"/>
    <s v="01 Oct 2024"/>
    <s v="2024-10-03"/>
    <d v="2024-01-10T00:00:00"/>
    <d v="2024-03-10T00:00:00"/>
    <x v="8"/>
    <x v="0"/>
    <s v="Valid"/>
    <s v="Valid"/>
    <n v="60"/>
    <s v="CUST-3758"/>
    <s v="Rohan Mehta"/>
    <s v="Rohan Mehta"/>
    <s v="Corporate"/>
    <x v="2"/>
    <s v="South"/>
    <x v="2"/>
    <s v="Tamil Nadu"/>
    <s v="Tamil Nadu"/>
    <s v="Chennai"/>
    <s v="Chennai"/>
    <s v="Technology"/>
    <x v="2"/>
    <s v="Phones"/>
    <x v="11"/>
    <s v="Elite Phones 781"/>
    <s v="Second Class"/>
    <x v="0"/>
    <n v="6"/>
    <n v="570.28"/>
    <n v="0.2"/>
    <n v="0.2"/>
    <s v="Valid"/>
    <n v="2737.34"/>
    <n v="2737.3440000000001"/>
    <n v="2085.44"/>
    <n v="651.9"/>
    <n v="651.904"/>
    <n v="-2085.44"/>
    <s v="Paid"/>
    <s v="Paid"/>
    <s v="Completed"/>
    <x v="0"/>
    <s v="Clean"/>
  </r>
  <r>
    <s v="ORD-2024-10086"/>
    <n v="1"/>
    <s v="Unique"/>
    <s v="2024-07-30"/>
    <s v="08/05/2024"/>
    <d v="2024-07-30T00:00:00"/>
    <d v="2024-08-05T00:00:00"/>
    <x v="0"/>
    <x v="0"/>
    <s v="Valid"/>
    <s v="Valid"/>
    <n v="6"/>
    <s v="CUST-6702"/>
    <s v="Kabir Singh"/>
    <s v="Kabir Singh"/>
    <s v="Corporate"/>
    <x v="2"/>
    <s v="North"/>
    <x v="0"/>
    <s v="Delhi"/>
    <s v="Delhi"/>
    <s v="New Delhi"/>
    <s v="New Delhi"/>
    <s v="Office Supplies"/>
    <x v="0"/>
    <s v="Binders"/>
    <x v="9"/>
    <s v="Eco Binders 456"/>
    <s v="Standard Class"/>
    <x v="3"/>
    <n v="1"/>
    <n v="608.64"/>
    <n v="0"/>
    <n v="0"/>
    <s v="Valid"/>
    <n v="608.64"/>
    <n v="608.64"/>
    <n v="343.99"/>
    <n v="264.64999999999998"/>
    <n v="264.64999999999998"/>
    <n v="-343.99"/>
    <s v="Paid"/>
    <s v="Paid"/>
    <s v="Cancelled"/>
    <x v="1"/>
    <s v="Clean"/>
  </r>
  <r>
    <s v="ORD-2024-10087"/>
    <n v="2"/>
    <s v="Unique"/>
    <s v="01 Jul 2024"/>
    <s v="01 Jul 2024"/>
    <d v="2024-01-07T00:00:00"/>
    <d v="2024-01-07T00:00:00"/>
    <x v="8"/>
    <x v="0"/>
    <s v="Valid"/>
    <s v="Valid"/>
    <n v="0"/>
    <s v="CUST-9148"/>
    <s v="Ananya Rao"/>
    <s v="Ananya Rao"/>
    <s v="Small Business"/>
    <x v="1"/>
    <s v="North"/>
    <x v="0"/>
    <s v="Delhi"/>
    <s v="Delhi"/>
    <s v="New Delhi"/>
    <s v="New Delhi"/>
    <s v="Technology"/>
    <x v="2"/>
    <s v="Copiers"/>
    <x v="6"/>
    <s v="Basic Copiers 525"/>
    <s v="Second Class"/>
    <x v="0"/>
    <n v="3"/>
    <n v="885.28"/>
    <n v="0.1"/>
    <n v="0.1"/>
    <s v="Valid"/>
    <n v="2390.2600000000002"/>
    <n v="2390.2560000000003"/>
    <n v="1495.94"/>
    <n v="894.32"/>
    <n v="894.31600000000026"/>
    <n v="-1495.94"/>
    <s v="Refunded"/>
    <s v="Refunded"/>
    <s v="Cancelled"/>
    <x v="1"/>
    <s v="Clean"/>
  </r>
  <r>
    <s v="ORD-2024-10088"/>
    <n v="1"/>
    <s v="Unique"/>
    <s v="02-08-2024"/>
    <s v="2024-08-03"/>
    <d v="2024-02-08T00:00:00"/>
    <d v="2024-03-08T00:00:00"/>
    <x v="6"/>
    <x v="0"/>
    <s v="Valid"/>
    <s v="Valid"/>
    <n v="29"/>
    <s v="CUST-5829"/>
    <s v="Vikram Iyer"/>
    <s v="Vikram Iyer"/>
    <s v="Consumer"/>
    <x v="0"/>
    <s v="East"/>
    <x v="1"/>
    <s v="Assam"/>
    <s v="Assam"/>
    <s v="Guwahati"/>
    <s v="Guwahati"/>
    <s v="Office Supplies"/>
    <x v="0"/>
    <s v="Binders"/>
    <x v="9"/>
    <s v="Eco Binders 258"/>
    <s v="Standard Class"/>
    <x v="3"/>
    <n v="7"/>
    <n v="3345.22"/>
    <n v="0"/>
    <n v="0"/>
    <s v="Valid"/>
    <n v="23416.54"/>
    <n v="23416.539999999997"/>
    <n v="15490.89"/>
    <n v="7925.65"/>
    <n v="7925.6499999999978"/>
    <n v="-15490.89"/>
    <s v="Paid"/>
    <s v="Paid"/>
    <s v="Completed"/>
    <x v="0"/>
    <s v="Clean"/>
  </r>
  <r>
    <s v="ORD-2024-10089"/>
    <n v="1"/>
    <s v="Unique"/>
    <s v="03/24/2024"/>
    <s v="27 Mar 2024"/>
    <d v="2024-03-24T00:00:00"/>
    <d v="2024-03-27T00:00:00"/>
    <x v="11"/>
    <x v="0"/>
    <s v="Valid"/>
    <s v="Valid"/>
    <n v="3"/>
    <s v="CUST-6059"/>
    <s v="Rohan Mehta"/>
    <s v="Rohan Mehta"/>
    <s v="Small Business"/>
    <x v="1"/>
    <s v="West"/>
    <x v="3"/>
    <s v="Maharashtra"/>
    <s v="Maharashtra"/>
    <s v="Mumbai"/>
    <s v="Mumbai"/>
    <s v="Furniture"/>
    <x v="1"/>
    <s v="Bookcases"/>
    <x v="10"/>
    <s v="Max Bookcases 398"/>
    <s v="Standard Class"/>
    <x v="3"/>
    <n v="2"/>
    <n v="3284.75"/>
    <n v="0.05"/>
    <n v="0.05"/>
    <s v="Valid"/>
    <n v="6241.02"/>
    <n v="6241.0249999999996"/>
    <n v="5345.88"/>
    <n v="895.14"/>
    <n v="895.14499999999953"/>
    <n v="-5345.88"/>
    <s v="Paid"/>
    <s v="Paid"/>
    <s v="Completed"/>
    <x v="0"/>
    <s v="Clean"/>
  </r>
  <r>
    <s v="ORD-2024-10090"/>
    <n v="1"/>
    <s v="Unique"/>
    <s v="05 Sep 2024"/>
    <s v="05 Sep 2024"/>
    <d v="2024-05-09T00:00:00"/>
    <d v="2024-05-09T00:00:00"/>
    <x v="4"/>
    <x v="0"/>
    <s v="Valid"/>
    <s v="Valid"/>
    <n v="0"/>
    <s v="CUST-7744"/>
    <s v="Kabir Singh"/>
    <s v="Kabir Singh"/>
    <s v="Consumer"/>
    <x v="0"/>
    <s v="South"/>
    <x v="2"/>
    <s v="Andhra Pradesh"/>
    <s v="Andhra Pradesh"/>
    <s v="Vijayawada"/>
    <s v="Vijayawada"/>
    <s v="Furniture"/>
    <x v="1"/>
    <s v="Bookcases"/>
    <x v="10"/>
    <s v="Smart Bookcases 857"/>
    <s v="Standard Class"/>
    <x v="3"/>
    <n v="7"/>
    <n v="3761.09"/>
    <n v="0.2"/>
    <n v="0.2"/>
    <s v="Valid"/>
    <n v="21062.1"/>
    <n v="21062.104000000003"/>
    <n v="12057.13"/>
    <n v="9004.9699999999993"/>
    <n v="9004.9740000000038"/>
    <n v="-12057.13"/>
    <s v="Pending"/>
    <s v="Pending"/>
    <s v="Cancelled"/>
    <x v="1"/>
    <s v="Clean"/>
  </r>
  <r>
    <s v="ORD-2025-10091"/>
    <n v="1"/>
    <s v="Conflicting Duplicate"/>
    <s v="08/24/2025"/>
    <s v="29 Aug 2025"/>
    <d v="2025-08-24T00:00:00"/>
    <d v="2025-08-29T00:00:00"/>
    <x v="1"/>
    <x v="1"/>
    <s v="Valid"/>
    <s v="Valid"/>
    <n v="5"/>
    <s v="CUST-5909"/>
    <s v="Aarav Sharma"/>
    <s v="Aarav Sharma"/>
    <s v="Small Business"/>
    <x v="1"/>
    <s v="East"/>
    <x v="1"/>
    <s v="Bihar"/>
    <s v="Bihar"/>
    <s v="Patna"/>
    <s v="Patna"/>
    <s v="Technology"/>
    <x v="2"/>
    <s v="Copiers"/>
    <x v="6"/>
    <s v="Smart Copiers 556"/>
    <s v="First Class"/>
    <x v="2"/>
    <n v="3"/>
    <n v="3703.96"/>
    <n v="0.15"/>
    <n v="0.15"/>
    <s v="Valid"/>
    <n v="9445.1"/>
    <n v="9445.098"/>
    <n v="5586.28"/>
    <n v="3858.82"/>
    <n v="3858.8180000000002"/>
    <n v="-5586.28"/>
    <s v="Paid"/>
    <s v="Paid"/>
    <s v="Completed"/>
    <x v="0"/>
    <s v="Clean"/>
  </r>
  <r>
    <s v="ORD-2025-10092"/>
    <n v="1"/>
    <s v="Unique"/>
    <s v="02-03-2025"/>
    <s v="03/08/2025"/>
    <d v="2025-02-03T00:00:00"/>
    <d v="2025-03-08T00:00:00"/>
    <x v="6"/>
    <x v="1"/>
    <s v="Valid"/>
    <s v="Valid"/>
    <n v="33"/>
    <s v="CUST-6409"/>
    <s v="Sneha Kapoor"/>
    <s v="Sneha Kapoor"/>
    <s v="Corporate"/>
    <x v="2"/>
    <s v="West"/>
    <x v="3"/>
    <s v="Madhya Pradesh"/>
    <s v="Madhya Pradesh"/>
    <s v="Indore"/>
    <s v="Indore"/>
    <s v="Technology"/>
    <x v="2"/>
    <s v="Copiers"/>
    <x v="6"/>
    <s v="Prime Copiers 575"/>
    <s v="Second Class"/>
    <x v="0"/>
    <n v="9"/>
    <n v="269.68"/>
    <n v="0"/>
    <n v="0"/>
    <s v="Valid"/>
    <n v="2427.12"/>
    <n v="2427.12"/>
    <n v="1538.35"/>
    <n v="804.53"/>
    <n v="888.77"/>
    <n v="-1538.35"/>
    <s v="Paid"/>
    <s v="Paid"/>
    <s v="Completed"/>
    <x v="0"/>
    <s v="Clean"/>
  </r>
  <r>
    <s v="ORD-2025-10093"/>
    <n v="1"/>
    <s v="Unique"/>
    <s v="23 Jan 2025"/>
    <s v="01/26/2025"/>
    <d v="2025-01-23T00:00:00"/>
    <d v="2025-01-26T00:00:00"/>
    <x v="8"/>
    <x v="1"/>
    <s v="Valid"/>
    <s v="Valid"/>
    <n v="3"/>
    <s v="CUST-3014"/>
    <s v="Aarav Sharma"/>
    <s v="Aarav Sharma"/>
    <s v="Consumer"/>
    <x v="0"/>
    <s v="West"/>
    <x v="3"/>
    <s v="Madhya Pradesh"/>
    <s v="Madhya Pradesh"/>
    <s v="Indore"/>
    <s v="Indore"/>
    <s v="Office Supplies"/>
    <x v="0"/>
    <s v="Paper"/>
    <x v="0"/>
    <s v="Elite Paper 669"/>
    <s v="Standard Class"/>
    <x v="3"/>
    <n v="9"/>
    <n v="4458.26"/>
    <n v="0.1"/>
    <n v="0.1"/>
    <s v="Valid"/>
    <n v="36111.910000000003"/>
    <n v="36111.906000000003"/>
    <n v="29194.5"/>
    <n v="6917.41"/>
    <n v="6917.4060000000027"/>
    <n v="-29194.5"/>
    <s v="Paid"/>
    <s v="Paid"/>
    <s v="Completed"/>
    <x v="0"/>
    <s v="Clean"/>
  </r>
  <r>
    <s v="ORD-2024-10094"/>
    <n v="3"/>
    <s v="Unique"/>
    <s v="01/07/2024"/>
    <s v="13-01-2024"/>
    <d v="2024-01-07T00:00:00"/>
    <d v="2024-01-13T00:00:00"/>
    <x v="8"/>
    <x v="0"/>
    <s v="Valid"/>
    <s v="Valid"/>
    <n v="6"/>
    <s v="CUST-6106"/>
    <s v="Rohan Mehta"/>
    <s v="Rohan Mehta"/>
    <s v="Corporate"/>
    <x v="2"/>
    <s v="North"/>
    <x v="0"/>
    <s v="Uttar Pradesh"/>
    <s v="Uttar Pradesh"/>
    <s v="Noida"/>
    <s v="Noida"/>
    <s v="Office Supplies"/>
    <x v="0"/>
    <s v="Binders"/>
    <x v="9"/>
    <s v="Eco Binders 780"/>
    <s v="Standard Class"/>
    <x v="3"/>
    <n v="7"/>
    <n v="2788.97"/>
    <n v="-0.09"/>
    <n v="-0.09"/>
    <s v="Invalid - Negative Discount"/>
    <n v="19522.79"/>
    <n v="21279.841099999998"/>
    <n v="12455.78"/>
    <n v="7067.01"/>
    <n v="8824.0610999999972"/>
    <n v="-12455.78"/>
    <s v="Paid"/>
    <s v="Paid"/>
    <s v="Completed"/>
    <x v="0"/>
    <s v="Clean"/>
  </r>
  <r>
    <s v="ORD-2024-10095"/>
    <n v="1"/>
    <s v="Unique"/>
    <s v="09/06/2024"/>
    <s v="09 Sep 2024"/>
    <d v="2024-09-06T00:00:00"/>
    <d v="2024-09-09T00:00:00"/>
    <x v="9"/>
    <x v="0"/>
    <s v="Valid"/>
    <s v="Valid"/>
    <n v="3"/>
    <s v="CUST-1926"/>
    <s v="Diya Patel"/>
    <s v="Diya Patel"/>
    <s v="Consumer"/>
    <x v="0"/>
    <s v="North"/>
    <x v="0"/>
    <s v="Haryana"/>
    <s v="Haryana"/>
    <s v="Gurugram"/>
    <s v="Gurugram"/>
    <s v="Technology"/>
    <x v="2"/>
    <s v="Phones"/>
    <x v="11"/>
    <s v="Elite Phones 723"/>
    <s v="Second Class"/>
    <x v="0"/>
    <n v="7"/>
    <n v="3781.53"/>
    <n v="0"/>
    <n v="0"/>
    <s v="Valid"/>
    <n v="26470.71"/>
    <n v="26470.710000000003"/>
    <n v="21367.599999999999"/>
    <n v="5103.1099999999997"/>
    <n v="5103.1100000000042"/>
    <n v="-21367.599999999999"/>
    <s v="Pending"/>
    <s v="Pending"/>
    <s v="Cancelled"/>
    <x v="1"/>
    <s v="Clean"/>
  </r>
  <r>
    <s v="ORD-2025-10096"/>
    <n v="1"/>
    <s v="Unique"/>
    <s v="05-09-2025"/>
    <s v="09/10/2025"/>
    <d v="2025-05-09T00:00:00"/>
    <d v="2025-09-10T00:00:00"/>
    <x v="4"/>
    <x v="1"/>
    <s v="Valid"/>
    <s v="Valid"/>
    <n v="124"/>
    <s v="CUST-2687"/>
    <s v="Sneha Kapoor"/>
    <s v="Sneha Kapoor"/>
    <s v="Corporate"/>
    <x v="2"/>
    <s v="West"/>
    <x v="3"/>
    <s v="Goa"/>
    <s v="Goa"/>
    <s v="Panaji"/>
    <s v="Panaji"/>
    <s v="Furniture"/>
    <x v="1"/>
    <s v="Bookcases"/>
    <x v="10"/>
    <s v="Classic Bookcases 988"/>
    <s v="Same Day"/>
    <x v="1"/>
    <n v="6"/>
    <n v="1754.13"/>
    <n v="0"/>
    <n v="0"/>
    <s v="Valid"/>
    <n v="10524.78"/>
    <n v="10524.78"/>
    <n v="8841.0499999999993"/>
    <n v="1683.73"/>
    <n v="1683.7300000000014"/>
    <n v="-8841.0499999999993"/>
    <s v="Paid"/>
    <s v="Paid"/>
    <s v="Completed"/>
    <x v="0"/>
    <s v="Clean"/>
  </r>
  <r>
    <s v="ORD-2024-10097"/>
    <n v="1"/>
    <s v="Unique"/>
    <s v="05 Jun 2024"/>
    <s v="07-06-2024"/>
    <d v="2024-05-06T00:00:00"/>
    <d v="2024-07-06T00:00:00"/>
    <x v="4"/>
    <x v="0"/>
    <s v="Valid"/>
    <s v="Valid"/>
    <n v="61"/>
    <s v="CUST-7283"/>
    <s v="Rahul Verma"/>
    <s v="Rahul Verma"/>
    <s v="Home Office"/>
    <x v="3"/>
    <s v="East"/>
    <x v="1"/>
    <s v="Odisha"/>
    <s v="Odisha"/>
    <s v="Bhubaneswar"/>
    <s v="Bhubaneswar"/>
    <s v="Technology"/>
    <x v="2"/>
    <s v="Copiers"/>
    <x v="6"/>
    <s v="Smart Copiers 547"/>
    <s v="Second Class"/>
    <x v="0"/>
    <n v="2"/>
    <n v="2259.2399999999998"/>
    <n v="0.15"/>
    <n v="0.15"/>
    <s v="Valid"/>
    <n v="3840.71"/>
    <n v="3840.7079999999996"/>
    <n v="2516.29"/>
    <n v="1324.42"/>
    <n v="1324.4179999999997"/>
    <n v="-2516.29"/>
    <s v="Paid"/>
    <s v="Paid"/>
    <s v="Completed"/>
    <x v="0"/>
    <s v="Clean"/>
  </r>
  <r>
    <s v="ORD-2025-10098"/>
    <n v="1"/>
    <s v="Unique"/>
    <s v="08 Aug 2025"/>
    <s v="2025-08-11"/>
    <d v="2025-08-08T00:00:00"/>
    <d v="2025-11-08T00:00:00"/>
    <x v="1"/>
    <x v="1"/>
    <s v="Valid"/>
    <s v="Valid"/>
    <n v="92"/>
    <s v="CUST-8111"/>
    <s v="Diya Patel"/>
    <s v="Diya Patel"/>
    <s v="Small Business"/>
    <x v="1"/>
    <s v="West"/>
    <x v="3"/>
    <s v="Gujarat"/>
    <s v="Gujarat"/>
    <s v="Ahmedabad"/>
    <s v="Ahmedabad"/>
    <s v="Office Supplies"/>
    <x v="0"/>
    <s v="Storage"/>
    <x v="8"/>
    <s v="Basic Storage 656"/>
    <s v="Same Day"/>
    <x v="1"/>
    <n v="5"/>
    <n v="3602.36"/>
    <n v="0.2"/>
    <n v="0.2"/>
    <s v="Valid"/>
    <n v="14409.44"/>
    <n v="14409.44"/>
    <n v="8809.9699999999993"/>
    <n v="5599.47"/>
    <n v="5599.4700000000012"/>
    <n v="-8809.9699999999993"/>
    <s v="Pending"/>
    <s v="Pending"/>
    <s v="Returned"/>
    <x v="2"/>
    <s v="Clean"/>
  </r>
  <r>
    <s v="ORD-2024-10099"/>
    <n v="1"/>
    <s v="Unique"/>
    <s v="2024-01-26"/>
    <s v="02/01/2024"/>
    <d v="2024-01-26T00:00:00"/>
    <d v="2024-02-01T00:00:00"/>
    <x v="8"/>
    <x v="0"/>
    <s v="Valid"/>
    <s v="Valid"/>
    <n v="6"/>
    <s v="CUST-5434"/>
    <s v="Rohan Mehta"/>
    <s v="Rohan Mehta"/>
    <s v="Home Office"/>
    <x v="3"/>
    <s v="South"/>
    <x v="2"/>
    <s v="Kerala"/>
    <s v="Kerala"/>
    <s v="Kochi"/>
    <s v="Kochi"/>
    <s v="Technology"/>
    <x v="2"/>
    <s v="Copiers"/>
    <x v="6"/>
    <s v="Elite Copiers 785"/>
    <s v="Unknown"/>
    <x v="4"/>
    <n v="8"/>
    <n v="2108.9299999999998"/>
    <n v="0.1"/>
    <n v="0.1"/>
    <s v="Valid"/>
    <n v="15184.3"/>
    <n v="15184.295999999998"/>
    <n v="11270.74"/>
    <n v="3913.56"/>
    <n v="3913.5559999999987"/>
    <n v="-11270.74"/>
    <s v="Paid"/>
    <s v="Paid"/>
    <s v="Completed"/>
    <x v="0"/>
    <s v="Clean"/>
  </r>
  <r>
    <s v="ORD-2025-10100"/>
    <n v="1"/>
    <s v="Unique"/>
    <s v="11-01-2025"/>
    <s v="11-01-2025"/>
    <d v="2025-11-01T00:00:00"/>
    <d v="2025-11-01T00:00:00"/>
    <x v="3"/>
    <x v="1"/>
    <s v="Valid"/>
    <s v="Valid"/>
    <n v="0"/>
    <s v="CUST-3865"/>
    <s v="Aditi Sen"/>
    <s v="Aditi Sen"/>
    <s v="Small Business"/>
    <x v="1"/>
    <s v="West"/>
    <x v="3"/>
    <s v="Rajasthan"/>
    <s v="Rajasthan"/>
    <s v="Udaipur"/>
    <s v="Udaipur"/>
    <s v="Technology"/>
    <x v="2"/>
    <s v="Accessories"/>
    <x v="5"/>
    <s v="Smart Accessories 542"/>
    <s v="Same Day"/>
    <x v="1"/>
    <n v="3"/>
    <n v="2165.29"/>
    <n v="0"/>
    <n v="0"/>
    <s v="Valid"/>
    <n v="6495.87"/>
    <n v="6495.87"/>
    <n v="4700.8900000000003"/>
    <n v="1794.98"/>
    <n v="1794.9799999999996"/>
    <n v="-4700.8900000000003"/>
    <s v="Paid"/>
    <s v="Paid"/>
    <s v="Completed"/>
    <x v="0"/>
    <s v="Clean"/>
  </r>
  <r>
    <s v="ORD-2025-10101"/>
    <n v="1"/>
    <s v="Unique"/>
    <s v="12 Sep 2025"/>
    <s v="18 Sep 2025"/>
    <d v="2025-12-09T00:00:00"/>
    <d v="2025-09-18T00:00:00"/>
    <x v="7"/>
    <x v="1"/>
    <s v="Valid"/>
    <s v="Valid"/>
    <n v="-82"/>
    <s v="CUST-6015"/>
    <s v="Aarav Sharma"/>
    <s v="Aarav Sharma"/>
    <s v="Home Office"/>
    <x v="3"/>
    <s v="South"/>
    <x v="2"/>
    <s v="Kerala"/>
    <s v="Kerala"/>
    <s v="Kochi"/>
    <s v="Kochi"/>
    <s v="Office Supplies"/>
    <x v="0"/>
    <s v="Storage"/>
    <x v="8"/>
    <s v="Eco Storage 936"/>
    <s v="Standard Class"/>
    <x v="3"/>
    <n v="6"/>
    <n v="1673.8"/>
    <n v="0.05"/>
    <n v="0.05"/>
    <s v="Valid"/>
    <n v="9540.66"/>
    <n v="9540.659999999998"/>
    <n v="5561.49"/>
    <n v="3979.17"/>
    <n v="3979.1699999999983"/>
    <n v="-5561.49"/>
    <s v="Paid"/>
    <s v="Paid"/>
    <s v="Completed"/>
    <x v="0"/>
    <s v="Clean"/>
  </r>
  <r>
    <s v="ORD-2024-10102"/>
    <n v="2"/>
    <s v="Unique"/>
    <s v="06/22/2024"/>
    <s v="26-06-2024"/>
    <d v="2024-06-22T00:00:00"/>
    <d v="2024-06-26T00:00:00"/>
    <x v="2"/>
    <x v="0"/>
    <s v="Valid"/>
    <s v="Valid"/>
    <n v="4"/>
    <s v="CUST-7909"/>
    <s v="Rohan Mehta"/>
    <s v="Rohan Mehta"/>
    <s v="Home Office"/>
    <x v="3"/>
    <s v="East"/>
    <x v="1"/>
    <s v="Bihar"/>
    <s v="Bihar"/>
    <s v="Patna"/>
    <s v="Patna"/>
    <s v="Furniture"/>
    <x v="1"/>
    <s v="Furnishings"/>
    <x v="3"/>
    <s v="Classic Furnishings 682"/>
    <s v="First Class"/>
    <x v="2"/>
    <n v="5"/>
    <n v="4396.5200000000004"/>
    <n v="0.25"/>
    <n v="0.25"/>
    <s v="Valid"/>
    <n v="16486.95"/>
    <n v="16486.95"/>
    <n v="12054.14"/>
    <n v="4432.8100000000004"/>
    <n v="4432.8100000000013"/>
    <n v="-12054.14"/>
    <s v="Paid"/>
    <s v="Paid"/>
    <s v="Completed"/>
    <x v="0"/>
    <s v="Clean"/>
  </r>
  <r>
    <s v="ORD-2025-10103"/>
    <n v="1"/>
    <s v="Unique"/>
    <s v="12 Jul 2025"/>
    <s v="2025-07-16"/>
    <d v="2025-12-07T00:00:00"/>
    <d v="2025-07-16T00:00:00"/>
    <x v="7"/>
    <x v="1"/>
    <s v="Valid"/>
    <s v="Valid"/>
    <n v="-144"/>
    <s v="CUST-9603"/>
    <s v="Vikram Iyer"/>
    <s v="Vikram Iyer"/>
    <s v="Consumer"/>
    <x v="0"/>
    <s v="South"/>
    <x v="2"/>
    <s v="Karnataka"/>
    <s v="Karnataka"/>
    <s v="Bengaluru"/>
    <s v="Bengaluru"/>
    <s v="Furniture"/>
    <x v="1"/>
    <s v="Chairs"/>
    <x v="4"/>
    <s v="Classic Chairs 604"/>
    <s v="First Class"/>
    <x v="2"/>
    <n v="4"/>
    <n v="2865.71"/>
    <n v="0"/>
    <n v="0"/>
    <s v="Valid"/>
    <n v="11462.84"/>
    <n v="11462.84"/>
    <n v="8979.7800000000007"/>
    <n v="2483.06"/>
    <n v="2483.0599999999995"/>
    <n v="-8979.7800000000007"/>
    <s v="Refunded"/>
    <s v="Refunded"/>
    <s v="Cancelled"/>
    <x v="1"/>
    <s v="Clean"/>
  </r>
  <r>
    <s v="ORD-2025-10104"/>
    <n v="1"/>
    <s v="Unique"/>
    <s v="05/02/2025"/>
    <s v="05/10/2025"/>
    <d v="2025-05-02T00:00:00"/>
    <d v="2025-05-10T00:00:00"/>
    <x v="4"/>
    <x v="1"/>
    <s v="Valid"/>
    <s v="Valid"/>
    <n v="8"/>
    <s v="CUST-6263"/>
    <s v="Kabir Singh"/>
    <s v="Kabir Singh"/>
    <s v="Corporate"/>
    <x v="2"/>
    <s v="West"/>
    <x v="3"/>
    <s v="Maharashtra"/>
    <s v="Maharashtra"/>
    <s v="Mumbai"/>
    <s v="Mumbai"/>
    <s v="Furniture"/>
    <x v="1"/>
    <s v="Tables"/>
    <x v="1"/>
    <s v="Prime Tables 377"/>
    <s v="First Class"/>
    <x v="2"/>
    <n v="4"/>
    <n v="2440.34"/>
    <n v="0.2"/>
    <n v="0.2"/>
    <s v="Valid"/>
    <n v="7809.09"/>
    <n v="7809.0880000000006"/>
    <n v="6657.75"/>
    <n v="1151.3399999999999"/>
    <n v="1151.3380000000006"/>
    <n v="-6657.75"/>
    <s v="Paid"/>
    <s v="Paid"/>
    <s v="Completed"/>
    <x v="0"/>
    <s v="Clean"/>
  </r>
  <r>
    <s v="ORD-2025-10105"/>
    <n v="1"/>
    <s v="Unique"/>
    <s v="2025-02-01"/>
    <s v="02/08/2025"/>
    <d v="2025-01-02T00:00:00"/>
    <d v="2025-02-08T00:00:00"/>
    <x v="8"/>
    <x v="1"/>
    <s v="Valid"/>
    <s v="Valid"/>
    <n v="37"/>
    <s v="CUST-1576"/>
    <s v="Ananya Rao"/>
    <s v="Ananya Rao"/>
    <s v="Consumer"/>
    <x v="0"/>
    <s v="South"/>
    <x v="2"/>
    <s v="Karnataka"/>
    <s v="Karnataka"/>
    <s v="Bengaluru"/>
    <s v="Bengaluru"/>
    <s v="Office Supplies"/>
    <x v="0"/>
    <s v="Labels"/>
    <x v="7"/>
    <s v="Prime Labels 807"/>
    <s v="Same Day"/>
    <x v="1"/>
    <n v="5"/>
    <n v="2112.54"/>
    <n v="0.25"/>
    <n v="0.25"/>
    <s v="Valid"/>
    <n v="8260.4599999999991"/>
    <n v="7922.0250000000005"/>
    <n v="5619.95"/>
    <n v="2302.08"/>
    <n v="2302.0750000000007"/>
    <n v="-5619.95"/>
    <s v="Paid"/>
    <s v="Paid"/>
    <s v="Cancelled"/>
    <x v="1"/>
    <s v="Clean"/>
  </r>
  <r>
    <s v="ORD-2024-10106"/>
    <n v="1"/>
    <s v="Unique"/>
    <s v="06/24/2024"/>
    <s v="29-06-2024"/>
    <d v="2024-06-24T00:00:00"/>
    <d v="2024-06-29T00:00:00"/>
    <x v="2"/>
    <x v="0"/>
    <s v="Valid"/>
    <s v="Valid"/>
    <n v="5"/>
    <s v="CUST-6540"/>
    <s v="Mira Das"/>
    <s v="Mira Das"/>
    <s v="Home Office"/>
    <x v="3"/>
    <s v="East"/>
    <x v="1"/>
    <s v="West Bengal"/>
    <s v="West Bengal"/>
    <s v="Kolkata"/>
    <s v="Kolkata"/>
    <s v="Furniture"/>
    <x v="1"/>
    <s v="Tables"/>
    <x v="1"/>
    <s v="Eco Tables 575"/>
    <s v="Second Class"/>
    <x v="0"/>
    <n v="2"/>
    <n v="685"/>
    <n v="0.1"/>
    <n v="0.1"/>
    <s v="Valid"/>
    <n v="1233"/>
    <n v="1233"/>
    <n v="1006.9"/>
    <n v="226.1"/>
    <n v="226.10000000000002"/>
    <n v="-1006.9"/>
    <s v="Paid"/>
    <s v="Paid"/>
    <s v="Completed"/>
    <x v="0"/>
    <s v="Clean"/>
  </r>
  <r>
    <s v="ORD-2024-10107"/>
    <n v="1"/>
    <s v="Unique"/>
    <s v="20-02-2024"/>
    <s v="28 Feb 2024"/>
    <d v="2024-02-20T00:00:00"/>
    <d v="2024-02-28T00:00:00"/>
    <x v="6"/>
    <x v="0"/>
    <s v="Valid"/>
    <s v="Valid"/>
    <n v="8"/>
    <s v="CUST-4008"/>
    <s v="Arjun Bose"/>
    <s v="Arjun Bose"/>
    <s v="Home Office"/>
    <x v="3"/>
    <s v="East"/>
    <x v="1"/>
    <s v="West Bengal"/>
    <s v="West Bengal"/>
    <s v="Kolkata"/>
    <s v="Kolkata"/>
    <s v="Office Supplies"/>
    <x v="0"/>
    <s v="Paper"/>
    <x v="0"/>
    <s v="Eco Paper 918"/>
    <s v="Standard Class"/>
    <x v="3"/>
    <n v="2"/>
    <n v="4004.04"/>
    <s v="Unknown"/>
    <s v="Unkown"/>
    <s v="Invalid - Above Range"/>
    <n v="7207.27"/>
    <s v="Unknown"/>
    <n v="5709.39"/>
    <n v="1497.88"/>
    <s v="Unknown"/>
    <s v="Unknown"/>
    <s v="Paid"/>
    <s v="Paid"/>
    <s v="Cancelled"/>
    <x v="1"/>
    <s v="Clean"/>
  </r>
  <r>
    <s v="ORD-2024-10108"/>
    <n v="1"/>
    <s v="Unique"/>
    <s v="29 Oct 2024"/>
    <s v="2024-11-04"/>
    <d v="2024-10-29T00:00:00"/>
    <d v="2024-04-11T00:00:00"/>
    <x v="10"/>
    <x v="0"/>
    <s v="Valid"/>
    <s v="Valid"/>
    <n v="-201"/>
    <s v="CUST-6604"/>
    <s v="Rohan Mehta"/>
    <s v="Rohan Mehta"/>
    <s v="Home Office"/>
    <x v="3"/>
    <s v="East"/>
    <x v="1"/>
    <s v="West Bengal"/>
    <s v="West Bengal"/>
    <s v="Kolkata"/>
    <s v="Kolkata"/>
    <s v="Furniture"/>
    <x v="1"/>
    <s v="Furnishings"/>
    <x v="3"/>
    <s v="Prime Furnishings 952"/>
    <s v="First Class"/>
    <x v="2"/>
    <n v="3"/>
    <n v="4302.8900000000003"/>
    <n v="0.05"/>
    <n v="0.05"/>
    <s v="Valid"/>
    <n v="12263.24"/>
    <n v="12263.236500000001"/>
    <n v="8925.57"/>
    <n v="3337.67"/>
    <n v="3337.6665000000012"/>
    <n v="-8925.57"/>
    <s v="Paid"/>
    <s v="Paid"/>
    <s v="Completed"/>
    <x v="0"/>
    <s v="Clean"/>
  </r>
  <r>
    <s v="ORD-2024-10109"/>
    <n v="1"/>
    <s v="Unique"/>
    <s v="15 Aug 2024"/>
    <s v="08/23/2024"/>
    <d v="2024-08-15T00:00:00"/>
    <d v="2024-08-23T00:00:00"/>
    <x v="1"/>
    <x v="0"/>
    <s v="Valid"/>
    <s v="Valid"/>
    <n v="8"/>
    <s v="CUST-4337"/>
    <s v="Aditi Sen"/>
    <s v="Aditi Sen"/>
    <s v="Small Business"/>
    <x v="1"/>
    <s v="East"/>
    <x v="1"/>
    <s v="Odisha"/>
    <s v="Odisha"/>
    <s v="Bhubaneswar"/>
    <s v="Bhubaneswar"/>
    <s v="Furniture"/>
    <x v="1"/>
    <s v="Bookcases"/>
    <x v="10"/>
    <s v="Prime Bookcases 631"/>
    <s v="Same Day"/>
    <x v="1"/>
    <n v="2"/>
    <n v="537.54"/>
    <n v="0.25"/>
    <n v="0.25"/>
    <s v="Valid"/>
    <n v="806.31"/>
    <n v="806.31"/>
    <n v="498.5"/>
    <n v="307.81"/>
    <n v="307.80999999999995"/>
    <n v="-498.5"/>
    <s v="Paid"/>
    <s v="Paid"/>
    <s v="Completed"/>
    <x v="0"/>
    <s v="Clean"/>
  </r>
  <r>
    <s v="ORD-2025-10110"/>
    <n v="1"/>
    <s v="Unique"/>
    <s v="23-08-2025"/>
    <s v="08/27/2025"/>
    <d v="2025-08-23T00:00:00"/>
    <d v="2025-08-27T00:00:00"/>
    <x v="1"/>
    <x v="1"/>
    <s v="Valid"/>
    <s v="Valid"/>
    <n v="4"/>
    <s v="CUST-3740"/>
    <s v="Sneha Kapoor"/>
    <s v="Sneha Kapoor"/>
    <s v="Consumer"/>
    <x v="0"/>
    <s v="North"/>
    <x v="0"/>
    <s v="Delhi"/>
    <s v="Delhi"/>
    <s v="New Delhi"/>
    <s v="New Delhi"/>
    <s v="Office Supplies"/>
    <x v="0"/>
    <s v="Binders"/>
    <x v="9"/>
    <s v="Classic Binders 660"/>
    <s v="Second Class"/>
    <x v="0"/>
    <n v="1"/>
    <n v="2788.62"/>
    <n v="0.25"/>
    <n v="0.25"/>
    <s v="Valid"/>
    <n v="2091.4699999999998"/>
    <n v="2091.4650000000001"/>
    <n v="1317.22"/>
    <n v="774.25"/>
    <n v="774.24500000000012"/>
    <n v="-1317.22"/>
    <s v="Paid"/>
    <s v="Paid"/>
    <s v="Completed"/>
    <x v="0"/>
    <s v="Clean"/>
  </r>
  <r>
    <s v="ORD-2024-10111"/>
    <n v="1"/>
    <s v="Unique"/>
    <s v="10/18/2024"/>
    <s v="2024-10-24"/>
    <d v="2024-10-18T00:00:00"/>
    <d v="2024-10-24T00:00:00"/>
    <x v="10"/>
    <x v="0"/>
    <s v="Valid"/>
    <s v="Valid"/>
    <n v="6"/>
    <s v="CUST-7128"/>
    <s v="Vikram Iyer"/>
    <s v="Vikram Iyer"/>
    <s v="Corporate"/>
    <x v="2"/>
    <s v="South"/>
    <x v="2"/>
    <s v="Kerala"/>
    <s v="Kerala"/>
    <s v="Kochi"/>
    <s v="Kochi"/>
    <s v="Office Supplies"/>
    <x v="0"/>
    <s v="Labels"/>
    <x v="7"/>
    <s v="Pro Labels 255"/>
    <s v="First Class"/>
    <x v="2"/>
    <n v="2"/>
    <n v="2250.4699999999998"/>
    <n v="0"/>
    <n v="0"/>
    <s v="Valid"/>
    <n v="4500.9399999999996"/>
    <n v="4500.9399999999996"/>
    <n v="2607.73"/>
    <n v="1893.21"/>
    <n v="1893.2099999999996"/>
    <n v="-2607.73"/>
    <s v="Refunded"/>
    <s v="Refunded"/>
    <s v="Cancelled"/>
    <x v="1"/>
    <s v="Clean"/>
  </r>
  <r>
    <s v="ORD-2025-10112"/>
    <n v="1"/>
    <s v="Unique"/>
    <s v="06/27/2025"/>
    <s v="2025-06-30"/>
    <d v="2025-06-27T00:00:00"/>
    <d v="2025-06-30T00:00:00"/>
    <x v="2"/>
    <x v="1"/>
    <s v="Valid"/>
    <s v="Valid"/>
    <n v="3"/>
    <s v="CUST-4743"/>
    <s v="Neha Gupta"/>
    <s v="Neha Gupta"/>
    <s v="Corporate"/>
    <x v="2"/>
    <s v="East"/>
    <x v="1"/>
    <s v="Bihar"/>
    <s v="Bihar"/>
    <s v="Patna"/>
    <s v="Patna"/>
    <s v="Technology"/>
    <x v="2"/>
    <s v="Accessories"/>
    <x v="5"/>
    <s v="Basic Accessories 187"/>
    <s v="First Class"/>
    <x v="2"/>
    <n v="1"/>
    <n v="1708.44"/>
    <n v="0.05"/>
    <n v="0.05"/>
    <s v="Valid"/>
    <n v="1623.02"/>
    <n v="1623.018"/>
    <n v="1077.46"/>
    <n v="545.55999999999995"/>
    <n v="545.55799999999999"/>
    <n v="-1077.46"/>
    <s v="Pending"/>
    <s v="Pending"/>
    <s v="Cancelled"/>
    <x v="1"/>
    <s v="Clean"/>
  </r>
  <r>
    <s v="ORD-2024-10113"/>
    <n v="1"/>
    <s v="Unique"/>
    <s v="10 Jan 2024"/>
    <s v="14-01-2024"/>
    <d v="2024-10-01T00:00:00"/>
    <d v="2024-01-14T00:00:00"/>
    <x v="10"/>
    <x v="0"/>
    <s v="Valid"/>
    <s v="Valid"/>
    <n v="-261"/>
    <s v="CUST-5213"/>
    <s v="Sneha Kapoor"/>
    <s v="Sneha Kapoor"/>
    <s v="Consumer"/>
    <x v="0"/>
    <s v="Unknown"/>
    <x v="4"/>
    <s v="Gujarat"/>
    <s v="Gujarat"/>
    <s v="Ahmedabad"/>
    <s v="Ahmedabad"/>
    <s v="Technology"/>
    <x v="2"/>
    <s v="Accessories"/>
    <x v="5"/>
    <s v="Max Accessories 451"/>
    <s v="Standard Class"/>
    <x v="3"/>
    <n v="3"/>
    <n v="3829.48"/>
    <n v="0.05"/>
    <n v="0.05"/>
    <s v="Valid"/>
    <n v="10914.02"/>
    <n v="10914.018"/>
    <n v="6548.74"/>
    <n v="4365.28"/>
    <n v="4365.2780000000002"/>
    <n v="-6548.74"/>
    <s v="Paid"/>
    <s v="Paid"/>
    <s v="Completed"/>
    <x v="0"/>
    <s v="Clean"/>
  </r>
  <r>
    <s v="ORD-2024-10114"/>
    <n v="1"/>
    <s v="Unique"/>
    <s v="12-02-2024"/>
    <s v="12-02-2024"/>
    <d v="2024-12-02T00:00:00"/>
    <d v="2024-12-02T00:00:00"/>
    <x v="7"/>
    <x v="0"/>
    <s v="Valid"/>
    <s v="Valid"/>
    <n v="0"/>
    <s v="CUST-4989"/>
    <s v="Isha Nair"/>
    <s v="Isha Nair"/>
    <s v="Home Office"/>
    <x v="3"/>
    <s v="South"/>
    <x v="2"/>
    <s v="Tamil Nadu"/>
    <s v="Tamil Nadu"/>
    <s v="Chennai"/>
    <s v="Chennai"/>
    <s v="Furniture"/>
    <x v="1"/>
    <s v="Tables"/>
    <x v="1"/>
    <s v="Classic Tables 752"/>
    <s v="Standard Class"/>
    <x v="3"/>
    <n v="3"/>
    <n v="1089.1500000000001"/>
    <n v="0.25"/>
    <n v="0.25"/>
    <s v="Valid"/>
    <n v="2450.59"/>
    <n v="2450.5875000000001"/>
    <n v="1639.89"/>
    <n v="810.7"/>
    <n v="810.69749999999999"/>
    <n v="-1639.89"/>
    <s v="Paid"/>
    <s v="Paid"/>
    <s v="Completed"/>
    <x v="0"/>
    <s v="Clean"/>
  </r>
  <r>
    <s v="ORD-2024-10115"/>
    <n v="1"/>
    <s v="Unique"/>
    <s v="2024-09-25"/>
    <s v="30 Sep 2024"/>
    <d v="2024-09-25T00:00:00"/>
    <d v="2024-09-30T00:00:00"/>
    <x v="9"/>
    <x v="0"/>
    <s v="Valid"/>
    <s v="Valid"/>
    <n v="5"/>
    <s v="CUST-2927"/>
    <s v="Neha Gupta"/>
    <s v="Neha Gupta"/>
    <s v="Small Business"/>
    <x v="1"/>
    <s v="North"/>
    <x v="0"/>
    <s v="Rajasthan"/>
    <s v="Rajasthan"/>
    <s v="Jaipur"/>
    <s v="Jaipur"/>
    <s v="Technology"/>
    <x v="2"/>
    <s v="Accessories"/>
    <x v="5"/>
    <s v="Eco Accessories 452"/>
    <s v="Second Class"/>
    <x v="0"/>
    <n v="1"/>
    <n v="4388.3999999999996"/>
    <n v="0.1"/>
    <n v="0.1"/>
    <s v="Valid"/>
    <n v="3949.56"/>
    <n v="3949.56"/>
    <n v="3186.73"/>
    <n v="762.83"/>
    <n v="762.82999999999993"/>
    <n v="-3186.73"/>
    <s v="Pending"/>
    <s v="Pending"/>
    <s v="Cancelled"/>
    <x v="1"/>
    <s v="Clean"/>
  </r>
  <r>
    <s v="ORD-2024-10116"/>
    <n v="2"/>
    <s v="Unique"/>
    <s v="2024-12-27"/>
    <s v="01-01-2025"/>
    <d v="2024-12-27T00:00:00"/>
    <d v="2025-01-01T00:00:00"/>
    <x v="7"/>
    <x v="0"/>
    <s v="Valid"/>
    <s v="Valid"/>
    <n v="5"/>
    <s v="CUST-7764"/>
    <s v="Kabir Singh"/>
    <s v="Kabir Singh"/>
    <s v="Corporate"/>
    <x v="2"/>
    <s v="South"/>
    <x v="2"/>
    <s v="Tamil Nadu"/>
    <s v="Tamil Nadu"/>
    <s v="Chennai"/>
    <s v="Chennai"/>
    <s v="Office Supplies"/>
    <x v="0"/>
    <s v="Binders"/>
    <x v="9"/>
    <s v="Classic Binders 203"/>
    <s v="Same Day"/>
    <x v="1"/>
    <n v="2"/>
    <n v="446.34"/>
    <n v="0.15"/>
    <n v="0.15"/>
    <s v="Valid"/>
    <n v="758.78"/>
    <n v="758.77799999999991"/>
    <n v="490.74"/>
    <n v="268.04000000000002"/>
    <n v="268.0379999999999"/>
    <n v="-490.74"/>
    <s v="Paid"/>
    <s v="Paid"/>
    <s v="Cancelled"/>
    <x v="1"/>
    <s v="Clean"/>
  </r>
  <r>
    <s v="ORD-2025-10117"/>
    <n v="1"/>
    <s v="Unique"/>
    <s v="2025-02-15"/>
    <s v="19 Feb 2025"/>
    <d v="2025-02-15T00:00:00"/>
    <d v="2025-02-19T00:00:00"/>
    <x v="6"/>
    <x v="1"/>
    <s v="Valid"/>
    <s v="Valid"/>
    <n v="4"/>
    <s v="CUST-3632"/>
    <s v="Ananya Rao"/>
    <s v="Ananya Rao"/>
    <s v="Small Business"/>
    <x v="1"/>
    <s v="Unknown"/>
    <x v="4"/>
    <s v="Madhya Pradesh"/>
    <s v="Madhya Pradesh"/>
    <s v="Indore"/>
    <s v="Indore"/>
    <s v="Office Supplies"/>
    <x v="0"/>
    <s v="Binders"/>
    <x v="9"/>
    <s v="Basic Binders 859"/>
    <s v="First Class"/>
    <x v="2"/>
    <n v="9"/>
    <n v="531.99"/>
    <n v="0.25"/>
    <n v="0.25"/>
    <s v="Valid"/>
    <n v="3590.93"/>
    <n v="3590.9324999999999"/>
    <n v="3061.39"/>
    <n v="529.54"/>
    <n v="529.54250000000002"/>
    <n v="-3061.39"/>
    <s v="Failed"/>
    <s v="Failed"/>
    <s v="Cancelled"/>
    <x v="1"/>
    <s v="Clean"/>
  </r>
  <r>
    <s v="ORD-2024-10118"/>
    <n v="1"/>
    <s v="Unique"/>
    <s v="2024-02-15"/>
    <s v="17 Feb 2024"/>
    <d v="2024-02-15T00:00:00"/>
    <d v="2024-02-17T00:00:00"/>
    <x v="6"/>
    <x v="0"/>
    <s v="Valid"/>
    <s v="Valid"/>
    <n v="2"/>
    <s v="CUST-9608"/>
    <s v="Mira Das"/>
    <s v="Mira Das"/>
    <s v="Home Office"/>
    <x v="3"/>
    <s v="South"/>
    <x v="2"/>
    <s v="Tamil Nadu"/>
    <s v="Tamil Nadu"/>
    <s v="Chennai"/>
    <s v="Chennai"/>
    <s v="Technology"/>
    <x v="2"/>
    <s v="Machines"/>
    <x v="12"/>
    <s v="Elite Machines 705"/>
    <s v="Standard Class"/>
    <x v="3"/>
    <n v="9"/>
    <n v="3324.55"/>
    <s v="70%"/>
    <n v="0.7"/>
    <s v="Invalid - Above Range"/>
    <n v="25432.81"/>
    <n v="8976.2850000000017"/>
    <n v="20370.16"/>
    <n v="5062.6499999999996"/>
    <n v="-11393.874999999998"/>
    <n v="-20370.16"/>
    <s v="Paid"/>
    <s v="Paid"/>
    <s v="Completed"/>
    <x v="0"/>
    <s v="Clean"/>
  </r>
  <r>
    <s v="ORD-2024-10119"/>
    <n v="1"/>
    <s v="Unique"/>
    <s v="06/10/2024"/>
    <s v="2024-06-18"/>
    <d v="2024-06-10T00:00:00"/>
    <d v="2024-06-18T00:00:00"/>
    <x v="2"/>
    <x v="0"/>
    <s v="Valid"/>
    <s v="Valid"/>
    <n v="8"/>
    <s v="CUST-9135"/>
    <s v="Vikram  Iyer"/>
    <s v="Vikram Iyer"/>
    <s v="Home Office"/>
    <x v="3"/>
    <s v="South"/>
    <x v="2"/>
    <s v="Andhra Pradesh"/>
    <s v="Andhra Pradesh"/>
    <s v="Vijayawada"/>
    <s v="Vijayawada"/>
    <s v="Technology"/>
    <x v="2"/>
    <s v="Copiers"/>
    <x v="6"/>
    <s v="Pro Copiers 208"/>
    <s v="Same Day"/>
    <x v="1"/>
    <n v="5"/>
    <n v="1580.27"/>
    <n v="0.2"/>
    <n v="0.2"/>
    <s v="Valid"/>
    <n v="6321.08"/>
    <n v="6321.0800000000008"/>
    <n v="4407.22"/>
    <n v="1913.86"/>
    <n v="1913.8600000000006"/>
    <n v="-4407.22"/>
    <s v="Paid"/>
    <s v="Paid"/>
    <s v="Completed"/>
    <x v="0"/>
    <s v="Clean"/>
  </r>
  <r>
    <s v="ORD-2024-10120"/>
    <n v="1"/>
    <s v="Unique"/>
    <s v="12 Jun 2024"/>
    <s v="19 Jun 2024"/>
    <d v="2024-12-06T00:00:00"/>
    <d v="2024-06-19T00:00:00"/>
    <x v="7"/>
    <x v="0"/>
    <s v="Valid"/>
    <s v="Valid"/>
    <n v="-170"/>
    <s v="CUST-7861"/>
    <s v="Aditi Sen"/>
    <s v="Aditi Sen"/>
    <s v="Small Business"/>
    <x v="1"/>
    <s v="South"/>
    <x v="2"/>
    <s v="Kerala"/>
    <s v="Kerala"/>
    <s v="Kochi"/>
    <s v="Kochi"/>
    <s v="Furniture"/>
    <x v="1"/>
    <s v="Chairs"/>
    <x v="4"/>
    <s v="Elite Chairs 921"/>
    <s v="Standard Class"/>
    <x v="3"/>
    <n v="8"/>
    <n v="314.05"/>
    <n v="0.25"/>
    <n v="0.25"/>
    <s v="Valid"/>
    <n v="1884.3"/>
    <n v="1884.3000000000002"/>
    <n v="1517.69"/>
    <n v="366.61"/>
    <n v="366.61000000000013"/>
    <n v="-1517.69"/>
    <s v="Refunded"/>
    <s v="Refunded"/>
    <s v="Returned"/>
    <x v="2"/>
    <s v="Clean"/>
  </r>
  <r>
    <s v="ORD-2024-10121"/>
    <n v="2"/>
    <s v="Unique"/>
    <s v="2024-08-10"/>
    <s v="2024-08-18"/>
    <d v="2024-10-08T00:00:00"/>
    <d v="2024-08-18T00:00:00"/>
    <x v="10"/>
    <x v="0"/>
    <s v="Valid"/>
    <s v="Valid"/>
    <n v="-51"/>
    <s v="CUST-6096"/>
    <s v="Sneha Kapoor"/>
    <s v="Sneha Kapoor"/>
    <s v="Small Business"/>
    <x v="1"/>
    <s v="East"/>
    <x v="1"/>
    <s v="Bihar"/>
    <s v="Bihar"/>
    <s v="Patna"/>
    <s v="Patna"/>
    <s v="Technology"/>
    <x v="2"/>
    <s v="Phones"/>
    <x v="11"/>
    <s v="Prime Phones 540"/>
    <s v="Standard Class"/>
    <x v="3"/>
    <n v="1"/>
    <n v="1823.67"/>
    <n v="0.2"/>
    <n v="0.2"/>
    <s v="Valid"/>
    <n v="1458.94"/>
    <n v="1458.9360000000001"/>
    <n v="893.2"/>
    <n v="565.74"/>
    <n v="565.7360000000001"/>
    <n v="-893.2"/>
    <s v="Paid"/>
    <s v="Paid"/>
    <s v="Returned"/>
    <x v="2"/>
    <s v="Clean"/>
  </r>
  <r>
    <s v="ORD-2025-10122"/>
    <n v="1"/>
    <s v="Unique"/>
    <s v="08/22/2025"/>
    <s v="08/26/2025"/>
    <d v="2025-08-22T00:00:00"/>
    <d v="2025-08-26T00:00:00"/>
    <x v="1"/>
    <x v="1"/>
    <s v="Valid"/>
    <s v="Valid"/>
    <n v="4"/>
    <s v="CUST-2044"/>
    <s v="Kabir Singh"/>
    <s v="Kabir Singh"/>
    <s v="Small  Business"/>
    <x v="1"/>
    <s v="South"/>
    <x v="2"/>
    <s v="Andhra Pradesh"/>
    <s v="Andhra Pradesh"/>
    <s v="Vijayawada"/>
    <s v="Vijayawada"/>
    <s v="Technology"/>
    <x v="2"/>
    <s v="Machines"/>
    <x v="12"/>
    <s v="Max Machines 948"/>
    <s v="Second Class"/>
    <x v="0"/>
    <n v="5"/>
    <n v="3482.92"/>
    <n v="0"/>
    <n v="0"/>
    <s v="Valid"/>
    <n v="17414.599999999999"/>
    <n v="17414.599999999999"/>
    <n v="11760.91"/>
    <n v="5653.69"/>
    <n v="5653.6899999999987"/>
    <n v="-11760.91"/>
    <s v="Refunded"/>
    <s v="Refunded"/>
    <s v="Cancelled"/>
    <x v="1"/>
    <s v="Clean"/>
  </r>
  <r>
    <s v="ORD-2024-10123"/>
    <n v="1"/>
    <s v="Unique"/>
    <s v="11/30/2024"/>
    <s v="04-12-2024"/>
    <d v="2024-11-30T00:00:00"/>
    <d v="2024-04-12T00:00:00"/>
    <x v="3"/>
    <x v="0"/>
    <s v="Valid"/>
    <s v="Valid"/>
    <n v="-232"/>
    <s v="CUST-1721"/>
    <s v="Ananya Rao"/>
    <s v="Ananya Rao"/>
    <s v="Small Business"/>
    <x v="1"/>
    <s v="East"/>
    <x v="1"/>
    <s v="Assam"/>
    <s v="Assam"/>
    <s v="Guwahati"/>
    <s v="Guwahati"/>
    <s v="Furniture"/>
    <x v="1"/>
    <s v="Chairs"/>
    <x v="4"/>
    <s v="Max Chairs 786"/>
    <s v="Second Class"/>
    <x v="0"/>
    <n v="3"/>
    <n v="170.35"/>
    <n v="0"/>
    <n v="0"/>
    <s v="Valid"/>
    <n v="511.05"/>
    <n v="511.04999999999995"/>
    <n v="367.18"/>
    <n v="143.87"/>
    <n v="143.86999999999995"/>
    <n v="-367.18"/>
    <s v="Paid"/>
    <s v="Paid"/>
    <s v="Completed"/>
    <x v="0"/>
    <s v="Clean"/>
  </r>
  <r>
    <s v="ORD-2024-10124"/>
    <n v="1"/>
    <s v="Exact Duplicate"/>
    <s v="05/24/2024"/>
    <s v="25 May 2024"/>
    <d v="2024-05-24T00:00:00"/>
    <d v="2024-05-25T00:00:00"/>
    <x v="4"/>
    <x v="0"/>
    <s v="Valid"/>
    <s v="Valid"/>
    <n v="1"/>
    <s v="CUST-1007"/>
    <s v="Sneha Kapoor"/>
    <s v="Sneha Kapoor"/>
    <s v="Small Business"/>
    <x v="1"/>
    <s v="North"/>
    <x v="0"/>
    <s v="Punjab"/>
    <s v="Punjab"/>
    <s v="Ludhiana"/>
    <s v="Ludhiana"/>
    <s v="Technology"/>
    <x v="2"/>
    <s v="Copiers"/>
    <x v="6"/>
    <s v="Max Copiers 970"/>
    <s v="Same Day"/>
    <x v="1"/>
    <n v="1"/>
    <n v="634.13"/>
    <n v="0"/>
    <n v="0"/>
    <s v="Valid"/>
    <n v="634.13"/>
    <n v="634.13"/>
    <n v="453.35"/>
    <n v="180.78"/>
    <n v="180.77999999999997"/>
    <n v="-453.35"/>
    <s v="Refunded"/>
    <s v="Refunded"/>
    <s v="Cancelled"/>
    <x v="1"/>
    <s v="Clean"/>
  </r>
  <r>
    <s v="ORD-2024-10125"/>
    <n v="2"/>
    <s v="Unique"/>
    <s v="21 Jul 2024"/>
    <s v="07/24/2024"/>
    <d v="2024-07-21T00:00:00"/>
    <d v="2024-07-24T00:00:00"/>
    <x v="0"/>
    <x v="0"/>
    <s v="Valid"/>
    <s v="Valid"/>
    <n v="3"/>
    <s v="CUST-4450"/>
    <s v="Isha Nair"/>
    <s v="Isha Nair"/>
    <s v="Corporate"/>
    <x v="2"/>
    <s v="South"/>
    <x v="2"/>
    <s v="Karnataka"/>
    <s v="Karnataka"/>
    <s v="Bengaluru"/>
    <s v="Bengaluru"/>
    <s v="Technology"/>
    <x v="2"/>
    <s v="Copiers"/>
    <x v="6"/>
    <s v="Pro Copiers 769"/>
    <s v="Standard Class"/>
    <x v="3"/>
    <n v="9"/>
    <n v="465.06"/>
    <n v="-0.15"/>
    <n v="-0.15"/>
    <s v="Invalid - Negative Discount"/>
    <n v="4185.54"/>
    <n v="4813.3709999999992"/>
    <n v="3443.74"/>
    <n v="741.8"/>
    <n v="1369.6309999999994"/>
    <n v="-3443.74"/>
    <s v="Paid"/>
    <s v="Paid"/>
    <s v="Completed"/>
    <x v="0"/>
    <s v="Clean"/>
  </r>
  <r>
    <s v="ORD-2025-10126"/>
    <n v="1"/>
    <s v="Unique"/>
    <s v="2025-07-17"/>
    <s v="18-07-2025"/>
    <d v="2025-07-17T00:00:00"/>
    <d v="2025-07-18T00:00:00"/>
    <x v="0"/>
    <x v="1"/>
    <s v="Valid"/>
    <s v="Valid"/>
    <n v="1"/>
    <s v="CUST-7924"/>
    <s v="Neha Gupta"/>
    <s v="Neha Gupta"/>
    <s v="Small Business"/>
    <x v="1"/>
    <s v="West"/>
    <x v="3"/>
    <s v="Rajasthan"/>
    <s v="Rajasthan"/>
    <s v="Udaipur"/>
    <s v="Udaipur"/>
    <s v="Furniture"/>
    <x v="1"/>
    <s v="Tables"/>
    <x v="1"/>
    <s v="Basic Tables 753"/>
    <s v="Same Day"/>
    <x v="1"/>
    <n v="6"/>
    <n v="3235.27"/>
    <n v="0.25"/>
    <n v="0.25"/>
    <s v="Valid"/>
    <n v="14558.72"/>
    <n v="14558.715"/>
    <n v="9591.48"/>
    <n v="4967.24"/>
    <n v="4967.2350000000006"/>
    <n v="-9591.48"/>
    <s v="Refunded"/>
    <s v="Refunded"/>
    <s v="Returned"/>
    <x v="2"/>
    <s v="Clean"/>
  </r>
  <r>
    <s v="ORD-2025-10127"/>
    <n v="1"/>
    <s v="Unique"/>
    <s v="24-09-2025"/>
    <s v="26 Sep 2025"/>
    <d v="2025-09-24T00:00:00"/>
    <d v="2025-09-26T00:00:00"/>
    <x v="9"/>
    <x v="1"/>
    <s v="Valid"/>
    <s v="Valid"/>
    <n v="2"/>
    <s v="CUST-1715"/>
    <s v="Priya Menon"/>
    <s v="Priya Menon"/>
    <s v="Corporate"/>
    <x v="2"/>
    <s v="North"/>
    <x v="0"/>
    <s v="Delhi"/>
    <s v="Delhi"/>
    <s v="New Delhi"/>
    <s v="New Delhi"/>
    <s v="Technology"/>
    <x v="2"/>
    <s v="Copiers"/>
    <x v="6"/>
    <s v="Prime Copiers 651"/>
    <s v="Standard Class"/>
    <x v="3"/>
    <n v="3"/>
    <n v="1593.86"/>
    <n v="0.1"/>
    <n v="0.1"/>
    <s v="Valid"/>
    <n v="4303.42"/>
    <n v="4303.4220000000005"/>
    <n v="2568.5700000000002"/>
    <n v="1734.85"/>
    <n v="1734.8520000000003"/>
    <n v="-2568.5700000000002"/>
    <s v="Paid"/>
    <s v="Paid"/>
    <s v="Completed"/>
    <x v="0"/>
    <s v="Clean"/>
  </r>
  <r>
    <s v="ORD-2025-10128"/>
    <n v="1"/>
    <s v="Exact Duplicate"/>
    <s v="01/30/2025"/>
    <s v="26-01-2025"/>
    <d v="2025-01-30T00:00:00"/>
    <d v="2025-01-26T00:00:00"/>
    <x v="8"/>
    <x v="1"/>
    <s v="Valid"/>
    <s v="Valid"/>
    <n v="-4"/>
    <s v="CUST-6802"/>
    <s v="Priya Menon"/>
    <s v="Priya Menon"/>
    <s v="Corporate"/>
    <x v="2"/>
    <s v="West"/>
    <x v="3"/>
    <s v="Madhya Pradesh"/>
    <s v="Madhya Pradesh"/>
    <s v="Indore"/>
    <s v="Indore"/>
    <s v="Office Supplies"/>
    <x v="0"/>
    <s v="Storage"/>
    <x v="8"/>
    <s v="Basic Storage 321"/>
    <s v="Second Class"/>
    <x v="0"/>
    <n v="2"/>
    <n v="3039.3"/>
    <n v="0.05"/>
    <n v="0.05"/>
    <s v="Valid"/>
    <n v="5774.67"/>
    <n v="5774.67"/>
    <n v="3518.36"/>
    <n v="2256.31"/>
    <n v="2256.31"/>
    <n v="-3518.36"/>
    <s v="Paid"/>
    <s v="Paid"/>
    <s v="Completed"/>
    <x v="0"/>
    <s v="Clean"/>
  </r>
  <r>
    <s v="ORD-2024-10129"/>
    <n v="1"/>
    <s v="Unique"/>
    <s v="13 Dec 2024"/>
    <s v="16 Dec 2024"/>
    <d v="2024-12-13T00:00:00"/>
    <d v="2024-12-16T00:00:00"/>
    <x v="7"/>
    <x v="0"/>
    <s v="Valid"/>
    <s v="Valid"/>
    <n v="3"/>
    <s v="CUST-9328"/>
    <s v="Neha Gupta"/>
    <s v="Neha Gupta"/>
    <s v="Small Business"/>
    <x v="1"/>
    <s v="East"/>
    <x v="1"/>
    <s v="Odisha"/>
    <s v="Odisha"/>
    <s v="Bhubaneswar"/>
    <s v="Bhubaneswar"/>
    <s v="Furniture"/>
    <x v="1"/>
    <s v="Furnishings"/>
    <x v="3"/>
    <s v="Prime Furnishings 710"/>
    <s v="Standard Class"/>
    <x v="3"/>
    <n v="5"/>
    <n v="923.45"/>
    <n v="0.05"/>
    <n v="0.05"/>
    <s v="Valid"/>
    <n v="4386.3900000000003"/>
    <n v="4386.3874999999998"/>
    <n v="3366.88"/>
    <n v="1019.51"/>
    <n v="1019.5074999999997"/>
    <n v="-3366.88"/>
    <s v="Paid"/>
    <s v="Paid"/>
    <s v="Returned"/>
    <x v="2"/>
    <s v="Clean"/>
  </r>
  <r>
    <s v="ORD-2024-10130"/>
    <n v="2"/>
    <s v="Unique"/>
    <s v="2024-07-19"/>
    <s v="25-07-2024"/>
    <d v="2024-07-19T00:00:00"/>
    <d v="2024-07-25T00:00:00"/>
    <x v="0"/>
    <x v="0"/>
    <s v="Valid"/>
    <s v="Valid"/>
    <n v="6"/>
    <s v="CUST-2588"/>
    <s v="Isha Nair"/>
    <s v="Isha Nair"/>
    <s v="Small Business"/>
    <x v="1"/>
    <s v="West"/>
    <x v="3"/>
    <s v="Goa"/>
    <s v="Goa"/>
    <s v="Panaji"/>
    <s v="Panaji"/>
    <s v="Office Supplies"/>
    <x v="0"/>
    <s v="Binders"/>
    <x v="9"/>
    <s v="Elite Binders 723"/>
    <s v="Standard Class"/>
    <x v="3"/>
    <n v="7"/>
    <n v="2741.29"/>
    <n v="0.05"/>
    <n v="0.05"/>
    <s v="Valid"/>
    <n v="18229.580000000002"/>
    <n v="18229.5785"/>
    <n v="15139.15"/>
    <n v="3090.43"/>
    <n v="3090.4285"/>
    <n v="-15139.15"/>
    <s v="Paid"/>
    <s v="Paid"/>
    <s v="Completed"/>
    <x v="0"/>
    <s v="Clean"/>
  </r>
  <r>
    <s v="ORD-2024-10131"/>
    <n v="1"/>
    <s v="Unique"/>
    <s v="2024-01-27"/>
    <s v="02 Feb 2024"/>
    <d v="2024-01-27T00:00:00"/>
    <d v="2024-02-02T00:00:00"/>
    <x v="8"/>
    <x v="0"/>
    <s v="Valid"/>
    <s v="Valid"/>
    <n v="6"/>
    <s v="CUST-5435"/>
    <s v="Arjun Bose"/>
    <s v="Arjun Bose"/>
    <s v="Consumer"/>
    <x v="0"/>
    <s v="West"/>
    <x v="3"/>
    <s v="Gujarat"/>
    <s v="Gujarat"/>
    <s v="Ahmedabad"/>
    <s v="Ahmedabad"/>
    <s v="Office Supplies"/>
    <x v="0"/>
    <s v="Labels"/>
    <x v="7"/>
    <s v="Smart Labels 878"/>
    <s v="Same Day"/>
    <x v="1"/>
    <n v="5"/>
    <n v="218.42"/>
    <n v="0.2"/>
    <n v="0.2"/>
    <s v="Valid"/>
    <n v="873.68"/>
    <n v="873.68"/>
    <n v="661.72"/>
    <n v="211.96"/>
    <n v="211.95999999999992"/>
    <n v="-661.72"/>
    <s v="Pending"/>
    <s v="Pending"/>
    <s v="Cancelled"/>
    <x v="1"/>
    <s v="Clean"/>
  </r>
  <r>
    <s v="ORD-2025-10132"/>
    <n v="1"/>
    <s v="Unique"/>
    <s v="09/29/2025"/>
    <s v="2025-10-04"/>
    <d v="2025-09-29T00:00:00"/>
    <d v="2025-04-10T00:00:00"/>
    <x v="9"/>
    <x v="1"/>
    <s v="Valid"/>
    <s v="Valid"/>
    <n v="-172"/>
    <s v="CUST-7637"/>
    <s v="Ananya Rao"/>
    <s v="Ananya Rao"/>
    <s v="Home Office"/>
    <x v="3"/>
    <s v="East"/>
    <x v="1"/>
    <s v="Jharkhand"/>
    <s v="Jharkhand"/>
    <s v="Ranchi"/>
    <s v="Ranchi"/>
    <s v="Office Supplies"/>
    <x v="0"/>
    <s v="Paper"/>
    <x v="0"/>
    <s v="Pro Paper 934"/>
    <s v="Same Day"/>
    <x v="1"/>
    <n v="9"/>
    <n v="373.91"/>
    <n v="0.2"/>
    <n v="0.2"/>
    <s v="Valid"/>
    <n v="2692.15"/>
    <n v="2692.152"/>
    <n v="2044.49"/>
    <n v="647.66"/>
    <n v="647.66200000000003"/>
    <n v="-2044.49"/>
    <s v="Paid"/>
    <s v="Paid"/>
    <s v="Completed"/>
    <x v="0"/>
    <s v="Clean"/>
  </r>
  <r>
    <s v="ORD-2024-10133"/>
    <n v="1"/>
    <s v="Unique"/>
    <s v="04 Nov 2024"/>
    <s v="04 Nov 2024"/>
    <d v="2024-04-11T00:00:00"/>
    <d v="2024-04-11T00:00:00"/>
    <x v="5"/>
    <x v="0"/>
    <s v="Valid"/>
    <s v="Valid"/>
    <n v="0"/>
    <s v="CUST-3602"/>
    <s v="Kabir Singh"/>
    <s v="Kabir Singh"/>
    <s v="Corporate"/>
    <x v="2"/>
    <s v="East"/>
    <x v="1"/>
    <s v="Assam"/>
    <s v="Assam"/>
    <s v="Guwahati"/>
    <s v="Guwahati"/>
    <s v="Technology"/>
    <x v="2"/>
    <s v="Machines"/>
    <x v="12"/>
    <s v="Classic Machines 886"/>
    <s v="First Class"/>
    <x v="2"/>
    <n v="2"/>
    <n v="533.08000000000004"/>
    <n v="0"/>
    <n v="0"/>
    <s v="Valid"/>
    <n v="1066.1600000000001"/>
    <n v="1066.1600000000001"/>
    <n v="656.3"/>
    <n v="409.86"/>
    <n v="409.86000000000013"/>
    <n v="-656.3"/>
    <s v="Failed"/>
    <s v="Failed"/>
    <s v="Cancelled"/>
    <x v="1"/>
    <s v="Clean"/>
  </r>
  <r>
    <s v="ORD-2024-10134"/>
    <n v="2"/>
    <s v="Exact Duplicate"/>
    <s v="2024-12-13"/>
    <s v="12/18/2024"/>
    <d v="2024-12-13T00:00:00"/>
    <d v="2024-12-18T00:00:00"/>
    <x v="7"/>
    <x v="0"/>
    <s v="Valid"/>
    <s v="Valid"/>
    <n v="5"/>
    <s v="CUST-9441"/>
    <s v="Karan Malhotra"/>
    <s v="Karan Malhotra"/>
    <s v="Consumer"/>
    <x v="0"/>
    <s v="West"/>
    <x v="3"/>
    <s v="Goa"/>
    <s v="Goa"/>
    <s v="Panaji"/>
    <s v="Panaji"/>
    <s v="Technology"/>
    <x v="2"/>
    <s v="Phones"/>
    <x v="11"/>
    <s v="Prime Phones 419"/>
    <s v="Second Class"/>
    <x v="0"/>
    <n v="8"/>
    <n v="3372.15"/>
    <n v="0.15"/>
    <n v="0.15"/>
    <s v="Valid"/>
    <n v="22930.62"/>
    <n v="22930.62"/>
    <n v="16875.55"/>
    <n v="6055.07"/>
    <n v="6055.07"/>
    <n v="-16875.55"/>
    <s v="Paid"/>
    <s v="Paid"/>
    <s v="Completed"/>
    <x v="0"/>
    <s v="Clean"/>
  </r>
  <r>
    <s v="ORD-2025-10135"/>
    <n v="1"/>
    <s v="Unique"/>
    <s v="07/14/2025"/>
    <s v="2025-07-14"/>
    <d v="2025-07-14T00:00:00"/>
    <d v="2025-07-14T00:00:00"/>
    <x v="0"/>
    <x v="1"/>
    <s v="Valid"/>
    <s v="Valid"/>
    <n v="0"/>
    <s v="CUST-7361"/>
    <s v="Vikram Iyer"/>
    <s v="Vikram Iyer"/>
    <s v="Home Office"/>
    <x v="3"/>
    <s v="East"/>
    <x v="1"/>
    <s v="West Bengal"/>
    <s v="West Bengal"/>
    <s v="Kolkata"/>
    <s v="Kolkata"/>
    <s v="Furniture"/>
    <x v="1"/>
    <s v="Bookcases"/>
    <x v="10"/>
    <s v="Elite Bookcases 266"/>
    <s v="Unknown"/>
    <x v="4"/>
    <n v="5"/>
    <n v="383.1"/>
    <n v="0.25"/>
    <n v="0.25"/>
    <s v="Valid"/>
    <n v="1436.62"/>
    <n v="1436.625"/>
    <n v="912.52"/>
    <n v="524.1"/>
    <n v="524.10500000000002"/>
    <n v="-912.52"/>
    <s v="Pending"/>
    <s v="Pending"/>
    <s v="Cancelled"/>
    <x v="1"/>
    <s v="Clean"/>
  </r>
  <r>
    <s v="ORD-2025-10136"/>
    <n v="1"/>
    <s v="Unique"/>
    <s v="2025-08-24"/>
    <s v="2025-08-24"/>
    <d v="2025-08-24T00:00:00"/>
    <d v="2025-08-24T00:00:00"/>
    <x v="1"/>
    <x v="1"/>
    <s v="Valid"/>
    <s v="Valid"/>
    <n v="0"/>
    <s v="CUST-1148"/>
    <s v="Diya Patel"/>
    <s v="Diya Patel"/>
    <s v="Small Business"/>
    <x v="1"/>
    <s v="South"/>
    <x v="2"/>
    <s v="Kerala"/>
    <s v="Kerala"/>
    <s v="Kochi"/>
    <s v="Kochi"/>
    <s v="Furniture"/>
    <x v="1"/>
    <s v="Bookcases"/>
    <x v="10"/>
    <s v="Prime Bookcases 954"/>
    <s v="Standard Class"/>
    <x v="3"/>
    <n v="1"/>
    <n v="3424.78"/>
    <n v="0"/>
    <n v="0"/>
    <s v="Valid"/>
    <n v="3424.78"/>
    <n v="3424.78"/>
    <n v="1951.45"/>
    <n v="1473.33"/>
    <n v="1473.3300000000002"/>
    <n v="-1951.45"/>
    <s v="Paid"/>
    <s v="Paid"/>
    <s v="Completed"/>
    <x v="0"/>
    <s v="Clean"/>
  </r>
  <r>
    <s v="ORD-2025-10137"/>
    <n v="1"/>
    <s v="Unique"/>
    <s v="09-02-2025"/>
    <s v="15-02-2025"/>
    <d v="2025-09-02T00:00:00"/>
    <d v="2025-02-15T00:00:00"/>
    <x v="9"/>
    <x v="1"/>
    <s v="Valid"/>
    <s v="Valid"/>
    <n v="-199"/>
    <s v="CUST-3350"/>
    <s v="Mira Das"/>
    <s v="Mira Das"/>
    <s v="Home Office"/>
    <x v="3"/>
    <s v="East"/>
    <x v="1"/>
    <s v="Jharkhand"/>
    <s v="Jharkhand"/>
    <s v="Ranchi"/>
    <s v="Ranchi"/>
    <s v="Office Supplies"/>
    <x v="0"/>
    <s v="Binders"/>
    <x v="9"/>
    <s v="Max Binders 362"/>
    <s v="Standard  Class"/>
    <x v="3"/>
    <n v="9"/>
    <n v="4330.33"/>
    <n v="0.2"/>
    <n v="0.2"/>
    <s v="Valid"/>
    <n v="31178.38"/>
    <n v="31178.376000000004"/>
    <n v="21421.09"/>
    <n v="9757.2900000000009"/>
    <n v="9757.2860000000037"/>
    <n v="-21421.09"/>
    <s v="Paid"/>
    <s v="Paid"/>
    <s v="Completed"/>
    <x v="0"/>
    <s v="Clean"/>
  </r>
  <r>
    <s v="ORD-2025-10138"/>
    <n v="1"/>
    <s v="Unique"/>
    <s v="01/09/2025"/>
    <s v="2025-01-09"/>
    <d v="2025-01-09T00:00:00"/>
    <d v="2025-09-01T00:00:00"/>
    <x v="8"/>
    <x v="1"/>
    <s v="Valid"/>
    <s v="Valid"/>
    <n v="235"/>
    <s v="CUST-7932"/>
    <s v="Sneha Kapoor"/>
    <s v="Sneha Kapoor"/>
    <s v="Small Business"/>
    <x v="1"/>
    <s v="North"/>
    <x v="0"/>
    <s v="Rajasthan"/>
    <s v="Rajasthan"/>
    <s v="Jaipur"/>
    <s v="Jaipur"/>
    <s v="Furniture"/>
    <x v="1"/>
    <s v="Chairs"/>
    <x v="4"/>
    <s v="Prime Chairs 261"/>
    <s v="Same Day"/>
    <x v="1"/>
    <n v="8"/>
    <n v="2667.07"/>
    <n v="0.1"/>
    <n v="0.1"/>
    <s v="Valid"/>
    <n v="19202.900000000001"/>
    <n v="19202.904000000002"/>
    <n v="15526.62"/>
    <n v="3676.28"/>
    <n v="3676.2840000000015"/>
    <n v="-15526.62"/>
    <s v="Paid"/>
    <s v="Paid"/>
    <s v="Completed"/>
    <x v="0"/>
    <s v="Clean"/>
  </r>
  <r>
    <s v="ORD-2024-10139"/>
    <n v="1"/>
    <s v="Unique"/>
    <s v="2024-01-20"/>
    <s v="26-01-2024"/>
    <d v="2024-01-20T00:00:00"/>
    <d v="2024-01-26T00:00:00"/>
    <x v="8"/>
    <x v="0"/>
    <s v="Valid"/>
    <s v="Valid"/>
    <n v="6"/>
    <s v="CUST-7173"/>
    <s v="Diya Patel"/>
    <s v="Diya Patel"/>
    <s v="Home Office"/>
    <x v="3"/>
    <s v="East"/>
    <x v="1"/>
    <s v="Jharkhand"/>
    <s v="Jharkhand"/>
    <s v="Ranchi"/>
    <s v="Ranchi"/>
    <s v="Technology"/>
    <x v="2"/>
    <s v="Machines"/>
    <x v="12"/>
    <s v="Basic Machines 185"/>
    <s v="Standard Class"/>
    <x v="3"/>
    <n v="8"/>
    <n v="4003.05"/>
    <n v="0.25"/>
    <n v="0.25"/>
    <s v="Valid"/>
    <n v="24018.3"/>
    <n v="24018.300000000003"/>
    <n v="14070.78"/>
    <n v="9947.52"/>
    <n v="9947.5200000000023"/>
    <n v="-14070.78"/>
    <s v="Paid"/>
    <s v="Paid"/>
    <s v="Completed"/>
    <x v="0"/>
    <s v="Clean"/>
  </r>
  <r>
    <s v="ORD-2025-10140"/>
    <n v="2"/>
    <s v="Unique"/>
    <s v="03/02/2025"/>
    <s v="07-03-2025"/>
    <d v="2025-03-02T00:00:00"/>
    <d v="2025-07-03T00:00:00"/>
    <x v="11"/>
    <x v="1"/>
    <s v="Valid"/>
    <s v="Valid"/>
    <n v="123"/>
    <s v="CUST-4225"/>
    <s v="Neha Gupta"/>
    <s v="Neha Gupta"/>
    <s v="Home Office"/>
    <x v="3"/>
    <s v="South"/>
    <x v="2"/>
    <s v="Karnataka"/>
    <s v="Karnataka"/>
    <s v="Bengaluru"/>
    <s v="Bengaluru"/>
    <s v="Office Supplies"/>
    <x v="0"/>
    <s v="Labels"/>
    <x v="7"/>
    <s v="Basic Labels 509"/>
    <s v="Standard Class"/>
    <x v="3"/>
    <n v="8"/>
    <n v="1287.6300000000001"/>
    <n v="0"/>
    <n v="0"/>
    <s v="Valid"/>
    <n v="10301.040000000001"/>
    <n v="10301.040000000001"/>
    <n v="6564.06"/>
    <n v="3736.98"/>
    <n v="3736.9800000000005"/>
    <n v="-6564.06"/>
    <s v="Paid"/>
    <s v="Paid"/>
    <s v="Completed"/>
    <x v="0"/>
    <s v="Clean"/>
  </r>
  <r>
    <s v="ORD-2024-10141"/>
    <n v="1"/>
    <s v="Unique"/>
    <s v="31-05-2024"/>
    <s v="01 Jun 2024"/>
    <d v="2024-05-31T00:00:00"/>
    <d v="2024-01-06T00:00:00"/>
    <x v="4"/>
    <x v="0"/>
    <s v="Valid"/>
    <s v="Valid"/>
    <n v="-146"/>
    <s v="CUST-2149"/>
    <s v="Mira Das"/>
    <s v="Mira Das"/>
    <s v="Corporate"/>
    <x v="2"/>
    <s v="South"/>
    <x v="2"/>
    <s v="Karnataka"/>
    <s v="Karnataka"/>
    <s v="Bengaluru"/>
    <s v="Bengaluru"/>
    <s v="Furniture"/>
    <x v="1"/>
    <s v="Bookcases"/>
    <x v="10"/>
    <s v="Elite Bookcases 696"/>
    <s v="Same Day"/>
    <x v="1"/>
    <n v="3"/>
    <n v="2914.55"/>
    <n v="0"/>
    <n v="0"/>
    <s v="Valid"/>
    <n v="8743.65"/>
    <n v="8743.6500000000015"/>
    <n v="6603.76"/>
    <n v="2139.89"/>
    <n v="2139.8900000000012"/>
    <n v="-6603.76"/>
    <s v="Paid"/>
    <s v="Paid"/>
    <s v="Completed"/>
    <x v="0"/>
    <s v="Clean"/>
  </r>
  <r>
    <s v="ORD-2024-10142"/>
    <n v="1"/>
    <s v="Unique"/>
    <s v="03/23/2024"/>
    <s v="2024-03-29"/>
    <d v="2024-03-23T00:00:00"/>
    <d v="2024-03-29T00:00:00"/>
    <x v="11"/>
    <x v="0"/>
    <s v="Valid"/>
    <s v="Valid"/>
    <n v="6"/>
    <s v="CUST-3314"/>
    <s v="Priya Menon"/>
    <s v="Priya Menon"/>
    <s v="Corporate"/>
    <x v="2"/>
    <s v="North"/>
    <x v="0"/>
    <s v="Delhi"/>
    <s v="Delhi"/>
    <s v="New Delhi"/>
    <s v="New Delhi"/>
    <s v="Furniture"/>
    <x v="1"/>
    <s v="Bookcases"/>
    <x v="10"/>
    <s v="Elite Bookcases 772"/>
    <s v="Same Day"/>
    <x v="1"/>
    <n v="7"/>
    <n v="634.29"/>
    <n v="0.1"/>
    <n v="0.1"/>
    <s v="Valid"/>
    <n v="3996.03"/>
    <n v="3996.027"/>
    <n v="2859.51"/>
    <n v="1136.52"/>
    <n v="1136.5169999999998"/>
    <n v="-2859.51"/>
    <s v="Paid"/>
    <s v="Paid"/>
    <s v="Returned"/>
    <x v="2"/>
    <s v="Clean"/>
  </r>
  <r>
    <s v="ORD-2024-10143"/>
    <n v="1"/>
    <s v="Conflicting Duplicate"/>
    <s v="30 Mar 2024"/>
    <s v="26 Mar 2024"/>
    <d v="2024-03-30T00:00:00"/>
    <d v="2024-03-26T00:00:00"/>
    <x v="11"/>
    <x v="0"/>
    <s v="Valid"/>
    <s v="Valid"/>
    <n v="-4"/>
    <s v="CUST-8944"/>
    <s v="Aditi Sen"/>
    <s v="Aditi Sen"/>
    <s v="Home Office"/>
    <x v="3"/>
    <s v="North"/>
    <x v="0"/>
    <s v="Rajasthan"/>
    <s v="Rajasthan"/>
    <s v="Jaipur"/>
    <s v="Jaipur"/>
    <s v="Technology"/>
    <x v="2"/>
    <s v="Phones"/>
    <x v="11"/>
    <s v="Classic Phones 142"/>
    <s v="Second Class"/>
    <x v="0"/>
    <n v="5"/>
    <n v="907.54"/>
    <n v="0.15"/>
    <n v="0.15"/>
    <s v="Valid"/>
    <n v="3857.04"/>
    <n v="3857.0449999999996"/>
    <n v="2769.26"/>
    <n v="1087.78"/>
    <n v="1087.7849999999994"/>
    <n v="-2769.26"/>
    <s v="Paid"/>
    <s v="Paid"/>
    <s v="Completed"/>
    <x v="0"/>
    <s v="Clean"/>
  </r>
  <r>
    <s v="ORD-2024-10144"/>
    <n v="2"/>
    <s v="Unique"/>
    <s v="03/24/2024"/>
    <s v="2024-03-26"/>
    <d v="2024-03-24T00:00:00"/>
    <d v="2024-03-26T00:00:00"/>
    <x v="11"/>
    <x v="0"/>
    <s v="Valid"/>
    <s v="Valid"/>
    <n v="2"/>
    <s v="CUST-3144"/>
    <s v="Priya Menon"/>
    <s v="Priya Menon"/>
    <s v="Consumer"/>
    <x v="0"/>
    <s v="West"/>
    <x v="3"/>
    <s v="Gujarat"/>
    <s v="Gujarat"/>
    <s v="Ahmedabad"/>
    <s v="Ahmedabad"/>
    <s v="Office Supplies"/>
    <x v="0"/>
    <s v="Paper"/>
    <x v="0"/>
    <s v="Pro Paper 575"/>
    <s v="Second Class"/>
    <x v="0"/>
    <n v="1"/>
    <n v="3409.5"/>
    <n v="0.1"/>
    <n v="0.1"/>
    <s v="Valid"/>
    <n v="3068.55"/>
    <n v="3068.55"/>
    <n v="1916.16"/>
    <n v="1152.3900000000001"/>
    <n v="1152.3900000000001"/>
    <n v="-1916.16"/>
    <s v="Paid"/>
    <s v="Paid"/>
    <s v="Returned"/>
    <x v="2"/>
    <s v="Clean"/>
  </r>
  <r>
    <s v="ORD-2024-10145"/>
    <n v="1"/>
    <s v="Unique"/>
    <s v="07-06-2024"/>
    <s v="2024-06-15"/>
    <d v="2024-07-06T00:00:00"/>
    <d v="2024-06-15T00:00:00"/>
    <x v="0"/>
    <x v="0"/>
    <s v="Valid"/>
    <s v="Valid"/>
    <n v="-21"/>
    <s v="CUST-6747"/>
    <s v="Kabir Singh"/>
    <s v="Kabir Singh"/>
    <s v="Small Business"/>
    <x v="1"/>
    <s v="South"/>
    <x v="2"/>
    <s v="Telangana"/>
    <s v="Telangana"/>
    <s v="Hyderabad"/>
    <s v="Hyderabad"/>
    <s v="Technology"/>
    <x v="2"/>
    <s v="Accessories"/>
    <x v="5"/>
    <s v="Elite Accessories 905"/>
    <s v="First Class"/>
    <x v="2"/>
    <n v="7"/>
    <n v="2147.9899999999998"/>
    <n v="0.25"/>
    <n v="0.25"/>
    <s v="Valid"/>
    <n v="11276.95"/>
    <n v="11276.947499999998"/>
    <n v="6908.76"/>
    <n v="4368.1899999999996"/>
    <n v="4368.1874999999982"/>
    <n v="-6908.76"/>
    <s v="Refunded"/>
    <s v="Refunded"/>
    <s v="Returned"/>
    <x v="2"/>
    <s v="Clean"/>
  </r>
  <r>
    <s v="ORD-2025-10146"/>
    <n v="1"/>
    <s v="Unique"/>
    <s v="11-04-2025"/>
    <s v="04/13/2025"/>
    <d v="2025-11-04T00:00:00"/>
    <d v="2025-04-13T00:00:00"/>
    <x v="3"/>
    <x v="1"/>
    <s v="Valid"/>
    <s v="Valid"/>
    <n v="-205"/>
    <s v="CUST-6161"/>
    <s v="Mira Das"/>
    <s v="Mira Das"/>
    <s v="Small Business"/>
    <x v="1"/>
    <s v="West"/>
    <x v="3"/>
    <s v="Goa"/>
    <s v="Goa"/>
    <s v="Panaji"/>
    <s v="Panaji"/>
    <s v="Office Supplies"/>
    <x v="0"/>
    <s v="Paper"/>
    <x v="0"/>
    <s v="Smart Paper 899"/>
    <s v="Standard Class"/>
    <x v="3"/>
    <n v="4"/>
    <n v="4182.1499999999996"/>
    <n v="0.1"/>
    <n v="0.1"/>
    <s v="Valid"/>
    <n v="15055.74"/>
    <n v="15055.74"/>
    <n v="9808.83"/>
    <n v="5246.91"/>
    <n v="5246.91"/>
    <n v="-9808.83"/>
    <s v="Paid"/>
    <s v="Paid"/>
    <s v="Completed"/>
    <x v="0"/>
    <s v="Clean"/>
  </r>
  <r>
    <s v="ORD-2025-10147"/>
    <n v="1"/>
    <s v="Unique"/>
    <s v="30 Jul 2025"/>
    <s v="08/01/2025"/>
    <d v="2025-07-30T00:00:00"/>
    <d v="2025-08-01T00:00:00"/>
    <x v="0"/>
    <x v="1"/>
    <s v="Valid"/>
    <s v="Valid"/>
    <n v="2"/>
    <s v="CUST-1460"/>
    <s v="Sneha Kapoor"/>
    <s v="Sneha Kapoor"/>
    <s v="Small Business"/>
    <x v="1"/>
    <s v="South"/>
    <x v="2"/>
    <s v="Tamil Nadu"/>
    <s v="Tamil Nadu"/>
    <s v="Chennai"/>
    <s v="Chennai"/>
    <s v="Office Supplies"/>
    <x v="0"/>
    <s v="Storage"/>
    <x v="8"/>
    <s v="Classic Storage 423"/>
    <s v="Same Day"/>
    <x v="1"/>
    <n v="9"/>
    <n v="3165.43"/>
    <n v="0.1"/>
    <n v="0.1"/>
    <s v="Valid"/>
    <n v="25639.98"/>
    <n v="25639.983"/>
    <n v="21635.08"/>
    <n v="4004.9"/>
    <n v="4004.9029999999984"/>
    <n v="-21635.08"/>
    <s v="Paid"/>
    <s v="Paid"/>
    <s v="Completed"/>
    <x v="0"/>
    <s v="Clean"/>
  </r>
  <r>
    <s v="ORD-2024-10148"/>
    <n v="2"/>
    <s v="Unique"/>
    <s v="23-12-2024"/>
    <s v="2024-12-30"/>
    <d v="2024-12-23T00:00:00"/>
    <d v="2024-12-30T00:00:00"/>
    <x v="7"/>
    <x v="0"/>
    <s v="Valid"/>
    <s v="Valid"/>
    <n v="7"/>
    <s v="CUST-2692"/>
    <s v="Priya Menon"/>
    <s v="Priya Menon"/>
    <s v="Home Office"/>
    <x v="3"/>
    <s v="West"/>
    <x v="3"/>
    <s v="Goa"/>
    <s v="Goa"/>
    <s v="Panaji"/>
    <s v="Panaji"/>
    <s v="Furniture"/>
    <x v="1"/>
    <s v="Furnishings"/>
    <x v="3"/>
    <s v="Classic Furnishings 743"/>
    <s v="First Class"/>
    <x v="2"/>
    <n v="8"/>
    <n v="386.1"/>
    <n v="0.1"/>
    <n v="0.1"/>
    <s v="Valid"/>
    <n v="2779.92"/>
    <n v="2779.92"/>
    <n v="1744.05"/>
    <n v="1035.8699999999999"/>
    <n v="1035.8700000000001"/>
    <n v="-1744.05"/>
    <s v="Paid"/>
    <s v="Paid"/>
    <s v="Completed"/>
    <x v="0"/>
    <s v="Clean"/>
  </r>
  <r>
    <s v="ORD-2025-10149"/>
    <n v="2"/>
    <s v="Unique"/>
    <s v="09 Feb 2025"/>
    <s v="13-02-2025"/>
    <d v="2025-09-02T00:00:00"/>
    <d v="2025-02-13T00:00:00"/>
    <x v="9"/>
    <x v="1"/>
    <s v="Valid"/>
    <s v="Valid"/>
    <n v="-201"/>
    <s v="CUST-2822"/>
    <s v="Mira Das"/>
    <s v="Mira Das"/>
    <s v="Home Office"/>
    <x v="3"/>
    <s v="West"/>
    <x v="3"/>
    <s v="Madhya Pradesh"/>
    <s v="Madhya Pradesh"/>
    <s v="Indore"/>
    <s v="Indore"/>
    <s v="Technology"/>
    <x v="2"/>
    <s v="Phones"/>
    <x v="11"/>
    <s v="Smart Phones 336"/>
    <s v="Unknown"/>
    <x v="4"/>
    <n v="8"/>
    <n v="1696.07"/>
    <n v="0.25"/>
    <n v="0.25"/>
    <s v="Valid"/>
    <n v="10176.42"/>
    <n v="10176.42"/>
    <n v="7604.47"/>
    <n v="2571.9499999999998"/>
    <n v="2571.9499999999998"/>
    <n v="-7604.47"/>
    <s v="Paid"/>
    <s v="Paid"/>
    <s v="Completed"/>
    <x v="0"/>
    <s v="Clean"/>
  </r>
  <r>
    <s v="ORD-2024-10150"/>
    <n v="1"/>
    <s v="Unique"/>
    <s v="30-01-2024"/>
    <s v="30-01-2024"/>
    <d v="2024-01-30T00:00:00"/>
    <d v="2024-01-30T00:00:00"/>
    <x v="8"/>
    <x v="0"/>
    <s v="Valid"/>
    <s v="Valid"/>
    <n v="0"/>
    <s v="CUST-5876"/>
    <s v="Aarav Sharma"/>
    <s v="Aarav Sharma"/>
    <s v="Small Business"/>
    <x v="1"/>
    <s v="West"/>
    <x v="3"/>
    <s v="Rajasthan"/>
    <s v="Rajasthan"/>
    <s v="Udaipur"/>
    <s v="Udaipur"/>
    <s v="Technology"/>
    <x v="2"/>
    <s v="Copiers"/>
    <x v="6"/>
    <s v="Eco Copiers 381"/>
    <s v="Same Day"/>
    <x v="1"/>
    <n v="7"/>
    <n v="2527.61"/>
    <n v="0.25"/>
    <n v="0.25"/>
    <s v="Valid"/>
    <n v="13269.95"/>
    <n v="13269.952499999999"/>
    <n v="8977.1"/>
    <n v="4292.8500000000004"/>
    <n v="4292.8524999999991"/>
    <n v="-8977.1"/>
    <s v="Paid"/>
    <s v="Paid"/>
    <s v="Completed"/>
    <x v="0"/>
    <s v="Clean"/>
  </r>
  <r>
    <s v="ORD-2024-10151"/>
    <n v="2"/>
    <s v="Unique"/>
    <s v="04-03-2024"/>
    <s v="2024-03-12"/>
    <d v="2024-04-03T00:00:00"/>
    <d v="2024-12-03T00:00:00"/>
    <x v="5"/>
    <x v="0"/>
    <s v="Valid"/>
    <s v="Valid"/>
    <n v="244"/>
    <s v="CUST-4661"/>
    <s v="Arjun Bose"/>
    <s v="Arjun Bose"/>
    <s v="Consumer"/>
    <x v="0"/>
    <s v="Unknown"/>
    <x v="4"/>
    <s v="Gujarat"/>
    <s v="Gujarat"/>
    <s v="Ahmedabad"/>
    <s v="Ahmedabad"/>
    <s v="Furniture"/>
    <x v="1"/>
    <s v="Bookcases"/>
    <x v="10"/>
    <s v="Max Bookcases 595"/>
    <s v="First Class"/>
    <x v="2"/>
    <n v="1"/>
    <n v="1554.12"/>
    <n v="0.1"/>
    <n v="0.1"/>
    <s v="Valid"/>
    <n v="1398.71"/>
    <n v="1398.7079999999999"/>
    <n v="1056.92"/>
    <n v="341.79"/>
    <n v="341.78799999999978"/>
    <n v="-1056.92"/>
    <s v="Paid"/>
    <s v="Paid"/>
    <s v="Completed"/>
    <x v="0"/>
    <s v="Clean"/>
  </r>
  <r>
    <s v="ORD-2024-10152"/>
    <n v="1"/>
    <s v="Unique"/>
    <s v="27 Jun 2024"/>
    <s v="06/27/2024"/>
    <d v="2024-06-27T00:00:00"/>
    <d v="2024-06-27T00:00:00"/>
    <x v="2"/>
    <x v="0"/>
    <s v="Valid"/>
    <s v="Valid"/>
    <n v="0"/>
    <s v="CUST-6011"/>
    <s v="Neha Gupta"/>
    <s v="Neha Gupta"/>
    <s v="Home Office"/>
    <x v="3"/>
    <s v="Unknown"/>
    <x v="4"/>
    <s v="Madhya Pradesh"/>
    <s v="Madhya Pradesh"/>
    <s v="Indore"/>
    <s v="Indore"/>
    <s v="Technology"/>
    <x v="2"/>
    <s v="Copiers"/>
    <x v="6"/>
    <s v="Max Copiers 992"/>
    <s v="Standard Class"/>
    <x v="3"/>
    <n v="2"/>
    <n v="3859.11"/>
    <n v="0"/>
    <n v="0"/>
    <s v="Valid"/>
    <n v="7718.22"/>
    <n v="7718.22"/>
    <n v="5355.93"/>
    <n v="2362.29"/>
    <n v="2362.29"/>
    <n v="-5355.93"/>
    <s v="Pending"/>
    <s v="Pending"/>
    <s v="Returned"/>
    <x v="2"/>
    <s v="Clean"/>
  </r>
  <r>
    <s v="ORD-2024-10153"/>
    <n v="1"/>
    <s v="Unique"/>
    <s v="14 Jun 2024"/>
    <s v="06/17/2024"/>
    <d v="2024-06-14T00:00:00"/>
    <d v="2024-06-17T00:00:00"/>
    <x v="2"/>
    <x v="0"/>
    <s v="Valid"/>
    <s v="Valid"/>
    <n v="3"/>
    <s v="CUST-6160"/>
    <s v="Kabir Singh"/>
    <s v="Kabir Singh"/>
    <s v="Small Business"/>
    <x v="1"/>
    <s v="South"/>
    <x v="2"/>
    <s v="Kerala"/>
    <s v="Kerala"/>
    <s v="Kochi"/>
    <s v="Kochi"/>
    <s v="Furniture"/>
    <x v="1"/>
    <s v="Tables"/>
    <x v="1"/>
    <s v="Pro Tables 407"/>
    <s v="Second Class"/>
    <x v="0"/>
    <n v="6"/>
    <n v="1088.04"/>
    <n v="0.1"/>
    <n v="0.1"/>
    <s v="Valid"/>
    <n v="5875.42"/>
    <n v="5875.4160000000002"/>
    <n v="4380.55"/>
    <n v="1494.87"/>
    <n v="1494.866"/>
    <n v="-4380.55"/>
    <s v="Pending"/>
    <s v="Pending"/>
    <s v="Returned"/>
    <x v="2"/>
    <s v="Clean"/>
  </r>
  <r>
    <s v="ORD-2025-10154"/>
    <n v="1"/>
    <s v="Unique"/>
    <s v="23 Sep 2025"/>
    <s v="2025-09-25"/>
    <d v="2025-09-23T00:00:00"/>
    <d v="2025-09-25T00:00:00"/>
    <x v="9"/>
    <x v="1"/>
    <s v="Valid"/>
    <s v="Valid"/>
    <n v="2"/>
    <s v="CUST-6971"/>
    <s v="Aditi Sen"/>
    <s v="Aditi Sen"/>
    <s v="Consumer"/>
    <x v="0"/>
    <s v="East"/>
    <x v="1"/>
    <s v="Odisha"/>
    <s v="Odisha"/>
    <s v="Bhubaneswar"/>
    <s v="Bhubaneswar"/>
    <s v="Office Supplies"/>
    <x v="0"/>
    <s v="Labels"/>
    <x v="7"/>
    <s v="Prime Labels 559"/>
    <s v="Standard Class"/>
    <x v="3"/>
    <n v="7"/>
    <n v="3280.31"/>
    <n v="0"/>
    <n v="0"/>
    <s v="Valid"/>
    <n v="22962.17"/>
    <n v="22962.17"/>
    <n v="15716.5"/>
    <n v="7245.67"/>
    <n v="7245.6699999999983"/>
    <n v="-15716.5"/>
    <s v="Refunded"/>
    <s v="Refunded"/>
    <s v="Returned"/>
    <x v="2"/>
    <s v="Clean"/>
  </r>
  <r>
    <s v="ORD-2024-10155"/>
    <n v="2"/>
    <s v="Unique"/>
    <s v="12 Feb 2024"/>
    <s v="02/11/2024"/>
    <d v="2024-12-02T00:00:00"/>
    <d v="2024-02-11T00:00:00"/>
    <x v="7"/>
    <x v="0"/>
    <s v="Valid"/>
    <s v="Valid"/>
    <n v="-295"/>
    <s v="CUST-7764"/>
    <s v="Priya Menon"/>
    <s v="Priya Menon"/>
    <s v="Consumer"/>
    <x v="0"/>
    <s v="South"/>
    <x v="2"/>
    <s v="Tamil Nadu"/>
    <s v="Tamil Nadu"/>
    <s v="Chennai"/>
    <s v="Chennai"/>
    <s v="Furniture"/>
    <x v="1"/>
    <s v="Bookcases"/>
    <x v="10"/>
    <s v="Classic Bookcases 847"/>
    <s v="Same Day"/>
    <x v="1"/>
    <n v="1"/>
    <n v="2599.12"/>
    <n v="0.15"/>
    <n v="0.15"/>
    <s v="Valid"/>
    <n v="2209.25"/>
    <n v="2209.252"/>
    <n v="1523.78"/>
    <n v="685.47"/>
    <n v="685.47199999999998"/>
    <n v="-1523.78"/>
    <s v="Paid"/>
    <s v="Paid"/>
    <s v="Completed"/>
    <x v="0"/>
    <s v="Clean"/>
  </r>
  <r>
    <s v="ORD-2025-10156"/>
    <n v="1"/>
    <s v="Unique"/>
    <s v="01/26/2025"/>
    <s v="03 Feb 2025"/>
    <d v="2025-01-26T00:00:00"/>
    <d v="2025-03-02T00:00:00"/>
    <x v="8"/>
    <x v="1"/>
    <s v="Valid"/>
    <s v="Valid"/>
    <n v="35"/>
    <s v="CUST-8327"/>
    <s v="Karan Malhotra"/>
    <s v="Karan Malhotra"/>
    <s v="Corporate"/>
    <x v="2"/>
    <s v="West"/>
    <x v="3"/>
    <s v="Rajasthan"/>
    <s v="Rajasthan"/>
    <s v="Udaipur"/>
    <s v="Udaipur"/>
    <s v="Furniture"/>
    <x v="1"/>
    <s v="Furnishings"/>
    <x v="3"/>
    <s v="Classic Furnishings 655"/>
    <s v="Same Day"/>
    <x v="1"/>
    <n v="3"/>
    <n v="2859.32"/>
    <n v="0.1"/>
    <n v="0.1"/>
    <s v="Valid"/>
    <n v="7720.16"/>
    <n v="7720.1640000000007"/>
    <n v="5881"/>
    <n v="1839.16"/>
    <n v="1839.1640000000007"/>
    <n v="-5881"/>
    <s v="Refunded"/>
    <s v="Refunded"/>
    <s v="Returned"/>
    <x v="2"/>
    <s v="Clean"/>
  </r>
  <r>
    <s v="ORD-2025-10157"/>
    <n v="1"/>
    <s v="Unique"/>
    <s v="27-03-2025"/>
    <s v="27 Mar 2025"/>
    <d v="2025-03-27T00:00:00"/>
    <d v="2025-03-27T00:00:00"/>
    <x v="11"/>
    <x v="1"/>
    <s v="Valid"/>
    <s v="Valid"/>
    <n v="0"/>
    <s v="CUST-4058"/>
    <s v="Vikram Iyer"/>
    <s v="Vikram Iyer"/>
    <s v="Small Business"/>
    <x v="1"/>
    <s v="East"/>
    <x v="1"/>
    <s v="Bihar"/>
    <s v="Bihar"/>
    <s v="Patna"/>
    <s v="Patna"/>
    <s v="Technology"/>
    <x v="2"/>
    <s v="Machines"/>
    <x v="12"/>
    <s v="Eco Machines 657"/>
    <s v="Second Class"/>
    <x v="0"/>
    <n v="7"/>
    <n v="2305.37"/>
    <n v="0.25"/>
    <n v="0.25"/>
    <s v="Valid"/>
    <n v="12103.19"/>
    <n v="12103.192500000001"/>
    <n v="6717.87"/>
    <n v="5385.32"/>
    <n v="5385.3225000000011"/>
    <n v="-6717.87"/>
    <s v="Paid"/>
    <s v="Paid"/>
    <s v="Completed"/>
    <x v="0"/>
    <s v="Clean"/>
  </r>
  <r>
    <s v="ORD-2024-10158"/>
    <n v="1"/>
    <s v="Unique"/>
    <s v="10/22/2024"/>
    <s v="24-10-2024"/>
    <d v="2024-10-22T00:00:00"/>
    <d v="2024-10-24T00:00:00"/>
    <x v="10"/>
    <x v="0"/>
    <s v="Valid"/>
    <s v="Valid"/>
    <n v="2"/>
    <s v="CUST-1142"/>
    <s v="Rohan Mehta"/>
    <s v="Rohan Mehta"/>
    <s v="Small Business"/>
    <x v="1"/>
    <s v="South"/>
    <x v="2"/>
    <s v="Andhra Pradesh"/>
    <s v="Andhra Pradesh"/>
    <s v="Vijayawada"/>
    <s v="Vijayawada"/>
    <s v="Furniture"/>
    <x v="1"/>
    <s v="Bookcases"/>
    <x v="10"/>
    <s v="Pro Bookcases 430"/>
    <s v="Standard Class"/>
    <x v="3"/>
    <n v="3"/>
    <n v="915.84"/>
    <n v="0.15"/>
    <n v="0.15"/>
    <s v="Valid"/>
    <n v="2335.39"/>
    <n v="2335.3919999999998"/>
    <n v="1466.15"/>
    <n v="869.24"/>
    <n v="869.24199999999973"/>
    <n v="-1466.15"/>
    <s v="Paid"/>
    <s v="Paid"/>
    <s v="Completed"/>
    <x v="0"/>
    <s v="Clean"/>
  </r>
  <r>
    <s v="ORD-2024-10159"/>
    <n v="1"/>
    <s v="Unique"/>
    <s v="2024-09-09"/>
    <s v="09/11/2024"/>
    <d v="2024-09-09T00:00:00"/>
    <d v="2024-09-11T00:00:00"/>
    <x v="9"/>
    <x v="0"/>
    <s v="Valid"/>
    <s v="Valid"/>
    <n v="2"/>
    <s v="CUST-2324"/>
    <s v="Neha Gupta"/>
    <s v="Neha Gupta"/>
    <s v="Home Office"/>
    <x v="3"/>
    <s v="South"/>
    <x v="2"/>
    <s v="Telangana"/>
    <s v="Telangana"/>
    <s v="Hyderabad"/>
    <s v="Hyderabad"/>
    <s v="Furniture"/>
    <x v="1"/>
    <s v="Bookcases"/>
    <x v="10"/>
    <s v="Max Bookcases 881"/>
    <s v="First Class"/>
    <x v="2"/>
    <n v="1"/>
    <n v="4199.54"/>
    <n v="0.05"/>
    <n v="0.05"/>
    <s v="Valid"/>
    <n v="3989.56"/>
    <n v="3989.5629999999996"/>
    <n v="2381.38"/>
    <n v="1608.18"/>
    <n v="1608.1829999999995"/>
    <n v="-2381.38"/>
    <s v="Paid"/>
    <s v="Paid"/>
    <s v="Completed"/>
    <x v="0"/>
    <s v="Clean"/>
  </r>
  <r>
    <s v="ORD-2025-10160"/>
    <n v="2"/>
    <s v="Unique"/>
    <s v="2025-01-30"/>
    <s v="04-02-2025"/>
    <d v="2025-01-30T00:00:00"/>
    <d v="2025-04-02T00:00:00"/>
    <x v="8"/>
    <x v="1"/>
    <s v="Valid"/>
    <s v="Valid"/>
    <n v="62"/>
    <s v="CUST-7717"/>
    <s v="Priya Menon"/>
    <s v="Priya Menon"/>
    <s v="Corporate"/>
    <x v="2"/>
    <s v="North"/>
    <x v="0"/>
    <s v="Haryana"/>
    <s v="Haryana"/>
    <s v="Gurugram"/>
    <s v="Gurugram"/>
    <s v="Furniture"/>
    <x v="1"/>
    <s v="Chairs"/>
    <x v="4"/>
    <s v="Elite Chairs 998"/>
    <s v="Same Day"/>
    <x v="1"/>
    <n v="9"/>
    <n v="4430.5"/>
    <n v="0.15"/>
    <n v="0.15"/>
    <s v="Valid"/>
    <n v="33893.32"/>
    <n v="33893.324999999997"/>
    <n v="25750.35"/>
    <n v="8142.97"/>
    <n v="8142.9749999999985"/>
    <n v="-25750.35"/>
    <s v="Pending"/>
    <s v="Pending"/>
    <s v="Cancelled"/>
    <x v="1"/>
    <s v="Clean"/>
  </r>
  <r>
    <s v="ORD-2025-10161"/>
    <n v="1"/>
    <s v="Unique"/>
    <s v="08-10-2025"/>
    <s v="10/06/2025"/>
    <d v="2025-08-10T00:00:00"/>
    <d v="2025-10-06T00:00:00"/>
    <x v="1"/>
    <x v="1"/>
    <s v="Valid"/>
    <s v="Valid"/>
    <n v="57"/>
    <s v="CUST-4932"/>
    <s v="Vikram Iyer"/>
    <s v="Vikram Iyer"/>
    <s v="Small Business"/>
    <x v="1"/>
    <s v="West"/>
    <x v="3"/>
    <s v="Maharashtra"/>
    <s v="Maharashtra"/>
    <s v="Mumbai"/>
    <s v="Mumbai"/>
    <s v="Office Supplies"/>
    <x v="0"/>
    <s v="Paper"/>
    <x v="0"/>
    <s v="Max Paper 113"/>
    <s v="Second Class"/>
    <x v="0"/>
    <n v="4"/>
    <n v="1260.42"/>
    <n v="0.05"/>
    <n v="0.05"/>
    <s v="Valid"/>
    <n v="4789.6000000000004"/>
    <n v="4789.5960000000005"/>
    <n v="4037.64"/>
    <n v="751.96"/>
    <n v="751.95600000000059"/>
    <n v="-4037.64"/>
    <s v="Pending"/>
    <s v="Pending"/>
    <s v="Cancelled"/>
    <x v="1"/>
    <s v="Clean"/>
  </r>
  <r>
    <s v="ORD-2025-10162"/>
    <n v="1"/>
    <s v="Unique"/>
    <s v="2025-07-24"/>
    <s v="30-07-2025"/>
    <d v="2025-07-24T00:00:00"/>
    <d v="2025-07-30T00:00:00"/>
    <x v="0"/>
    <x v="1"/>
    <s v="Valid"/>
    <s v="Valid"/>
    <n v="6"/>
    <s v="CUST-2367"/>
    <s v="Arjun Bose"/>
    <s v="Arjun Bose"/>
    <s v="Consumer"/>
    <x v="0"/>
    <s v="West"/>
    <x v="3"/>
    <s v="Rajasthan"/>
    <s v="Rajasthan"/>
    <s v="Udaipur"/>
    <s v="Udaipur"/>
    <s v="Office Supplies"/>
    <x v="0"/>
    <s v="Binders"/>
    <x v="9"/>
    <s v="Smart Binders 267"/>
    <s v="Standard Class"/>
    <x v="3"/>
    <n v="1"/>
    <n v="1643.41"/>
    <n v="0"/>
    <n v="0"/>
    <s v="Valid"/>
    <n v="1643.41"/>
    <n v="1643.41"/>
    <n v="907.4"/>
    <n v="736.01"/>
    <n v="736.0100000000001"/>
    <n v="-907.4"/>
    <s v="Pending"/>
    <s v="Pending"/>
    <s v="Cancelled"/>
    <x v="1"/>
    <s v="Clean"/>
  </r>
  <r>
    <s v="ORD-2024-10163"/>
    <n v="1"/>
    <s v="Unique"/>
    <s v="2024-03-09"/>
    <s v="14 Mar 2024"/>
    <d v="2024-09-03T00:00:00"/>
    <d v="2024-03-14T00:00:00"/>
    <x v="9"/>
    <x v="0"/>
    <s v="Valid"/>
    <s v="Valid"/>
    <n v="-173"/>
    <s v="CUST-4830"/>
    <s v="Neha Gupta"/>
    <s v="Neha Gupta"/>
    <s v="Small Business"/>
    <x v="1"/>
    <s v="West"/>
    <x v="3"/>
    <s v="Goa"/>
    <s v="Goa"/>
    <s v="Panaji"/>
    <s v="Panaji"/>
    <s v="Furniture"/>
    <x v="1"/>
    <s v="Furnishings"/>
    <x v="3"/>
    <s v="Pro Furnishings 108"/>
    <s v="Second Class"/>
    <x v="0"/>
    <n v="8"/>
    <n v="4472.84"/>
    <n v="0"/>
    <n v="0"/>
    <s v="Valid"/>
    <n v="35997.620000000003"/>
    <n v="35782.720000000001"/>
    <n v="26424.41"/>
    <n v="9358.31"/>
    <n v="9358.3100000000013"/>
    <n v="-26424.41"/>
    <s v="Pending"/>
    <s v="Pending"/>
    <s v="Returned"/>
    <x v="2"/>
    <s v="Clean"/>
  </r>
  <r>
    <s v="ORD-2025-10164"/>
    <n v="1"/>
    <s v="Unique"/>
    <s v="09/21/2025"/>
    <s v="26 Sep 2025"/>
    <d v="2025-09-21T00:00:00"/>
    <d v="2025-09-26T00:00:00"/>
    <x v="9"/>
    <x v="1"/>
    <s v="Valid"/>
    <s v="Valid"/>
    <n v="5"/>
    <s v="CUST-2548"/>
    <s v="Rohan Mehta"/>
    <s v="Rohan Mehta"/>
    <s v="Home Office"/>
    <x v="3"/>
    <s v="West"/>
    <x v="3"/>
    <s v="Gujarat"/>
    <s v="Gujarat"/>
    <s v="Ahmedabad"/>
    <s v="Ahmedabad"/>
    <s v="Furniture"/>
    <x v="1"/>
    <s v="Tables"/>
    <x v="1"/>
    <s v="Elite Tables 389"/>
    <s v="Unknown"/>
    <x v="4"/>
    <n v="6"/>
    <n v="2903.58"/>
    <n v="0.1"/>
    <n v="0.1"/>
    <s v="Valid"/>
    <n v="15679.33"/>
    <n v="15679.332"/>
    <n v="12477.82"/>
    <n v="3201.51"/>
    <n v="3201.5120000000006"/>
    <n v="-12477.82"/>
    <s v="Pending"/>
    <s v="Pending"/>
    <s v="Returned"/>
    <x v="2"/>
    <s v="Clean"/>
  </r>
  <r>
    <s v="ORD-2025-10165"/>
    <n v="1"/>
    <s v="Unique"/>
    <s v="09 Sep 2025"/>
    <s v="09/14/2025"/>
    <d v="2025-09-09T00:00:00"/>
    <d v="2025-09-14T00:00:00"/>
    <x v="9"/>
    <x v="1"/>
    <s v="Valid"/>
    <s v="Valid"/>
    <n v="5"/>
    <s v="CUST-3833"/>
    <s v="Rahul Verma"/>
    <s v="Rahul Verma"/>
    <s v="Small Business"/>
    <x v="1"/>
    <s v="East"/>
    <x v="1"/>
    <s v="West Bengal"/>
    <s v="West Bengal"/>
    <s v="Kolkata"/>
    <s v="Kolkata"/>
    <s v="Furniture"/>
    <x v="1"/>
    <s v="Bookcases"/>
    <x v="10"/>
    <s v="Pro Bookcases 595"/>
    <s v="Second Class"/>
    <x v="0"/>
    <n v="1"/>
    <n v="3154.42"/>
    <n v="0.25"/>
    <n v="0.25"/>
    <s v="Valid"/>
    <n v="2365.8200000000002"/>
    <n v="2365.8150000000001"/>
    <n v="1547.99"/>
    <n v="817.83"/>
    <n v="817.82500000000005"/>
    <n v="-1547.99"/>
    <s v="Paid"/>
    <s v="Paid"/>
    <s v="Completed"/>
    <x v="0"/>
    <s v="Clean"/>
  </r>
  <r>
    <s v="ORD-2024-10166"/>
    <n v="1"/>
    <s v="Unique"/>
    <s v="11/22/2024"/>
    <s v="29-11-2024"/>
    <d v="2024-11-22T00:00:00"/>
    <d v="2024-11-29T00:00:00"/>
    <x v="3"/>
    <x v="0"/>
    <s v="Valid"/>
    <s v="Valid"/>
    <n v="7"/>
    <s v="CUST-4598"/>
    <s v="Mira Das"/>
    <s v="Mira Das"/>
    <s v="Home Office"/>
    <x v="3"/>
    <s v="East"/>
    <x v="1"/>
    <s v="Bihar"/>
    <s v="Bihar"/>
    <s v="Patna"/>
    <s v="Patna"/>
    <s v="Furniture"/>
    <x v="1"/>
    <s v="Chairs"/>
    <x v="4"/>
    <s v="Max Chairs 148"/>
    <s v="Standard Class"/>
    <x v="3"/>
    <n v="4"/>
    <n v="3422.99"/>
    <n v="0.25"/>
    <n v="0.25"/>
    <s v="Valid"/>
    <n v="10268.969999999999"/>
    <n v="10268.969999999999"/>
    <n v="6470.92"/>
    <n v="3798.05"/>
    <n v="3798.0499999999993"/>
    <n v="-6470.92"/>
    <s v="Paid"/>
    <s v="Paid"/>
    <s v="Completed"/>
    <x v="0"/>
    <s v="Clean"/>
  </r>
  <r>
    <s v="ORD-2025-10167"/>
    <n v="1"/>
    <s v="Unique"/>
    <s v="20-02-2025"/>
    <s v="26-02-2025"/>
    <d v="2025-02-20T00:00:00"/>
    <d v="2025-02-26T00:00:00"/>
    <x v="6"/>
    <x v="1"/>
    <s v="Valid"/>
    <s v="Valid"/>
    <n v="6"/>
    <s v="CUST-7215"/>
    <s v="Karan Malhotra"/>
    <s v="Karan Malhotra"/>
    <s v="Small Business"/>
    <x v="1"/>
    <s v="West"/>
    <x v="3"/>
    <s v="Gujarat"/>
    <s v="Gujarat"/>
    <s v="Ahmedabad"/>
    <s v="Ahmedabad"/>
    <s v="Office Supplies"/>
    <x v="0"/>
    <s v="Labels"/>
    <x v="7"/>
    <s v="Basic Labels 671"/>
    <s v="First Class"/>
    <x v="2"/>
    <n v="1"/>
    <n v="2557.85"/>
    <n v="0.2"/>
    <n v="0.2"/>
    <s v="Valid"/>
    <n v="2046.28"/>
    <n v="2046.28"/>
    <n v="1449.54"/>
    <n v="596.74"/>
    <n v="596.74"/>
    <n v="-1449.54"/>
    <s v="Paid"/>
    <s v="Paid"/>
    <s v="Completed"/>
    <x v="0"/>
    <s v="Clean"/>
  </r>
  <r>
    <s v="ORD-2025-10168"/>
    <n v="1"/>
    <s v="Unique"/>
    <s v="2025-08-18"/>
    <s v="08/18/2025"/>
    <d v="2025-08-18T00:00:00"/>
    <d v="2025-08-18T00:00:00"/>
    <x v="1"/>
    <x v="1"/>
    <s v="Valid"/>
    <s v="Valid"/>
    <n v="0"/>
    <s v="CUST-7770"/>
    <s v="Arjun Bose"/>
    <s v="Arjun Bose"/>
    <s v="Home Office"/>
    <x v="3"/>
    <s v="South"/>
    <x v="2"/>
    <s v="Karnataka"/>
    <s v="Karnataka"/>
    <s v="Bengaluru"/>
    <s v="Bengaluru"/>
    <s v="Office Supplies"/>
    <x v="0"/>
    <s v="Storage"/>
    <x v="8"/>
    <s v="Elite Storage 628"/>
    <s v="First Class"/>
    <x v="2"/>
    <n v="9"/>
    <n v="3030.93"/>
    <n v="0.15"/>
    <n v="0.15"/>
    <s v="Valid"/>
    <n v="23186.61"/>
    <n v="23186.6145"/>
    <n v="17906.54"/>
    <n v="5280.07"/>
    <n v="5280.0744999999988"/>
    <n v="-17906.54"/>
    <s v="Paid"/>
    <s v="Paid"/>
    <s v="Returned"/>
    <x v="2"/>
    <s v="Clean"/>
  </r>
  <r>
    <s v="ORD-2025-10169"/>
    <n v="1"/>
    <s v="Unique"/>
    <s v="01/20/2025"/>
    <s v="23 Jan 2025"/>
    <d v="2025-01-20T00:00:00"/>
    <d v="2025-01-23T00:00:00"/>
    <x v="8"/>
    <x v="1"/>
    <s v="Valid"/>
    <s v="Valid"/>
    <n v="3"/>
    <s v="CUST-9756"/>
    <s v="Kabir Singh"/>
    <s v="Kabir Singh"/>
    <s v="Consumer"/>
    <x v="0"/>
    <s v="West"/>
    <x v="3"/>
    <s v="Maharashtra"/>
    <s v="Maharashtra"/>
    <s v="Mumbai"/>
    <s v="Mumbai"/>
    <s v="Technology"/>
    <x v="2"/>
    <s v="Accessories"/>
    <x v="5"/>
    <s v="Eco Accessories 590"/>
    <s v="Same Day"/>
    <x v="1"/>
    <n v="5"/>
    <n v="639.27"/>
    <n v="0.2"/>
    <n v="0.2"/>
    <s v="Valid"/>
    <n v="2557.08"/>
    <n v="2557.08"/>
    <n v="2025.69"/>
    <n v="531.39"/>
    <n v="531.38999999999987"/>
    <n v="-2025.69"/>
    <s v="Paid"/>
    <s v="Paid"/>
    <s v="Cancelled"/>
    <x v="1"/>
    <s v="Clean"/>
  </r>
  <r>
    <s v="ORD-2025-10170"/>
    <n v="1"/>
    <s v="Unique"/>
    <s v="2025-09-13"/>
    <s v="09/13/2025"/>
    <d v="2025-09-13T00:00:00"/>
    <d v="2025-09-13T00:00:00"/>
    <x v="9"/>
    <x v="1"/>
    <s v="Valid"/>
    <s v="Valid"/>
    <n v="0"/>
    <s v="CUST-2261"/>
    <s v="Diya Patel"/>
    <s v="Diya Patel"/>
    <s v="Consumer"/>
    <x v="0"/>
    <s v="East"/>
    <x v="1"/>
    <s v="Assam"/>
    <s v="Assam"/>
    <s v="Guwahati"/>
    <s v="Guwahati"/>
    <s v="Office Supplies"/>
    <x v="0"/>
    <s v="Art"/>
    <x v="2"/>
    <s v="Pro Art 734"/>
    <s v="Standard Class"/>
    <x v="3"/>
    <n v="8"/>
    <n v="733.9"/>
    <n v="0.05"/>
    <n v="0.05"/>
    <s v="Valid"/>
    <n v="5577.64"/>
    <n v="5577.6399999999994"/>
    <n v="3541.29"/>
    <n v="2036.35"/>
    <n v="2036.3499999999995"/>
    <n v="-3541.29"/>
    <s v="Pending"/>
    <s v="Pending"/>
    <s v="Returned"/>
    <x v="2"/>
    <s v="Clean"/>
  </r>
  <r>
    <s v="ORD-2025-10171"/>
    <n v="2"/>
    <s v="Conflicting Duplicate"/>
    <s v="07-09-2025"/>
    <s v="09/15/2025"/>
    <d v="2025-07-09T00:00:00"/>
    <d v="2025-09-15T00:00:00"/>
    <x v="0"/>
    <x v="1"/>
    <s v="Valid"/>
    <s v="Valid"/>
    <n v="68"/>
    <s v="CUST-3734"/>
    <s v="Rohan Mehta"/>
    <s v="Rohan Mehta"/>
    <s v="Corporate"/>
    <x v="2"/>
    <s v="East"/>
    <x v="1"/>
    <s v="Bihar"/>
    <s v="Bihar"/>
    <s v="Patna"/>
    <s v="Patna"/>
    <s v="Technology"/>
    <x v="2"/>
    <s v="Copiers"/>
    <x v="6"/>
    <s v="Eco Copiers 102"/>
    <s v="Standard Class"/>
    <x v="3"/>
    <n v="3"/>
    <n v="1711.32"/>
    <n v="0"/>
    <n v="0"/>
    <s v="Valid"/>
    <n v="5133.96"/>
    <n v="5133.96"/>
    <n v="3930"/>
    <n v="1203.96"/>
    <n v="1203.96"/>
    <n v="-3930"/>
    <s v="Paid"/>
    <s v="Paid"/>
    <s v="Completed"/>
    <x v="0"/>
    <s v="Clean"/>
  </r>
  <r>
    <s v="ORD-2025-10172"/>
    <n v="2"/>
    <s v="Unique"/>
    <s v="2025-02-23"/>
    <s v="02/25/2025"/>
    <d v="2025-02-23T00:00:00"/>
    <d v="2025-02-25T00:00:00"/>
    <x v="6"/>
    <x v="1"/>
    <s v="Valid"/>
    <s v="Valid"/>
    <n v="2"/>
    <s v="CUST-3436"/>
    <s v="Karan Malhotra"/>
    <s v="Karan Malhotra"/>
    <s v="Corporate"/>
    <x v="2"/>
    <s v="East"/>
    <x v="1"/>
    <s v="Bihar"/>
    <s v="Bihar"/>
    <s v="Patna"/>
    <s v="Patna"/>
    <s v="Office Supplies"/>
    <x v="0"/>
    <s v="Labels"/>
    <x v="7"/>
    <s v="Basic Labels 876"/>
    <s v="Same Day"/>
    <x v="1"/>
    <n v="5"/>
    <n v="4246.2700000000004"/>
    <n v="0.25"/>
    <n v="0.25"/>
    <s v="Valid"/>
    <n v="15923.51"/>
    <n v="15923.512500000001"/>
    <n v="11291.8"/>
    <n v="4631.71"/>
    <n v="4631.7125000000015"/>
    <n v="-11291.8"/>
    <s v="Paid"/>
    <s v="Paid"/>
    <s v="Completed"/>
    <x v="0"/>
    <s v="Clean"/>
  </r>
  <r>
    <s v="ORD-2025-10173"/>
    <n v="1"/>
    <s v="Unique"/>
    <s v="02-08-2025"/>
    <s v="10-08-2025"/>
    <d v="2025-02-08T00:00:00"/>
    <d v="2025-10-08T00:00:00"/>
    <x v="6"/>
    <x v="1"/>
    <s v="Valid"/>
    <s v="Valid"/>
    <n v="242"/>
    <s v="CUST-4845"/>
    <s v="Karan Malhotra"/>
    <s v="Karan Malhotra"/>
    <s v="Corporate"/>
    <x v="2"/>
    <s v="North"/>
    <x v="0"/>
    <s v="Delhi"/>
    <s v="Delhi"/>
    <s v="New Delhi"/>
    <s v="New Delhi"/>
    <s v="Furniture"/>
    <x v="1"/>
    <s v="Furnishings"/>
    <x v="3"/>
    <s v="Prime Furnishings 381"/>
    <s v="Same Day"/>
    <x v="1"/>
    <n v="9"/>
    <n v="2962.62"/>
    <n v="0.1"/>
    <n v="0.1"/>
    <s v="Valid"/>
    <n v="23997.22"/>
    <n v="23997.221999999998"/>
    <n v="16134.63"/>
    <n v="7862.59"/>
    <n v="7862.5919999999987"/>
    <n v="-16134.63"/>
    <s v="Refunded"/>
    <s v="Refunded"/>
    <s v="Returned"/>
    <x v="2"/>
    <s v="Clean"/>
  </r>
  <r>
    <s v="ORD-2024-10174"/>
    <n v="1"/>
    <s v="Unique"/>
    <s v="02-05-2024"/>
    <s v="08 May 2024"/>
    <d v="2024-02-05T00:00:00"/>
    <d v="2024-08-05T00:00:00"/>
    <x v="6"/>
    <x v="0"/>
    <s v="Valid"/>
    <s v="Valid"/>
    <n v="182"/>
    <s v="CUST-6153"/>
    <s v="Priya Menon"/>
    <s v="Priya Menon"/>
    <s v="Home Office"/>
    <x v="3"/>
    <s v="North"/>
    <x v="0"/>
    <s v="Punjab"/>
    <s v="Punjab"/>
    <s v="Ludhiana"/>
    <s v="Ludhiana"/>
    <s v="Technology"/>
    <x v="2"/>
    <s v="Copiers"/>
    <x v="6"/>
    <s v="Prime Copiers 440"/>
    <s v="Second Class"/>
    <x v="0"/>
    <n v="1"/>
    <n v="2312.25"/>
    <n v="0.25"/>
    <n v="0.25"/>
    <s v="Valid"/>
    <n v="1734.19"/>
    <n v="1734.1875"/>
    <n v="1386.07"/>
    <n v="348.12"/>
    <n v="348.11750000000006"/>
    <n v="-1386.07"/>
    <s v="Paid"/>
    <s v="Paid"/>
    <s v="Completed"/>
    <x v="0"/>
    <s v="Clean"/>
  </r>
  <r>
    <s v="ORD-2025-10175"/>
    <n v="1"/>
    <s v="Unique"/>
    <s v="28 Sep 2025"/>
    <s v="04-10-2025"/>
    <d v="2025-09-28T00:00:00"/>
    <d v="2025-04-10T00:00:00"/>
    <x v="9"/>
    <x v="1"/>
    <s v="Valid"/>
    <s v="Valid"/>
    <n v="-171"/>
    <s v="CUST-5475"/>
    <s v="Karan Malhotra"/>
    <s v="Karan Malhotra"/>
    <s v="Small Business"/>
    <x v="1"/>
    <s v="South"/>
    <x v="2"/>
    <s v="Karnataka"/>
    <s v="Karnataka"/>
    <s v="Bengaluru"/>
    <s v="Bengaluru"/>
    <s v="Furniture"/>
    <x v="1"/>
    <s v="Bookcases"/>
    <x v="10"/>
    <s v="Pro Bookcases 319"/>
    <s v="First Class"/>
    <x v="2"/>
    <n v="6"/>
    <n v="1620.53"/>
    <n v="0.15"/>
    <n v="0.15"/>
    <s v="Valid"/>
    <n v="8264.7000000000007"/>
    <n v="8264.7029999999995"/>
    <n v="4768.75"/>
    <n v="3495.95"/>
    <n v="3495.9529999999995"/>
    <n v="-4768.75"/>
    <s v="Pending"/>
    <s v="Pending"/>
    <s v="Returned"/>
    <x v="2"/>
    <s v="Clean"/>
  </r>
  <r>
    <s v="ORD-2024-10176"/>
    <n v="2"/>
    <s v="Unique"/>
    <s v="2024-01-27"/>
    <s v="2024-02-03"/>
    <d v="2024-01-27T00:00:00"/>
    <d v="2024-03-02T00:00:00"/>
    <x v="8"/>
    <x v="0"/>
    <s v="Valid"/>
    <s v="Valid"/>
    <n v="35"/>
    <s v="CUST-5580"/>
    <s v="Arjun Bose"/>
    <s v="Arjun Bose"/>
    <s v="Small Business"/>
    <x v="1"/>
    <s v="East"/>
    <x v="1"/>
    <s v="Bihar"/>
    <s v="Bihar"/>
    <s v="Patna"/>
    <s v="Patna"/>
    <s v="Technology"/>
    <x v="2"/>
    <s v="Machines"/>
    <x v="12"/>
    <s v="Basic Machines 584"/>
    <s v="Same Day"/>
    <x v="1"/>
    <n v="7"/>
    <n v="2673.42"/>
    <n v="0.15"/>
    <n v="0.15"/>
    <s v="Valid"/>
    <n v="15906.85"/>
    <n v="15906.849000000002"/>
    <n v="11014.46"/>
    <n v="4892.3900000000003"/>
    <n v="4892.3890000000029"/>
    <n v="-11014.46"/>
    <s v="Paid"/>
    <s v="Paid"/>
    <s v="Returned"/>
    <x v="2"/>
    <s v="Clean"/>
  </r>
  <r>
    <s v="ORD-2025-10177"/>
    <n v="1"/>
    <s v="Unique"/>
    <s v="18-03-2025"/>
    <s v="03/26/2025"/>
    <d v="2025-03-18T00:00:00"/>
    <d v="2025-03-26T00:00:00"/>
    <x v="11"/>
    <x v="1"/>
    <s v="Valid"/>
    <s v="Valid"/>
    <n v="8"/>
    <s v="CUST-3027"/>
    <s v="Vikram Iyer"/>
    <s v="Vikram Iyer"/>
    <s v="Corporate"/>
    <x v="2"/>
    <s v="East"/>
    <x v="1"/>
    <s v="Jharkhand"/>
    <s v="Jharkhand"/>
    <s v="Ranchi"/>
    <s v="Ranchi"/>
    <s v="Furniture"/>
    <x v="1"/>
    <s v="Bookcases"/>
    <x v="10"/>
    <s v="Pro Bookcases 612"/>
    <s v="Standard Class"/>
    <x v="3"/>
    <n v="8"/>
    <n v="3563.09"/>
    <n v="0.15"/>
    <n v="0.15"/>
    <s v="Valid"/>
    <n v="24229.01"/>
    <n v="24229.011999999999"/>
    <n v="13910.64"/>
    <n v="10318.370000000001"/>
    <n v="10318.371999999999"/>
    <n v="-13910.64"/>
    <s v="Paid"/>
    <s v="Paid"/>
    <s v="Completed"/>
    <x v="0"/>
    <s v="Clean"/>
  </r>
  <r>
    <s v="ORD-2024-10178"/>
    <n v="1"/>
    <s v="Unique"/>
    <s v="01-06-2024"/>
    <s v="06/03/2024"/>
    <d v="2024-01-06T00:00:00"/>
    <d v="2024-06-03T00:00:00"/>
    <x v="8"/>
    <x v="0"/>
    <s v="Valid"/>
    <s v="Valid"/>
    <n v="149"/>
    <s v="CUST-4399"/>
    <s v="Sneha Kapoor"/>
    <s v="Sneha Kapoor"/>
    <s v="Home Office"/>
    <x v="3"/>
    <s v="Unknown"/>
    <x v="4"/>
    <s v="Bihar"/>
    <s v="Bihar"/>
    <s v="Patna"/>
    <s v="Patna"/>
    <s v="Office Supplies"/>
    <x v="0"/>
    <s v="Art"/>
    <x v="2"/>
    <s v="Classic Art 573"/>
    <s v="Same Day"/>
    <x v="1"/>
    <n v="8"/>
    <n v="3879.95"/>
    <n v="0"/>
    <n v="0"/>
    <s v="Valid"/>
    <n v="31039.599999999999"/>
    <n v="31039.599999999999"/>
    <n v="20866.72"/>
    <n v="10172.879999999999"/>
    <n v="10172.879999999997"/>
    <n v="-20866.72"/>
    <s v="Paid"/>
    <s v="Paid"/>
    <s v="Completed"/>
    <x v="0"/>
    <s v="Clean"/>
  </r>
  <r>
    <s v="ORD-2024-10179"/>
    <n v="1"/>
    <s v="Unique"/>
    <s v="30-09-2024"/>
    <s v="2024-09-30"/>
    <d v="2024-09-30T00:00:00"/>
    <d v="2024-09-30T00:00:00"/>
    <x v="9"/>
    <x v="0"/>
    <s v="Valid"/>
    <s v="Valid"/>
    <n v="0"/>
    <s v="CUST-3092"/>
    <s v="Isha Nair"/>
    <s v="Isha Nair"/>
    <s v="Corporate"/>
    <x v="2"/>
    <s v="South"/>
    <x v="2"/>
    <s v="Telangana"/>
    <s v="Telangana"/>
    <s v="Hyderabad"/>
    <s v="Hyderabad"/>
    <s v="Office Supplies"/>
    <x v="0"/>
    <s v="Art"/>
    <x v="2"/>
    <s v="Eco Art 854"/>
    <s v="Standard Class"/>
    <x v="3"/>
    <n v="4"/>
    <n v="3281.74"/>
    <n v="0"/>
    <n v="0"/>
    <s v="Valid"/>
    <n v="13126.96"/>
    <n v="13126.96"/>
    <n v="10732.44"/>
    <n v="2394.52"/>
    <n v="2394.5199999999986"/>
    <n v="-10732.44"/>
    <s v="Paid"/>
    <s v="Paid"/>
    <s v="Completed"/>
    <x v="0"/>
    <s v="Clean"/>
  </r>
  <r>
    <s v="ORD-2024-10180"/>
    <n v="1"/>
    <s v="Unique"/>
    <s v="2024-03-15"/>
    <s v="03/19/2024"/>
    <d v="2024-03-15T00:00:00"/>
    <d v="2024-03-19T00:00:00"/>
    <x v="11"/>
    <x v="0"/>
    <s v="Valid"/>
    <s v="Valid"/>
    <n v="4"/>
    <s v="CUST-1778"/>
    <s v="Ananya Rao"/>
    <s v="Ananya Rao"/>
    <s v="Small Business"/>
    <x v="1"/>
    <s v="South"/>
    <x v="2"/>
    <s v="Tamil Nadu"/>
    <s v="Tamil Nadu"/>
    <s v="Chennai"/>
    <s v="Chennai"/>
    <s v="Furniture"/>
    <x v="1"/>
    <s v="Furnishings"/>
    <x v="3"/>
    <s v="Classic Furnishings 996"/>
    <s v="Standard Class"/>
    <x v="3"/>
    <n v="4"/>
    <n v="3186.3"/>
    <n v="0.25"/>
    <n v="0.25"/>
    <s v="Valid"/>
    <n v="9558.9"/>
    <n v="9558.9000000000015"/>
    <n v="5516.76"/>
    <n v="4042.14"/>
    <n v="4042.1400000000012"/>
    <n v="-5516.76"/>
    <s v="Refunded"/>
    <s v="Refunded"/>
    <s v="Returned"/>
    <x v="2"/>
    <s v="Clean"/>
  </r>
  <r>
    <s v="ORD-2024-10181"/>
    <n v="1"/>
    <s v="Unique"/>
    <s v="2024-08-26"/>
    <s v="26-08-2024"/>
    <d v="2024-08-26T00:00:00"/>
    <d v="2024-08-26T00:00:00"/>
    <x v="1"/>
    <x v="0"/>
    <s v="Valid"/>
    <s v="Valid"/>
    <n v="0"/>
    <s v="CUST-3787"/>
    <s v="Mira Das"/>
    <s v="Mira Das"/>
    <s v="Home Office"/>
    <x v="3"/>
    <s v="North"/>
    <x v="0"/>
    <s v="Uttar Pradesh"/>
    <s v="Uttar Pradesh"/>
    <s v="Noida"/>
    <s v="Noida"/>
    <s v="Office Supplies"/>
    <x v="0"/>
    <s v="Binders"/>
    <x v="9"/>
    <s v="Prime Binders 735"/>
    <s v="First Class"/>
    <x v="2"/>
    <n v="7"/>
    <n v="844.59"/>
    <n v="0.1"/>
    <n v="0.1"/>
    <s v="Valid"/>
    <n v="5320.92"/>
    <n v="5320.9170000000004"/>
    <n v="3041.5"/>
    <n v="2279.42"/>
    <n v="2279.4170000000004"/>
    <n v="-3041.5"/>
    <s v="Paid"/>
    <s v="Paid"/>
    <s v="Completed"/>
    <x v="0"/>
    <s v="Clean"/>
  </r>
  <r>
    <s v="ORD-2025-10182"/>
    <n v="2"/>
    <s v="Unique"/>
    <s v="09/09/2025"/>
    <s v="10-09-2025"/>
    <d v="2025-09-09T00:00:00"/>
    <d v="2025-10-09T00:00:00"/>
    <x v="9"/>
    <x v="1"/>
    <s v="Valid"/>
    <s v="Valid"/>
    <n v="30"/>
    <s v="CUST-5119"/>
    <s v="Priya Menon"/>
    <s v="Priya Menon"/>
    <s v="Home Office"/>
    <x v="3"/>
    <s v="South"/>
    <x v="2"/>
    <s v="Tamil Nadu"/>
    <s v="Tamil Nadu"/>
    <s v="Chennai"/>
    <s v="Chennai"/>
    <s v="Office Supplies"/>
    <x v="0"/>
    <s v="Art"/>
    <x v="2"/>
    <s v="Pro Art 587"/>
    <s v="Second Class"/>
    <x v="0"/>
    <n v="4"/>
    <n v="2551.4499999999998"/>
    <n v="0"/>
    <n v="0"/>
    <s v="Valid"/>
    <n v="10205.799999999999"/>
    <n v="10205.799999999999"/>
    <n v="5986.31"/>
    <n v="4219.49"/>
    <n v="4219.4899999999989"/>
    <n v="-5986.31"/>
    <s v="Paid"/>
    <s v="Paid"/>
    <s v="Completed"/>
    <x v="0"/>
    <s v="Clean"/>
  </r>
  <r>
    <s v="ORD-2024-10183"/>
    <n v="1"/>
    <s v="Unique"/>
    <s v="16 Oct 2024"/>
    <s v="16 Oct 2024"/>
    <d v="2024-10-16T00:00:00"/>
    <d v="2024-10-16T00:00:00"/>
    <x v="10"/>
    <x v="0"/>
    <s v="Valid"/>
    <s v="Valid"/>
    <n v="0"/>
    <s v="CUST-4121"/>
    <s v="Ananya Rao"/>
    <s v="Ananya Rao"/>
    <s v="Home Office"/>
    <x v="3"/>
    <s v="East"/>
    <x v="1"/>
    <s v="Bihar"/>
    <s v="Bihar"/>
    <s v="Patna"/>
    <s v="Patna"/>
    <s v="Technology"/>
    <x v="2"/>
    <s v="Machines"/>
    <x v="12"/>
    <s v="Basic Machines 575"/>
    <s v="Standard Class"/>
    <x v="3"/>
    <n v="7"/>
    <n v="775.77"/>
    <n v="0"/>
    <n v="0"/>
    <s v="Valid"/>
    <n v="5430.39"/>
    <n v="5430.3899999999994"/>
    <n v="3707.66"/>
    <n v="1722.73"/>
    <n v="1722.7299999999996"/>
    <n v="-3707.66"/>
    <s v="Paid"/>
    <s v="Paid"/>
    <s v="Completed"/>
    <x v="0"/>
    <s v="Clean"/>
  </r>
  <r>
    <s v="ORD-2025-10184"/>
    <n v="1"/>
    <s v="Unique"/>
    <s v="2025-06-24"/>
    <s v="27-06-2025"/>
    <d v="2025-06-24T00:00:00"/>
    <d v="2025-06-27T00:00:00"/>
    <x v="2"/>
    <x v="1"/>
    <s v="Valid"/>
    <s v="Valid"/>
    <n v="3"/>
    <s v="CUST-3366"/>
    <s v="Vikram Iyer"/>
    <s v="Vikram Iyer"/>
    <s v="Home Office"/>
    <x v="3"/>
    <s v="South"/>
    <x v="2"/>
    <s v="Telangana"/>
    <s v="Telangana"/>
    <s v="Hyderabad"/>
    <s v="Hyderabad"/>
    <s v="Technology"/>
    <x v="2"/>
    <s v="Copiers"/>
    <x v="6"/>
    <s v="Elite Copiers 788"/>
    <s v="Standard Class"/>
    <x v="3"/>
    <n v="7"/>
    <n v="2304.86"/>
    <n v="0.2"/>
    <n v="0.2"/>
    <s v="Valid"/>
    <n v="12907.22"/>
    <n v="12907.216"/>
    <n v="8327.89"/>
    <n v="4579.33"/>
    <n v="4579.3260000000009"/>
    <n v="-8327.89"/>
    <s v="Paid"/>
    <s v="Paid"/>
    <s v="Returned"/>
    <x v="2"/>
    <s v="Clean"/>
  </r>
  <r>
    <s v="ORD-2024-10185"/>
    <n v="1"/>
    <s v="Unique"/>
    <s v="2024-04-02"/>
    <s v="2024-04-06"/>
    <d v="2024-02-04T00:00:00"/>
    <d v="2024-06-04T00:00:00"/>
    <x v="6"/>
    <x v="0"/>
    <s v="Valid"/>
    <s v="Valid"/>
    <n v="121"/>
    <s v="CUST-1358"/>
    <s v="Vikram Iyer"/>
    <s v="Vikram Iyer"/>
    <s v="Corporate"/>
    <x v="2"/>
    <s v="West"/>
    <x v="3"/>
    <s v="Madhya Pradesh"/>
    <s v="Madhya Pradesh"/>
    <s v="Indore"/>
    <s v="Indore"/>
    <s v="Furniture"/>
    <x v="1"/>
    <s v="Bookcases"/>
    <x v="10"/>
    <s v="Max Bookcases 472"/>
    <s v="Standard Class"/>
    <x v="3"/>
    <n v="2"/>
    <n v="888.98"/>
    <n v="0"/>
    <n v="0"/>
    <s v="Valid"/>
    <n v="1777.96"/>
    <n v="1777.96"/>
    <n v="1021.16"/>
    <n v="756.8"/>
    <n v="756.80000000000007"/>
    <n v="-1021.16"/>
    <s v="Refunded"/>
    <s v="Refunded"/>
    <s v="Returned"/>
    <x v="2"/>
    <s v="Clean"/>
  </r>
  <r>
    <s v="ORD-2024-10186"/>
    <n v="2"/>
    <s v="Unique"/>
    <s v="11/05/2024"/>
    <s v="2024-11-13"/>
    <d v="2024-11-05T00:00:00"/>
    <d v="2024-11-13T00:00:00"/>
    <x v="3"/>
    <x v="0"/>
    <s v="Valid"/>
    <s v="Valid"/>
    <n v="8"/>
    <s v="CUST-4968"/>
    <s v="Arjun Bose"/>
    <s v="Arjun Bose"/>
    <s v="Consumer"/>
    <x v="0"/>
    <s v="Unknown"/>
    <x v="4"/>
    <s v="Punjab"/>
    <s v="Punjab"/>
    <s v="Ludhiana"/>
    <s v="Ludhiana"/>
    <s v="Office Supplies"/>
    <x v="0"/>
    <s v="Labels"/>
    <x v="7"/>
    <s v="Smart Labels 475"/>
    <s v="Second Class"/>
    <x v="0"/>
    <n v="2"/>
    <n v="1003.17"/>
    <n v="0.2"/>
    <n v="0.2"/>
    <s v="Valid"/>
    <n v="1605.07"/>
    <n v="1605.0720000000001"/>
    <n v="1337.28"/>
    <n v="267.79000000000002"/>
    <n v="267.79200000000014"/>
    <n v="-1337.28"/>
    <s v="Paid"/>
    <s v="Paid"/>
    <s v="Completed"/>
    <x v="0"/>
    <s v="Clean"/>
  </r>
  <r>
    <s v="ORD-2024-10187"/>
    <n v="3"/>
    <s v="Unique"/>
    <s v="19-07-2024"/>
    <s v="20 Jul 2024"/>
    <d v="2024-07-19T00:00:00"/>
    <d v="2024-07-20T00:00:00"/>
    <x v="0"/>
    <x v="0"/>
    <s v="Valid"/>
    <s v="Valid"/>
    <n v="1"/>
    <s v="CUST-2778"/>
    <s v="Vikram Iyer"/>
    <s v="Vikram Iyer"/>
    <s v="Consumer"/>
    <x v="0"/>
    <s v="South"/>
    <x v="2"/>
    <s v="Tamil Nadu"/>
    <s v="Tamil Nadu"/>
    <s v="Chennai"/>
    <s v="Chennai"/>
    <s v="Furniture"/>
    <x v="1"/>
    <s v="Tables"/>
    <x v="1"/>
    <s v="Basic Tables 417"/>
    <s v="First Class"/>
    <x v="2"/>
    <n v="7"/>
    <n v="3608.43"/>
    <n v="0.05"/>
    <n v="0.05"/>
    <s v="Valid"/>
    <n v="23996.06"/>
    <n v="23996.059499999996"/>
    <n v="20167.28"/>
    <n v="3828.78"/>
    <n v="3828.7794999999969"/>
    <n v="-20167.28"/>
    <s v="Paid"/>
    <s v="Paid"/>
    <s v="Completed"/>
    <x v="0"/>
    <s v="Clean"/>
  </r>
  <r>
    <s v="ORD-2025-10188"/>
    <n v="1"/>
    <s v="Unique"/>
    <s v="2025-05-01"/>
    <s v="02 May 2025"/>
    <d v="2025-01-05T00:00:00"/>
    <d v="2025-02-05T00:00:00"/>
    <x v="8"/>
    <x v="1"/>
    <s v="Valid"/>
    <s v="Valid"/>
    <n v="31"/>
    <s v="CUST-3109"/>
    <s v="Mira Das"/>
    <s v="Mira Das"/>
    <s v="Consumer"/>
    <x v="0"/>
    <s v="West"/>
    <x v="3"/>
    <s v="Madhya Pradesh"/>
    <s v="Madhya Pradesh"/>
    <s v="Indore"/>
    <s v="Indore"/>
    <s v="Furniture"/>
    <x v="1"/>
    <s v="Chairs"/>
    <x v="4"/>
    <s v="Pro Chairs 844"/>
    <s v="Same Day"/>
    <x v="1"/>
    <n v="3"/>
    <n v="2905.74"/>
    <n v="0"/>
    <n v="0"/>
    <s v="Valid"/>
    <n v="8717.2199999999993"/>
    <n v="8717.2199999999993"/>
    <n v="6215.96"/>
    <n v="2501.2600000000002"/>
    <n v="2501.2599999999993"/>
    <n v="-6215.96"/>
    <s v="Paid"/>
    <s v="Paid"/>
    <s v="Returned"/>
    <x v="2"/>
    <s v="Clean"/>
  </r>
  <r>
    <s v="ORD-2025-10189"/>
    <n v="1"/>
    <s v="Unique"/>
    <s v="2025-05-21"/>
    <s v="28 May 2025"/>
    <d v="2025-05-21T00:00:00"/>
    <d v="2025-05-28T00:00:00"/>
    <x v="4"/>
    <x v="1"/>
    <s v="Valid"/>
    <s v="Valid"/>
    <n v="7"/>
    <s v="CUST-3422"/>
    <s v="Priya Menon"/>
    <s v="Priya Menon"/>
    <s v="Corporate"/>
    <x v="2"/>
    <s v="East"/>
    <x v="1"/>
    <s v="West Bengal"/>
    <s v="West Bengal"/>
    <s v="Kolkata"/>
    <s v="Kolkata"/>
    <s v="Furniture"/>
    <x v="1"/>
    <s v="Bookcases"/>
    <x v="10"/>
    <s v="Elite Bookcases 883"/>
    <s v="Same Day"/>
    <x v="1"/>
    <n v="2"/>
    <n v="3559.57"/>
    <n v="0.1"/>
    <n v="0.1"/>
    <s v="Valid"/>
    <n v="6553.95"/>
    <n v="6407.2260000000006"/>
    <n v="4923.09"/>
    <n v="1484.14"/>
    <n v="1484.1360000000004"/>
    <n v="-4923.09"/>
    <s v="Paid"/>
    <s v="Paid"/>
    <s v="Completed"/>
    <x v="0"/>
    <s v="Clean"/>
  </r>
  <r>
    <s v="ORD-2025-10190"/>
    <n v="1"/>
    <s v="Unique"/>
    <s v="2025-05-06"/>
    <s v="07 May 2025"/>
    <d v="2025-06-05T00:00:00"/>
    <d v="2025-07-05T00:00:00"/>
    <x v="2"/>
    <x v="1"/>
    <s v="Valid"/>
    <s v="Valid"/>
    <n v="30"/>
    <s v="CUST-3375"/>
    <s v="Arjun Bose"/>
    <s v="Arjun Bose"/>
    <s v="Consumer"/>
    <x v="0"/>
    <s v="West"/>
    <x v="3"/>
    <s v="Rajasthan"/>
    <s v="Rajasthan"/>
    <s v="Udaipur"/>
    <s v="Udaipur"/>
    <s v="Furniture"/>
    <x v="1"/>
    <s v="Bookcases"/>
    <x v="10"/>
    <s v="Basic Bookcases 754"/>
    <s v="First Class"/>
    <x v="2"/>
    <n v="9"/>
    <n v="3318.24"/>
    <s v="Unknown"/>
    <s v="Unknown"/>
    <s v="Invalid - Above Range"/>
    <n v="25384.54"/>
    <s v="Unknown"/>
    <n v="16872.39"/>
    <n v="8512.15"/>
    <s v="Unknown"/>
    <s v="Unknown"/>
    <s v="Paid"/>
    <s v="Paid"/>
    <s v="Completed"/>
    <x v="0"/>
    <s v="Needs Review"/>
  </r>
  <r>
    <s v="ORD-2025-10191"/>
    <n v="1"/>
    <s v="Unique"/>
    <s v="20-04-2025"/>
    <s v="04/21/2025"/>
    <d v="2025-04-20T00:00:00"/>
    <d v="2025-04-21T00:00:00"/>
    <x v="5"/>
    <x v="1"/>
    <s v="Valid"/>
    <s v="Valid"/>
    <n v="1"/>
    <s v="CUST-5138"/>
    <s v="Aditi Sen"/>
    <s v="Aditi Sen"/>
    <s v="Consumer"/>
    <x v="0"/>
    <s v="South"/>
    <x v="2"/>
    <s v="Tamil Nadu"/>
    <s v="Tamil Nadu"/>
    <s v="Chennai"/>
    <s v="Chennai"/>
    <s v="Office Supplies"/>
    <x v="0"/>
    <s v="Storage"/>
    <x v="8"/>
    <s v="Eco Storage 158"/>
    <s v="First Class"/>
    <x v="2"/>
    <n v="3"/>
    <n v="540.09"/>
    <n v="0.1"/>
    <n v="0.1"/>
    <s v="Valid"/>
    <n v="1458.24"/>
    <n v="1458.2429999999999"/>
    <n v="943.32"/>
    <n v="514.91999999999996"/>
    <n v="514.92299999999989"/>
    <n v="-943.32"/>
    <s v="Paid"/>
    <s v="Paid"/>
    <s v="Completed"/>
    <x v="0"/>
    <s v="Clean"/>
  </r>
  <r>
    <s v="ORD-2024-10192"/>
    <n v="1"/>
    <s v="Unique"/>
    <s v="19-10-2024"/>
    <s v="2024-10-24"/>
    <d v="2024-10-19T00:00:00"/>
    <d v="2024-10-24T00:00:00"/>
    <x v="10"/>
    <x v="0"/>
    <s v="Valid"/>
    <s v="Valid"/>
    <n v="5"/>
    <s v="CUST-7410"/>
    <s v="Sneha Kapoor"/>
    <s v="Sneha Kapoor"/>
    <s v="Small Business"/>
    <x v="1"/>
    <s v="South"/>
    <x v="2"/>
    <s v="Tamil Nadu"/>
    <s v="Tamil Nadu"/>
    <s v="Chennai"/>
    <s v="Chennai"/>
    <s v="Furniture"/>
    <x v="1"/>
    <s v="Bookcases"/>
    <x v="10"/>
    <s v="Prime Bookcases 602"/>
    <s v="Second Class"/>
    <x v="0"/>
    <n v="6"/>
    <n v="4308.3999999999996"/>
    <n v="0.65"/>
    <n v="0.65"/>
    <s v="Valid"/>
    <n v="25850.400000000001"/>
    <n v="9047.64"/>
    <n v="19397.68"/>
    <n v="6452.72"/>
    <n v="-10350.040000000001"/>
    <n v="-19397.68"/>
    <s v="Paid"/>
    <s v="Paid"/>
    <s v="Completed"/>
    <x v="0"/>
    <s v="Clean"/>
  </r>
  <r>
    <s v="ORD-2024-10193"/>
    <n v="1"/>
    <s v="Unique"/>
    <s v="2024-12-09"/>
    <s v="12/16/2024"/>
    <d v="2024-09-12T00:00:00"/>
    <d v="2024-12-16T00:00:00"/>
    <x v="9"/>
    <x v="0"/>
    <s v="Valid"/>
    <s v="Valid"/>
    <n v="95"/>
    <s v="CUST-7115"/>
    <s v="Isha Nair"/>
    <s v="Isha Nair"/>
    <s v="Home Office"/>
    <x v="3"/>
    <s v="West"/>
    <x v="3"/>
    <s v="Gujarat"/>
    <s v="Gujarat"/>
    <s v="Ahmedabad"/>
    <s v="Ahmedabad"/>
    <s v="Furniture"/>
    <x v="1"/>
    <s v="Chairs"/>
    <x v="4"/>
    <s v="Eco Chairs 438"/>
    <s v="First Class"/>
    <x v="2"/>
    <n v="4"/>
    <n v="2191.0300000000002"/>
    <n v="0"/>
    <n v="0"/>
    <s v="Valid"/>
    <n v="8764.1200000000008"/>
    <n v="8764.1200000000008"/>
    <n v="7220.05"/>
    <n v="1544.07"/>
    <n v="1544.0700000000006"/>
    <n v="-7220.05"/>
    <s v="Paid"/>
    <s v="Paid"/>
    <s v="Completed"/>
    <x v="0"/>
    <s v="Clean"/>
  </r>
  <r>
    <s v="ORD-2024-10194"/>
    <n v="1"/>
    <s v="Unique"/>
    <s v="2024-06-23"/>
    <s v="28-06-2024"/>
    <d v="2024-06-23T00:00:00"/>
    <d v="2024-06-28T00:00:00"/>
    <x v="2"/>
    <x v="0"/>
    <s v="Valid"/>
    <s v="Valid"/>
    <n v="5"/>
    <s v="CUST-9853"/>
    <s v="Priya Menon"/>
    <s v="Priya Menon"/>
    <s v="Small Business"/>
    <x v="1"/>
    <s v="North"/>
    <x v="0"/>
    <s v="Punjab"/>
    <s v="Punjab"/>
    <s v="Ludhiana"/>
    <s v="Ludhiana"/>
    <s v="Technology"/>
    <x v="2"/>
    <s v="Copiers"/>
    <x v="6"/>
    <s v="Prime Copiers 142"/>
    <s v="Same Day"/>
    <x v="1"/>
    <n v="6"/>
    <n v="1956.63"/>
    <n v="0.2"/>
    <n v="0.2"/>
    <s v="Valid"/>
    <n v="9391.82"/>
    <n v="9391.8240000000005"/>
    <n v="6013.22"/>
    <n v="3378.6"/>
    <n v="3378.6040000000003"/>
    <n v="-6013.22"/>
    <s v="Refunded"/>
    <s v="Refunded"/>
    <s v="Returned"/>
    <x v="2"/>
    <s v="Clean"/>
  </r>
  <r>
    <s v="ORD-2025-10195"/>
    <n v="1"/>
    <s v="Unique"/>
    <s v="2025-01-28"/>
    <s v="01/31/2025"/>
    <d v="2025-01-28T00:00:00"/>
    <d v="2025-01-31T00:00:00"/>
    <x v="8"/>
    <x v="1"/>
    <s v="Valid"/>
    <s v="Valid"/>
    <n v="3"/>
    <s v="CUST-3637"/>
    <s v="Priya Menon"/>
    <s v="Priya Menon"/>
    <s v="Consumer"/>
    <x v="0"/>
    <s v="West"/>
    <x v="3"/>
    <s v="Maharashtra"/>
    <s v="Maharashtra"/>
    <s v="Mumbai"/>
    <s v="Mumbai"/>
    <s v="Furniture"/>
    <x v="1"/>
    <s v="Furnishings"/>
    <x v="3"/>
    <s v="Prime Furnishings 433"/>
    <s v="First Class"/>
    <x v="2"/>
    <n v="9"/>
    <n v="858.39"/>
    <n v="0.05"/>
    <n v="0.05"/>
    <s v="Valid"/>
    <n v="7339.23"/>
    <n v="7339.2344999999996"/>
    <n v="5434.12"/>
    <n v="1905.11"/>
    <n v="1905.1144999999997"/>
    <n v="-5434.12"/>
    <s v="Pending"/>
    <s v="Pending"/>
    <s v="Returned"/>
    <x v="2"/>
    <s v="Clean"/>
  </r>
  <r>
    <s v="ORD-2025-10196"/>
    <n v="1"/>
    <s v="Unique"/>
    <s v="22 Jul 2025"/>
    <s v="07/24/2025"/>
    <d v="2025-07-22T00:00:00"/>
    <d v="2025-07-24T00:00:00"/>
    <x v="0"/>
    <x v="1"/>
    <s v="Valid"/>
    <s v="Valid"/>
    <n v="2"/>
    <s v="CUST-4328"/>
    <s v="Neha Gupta"/>
    <s v="Neha Gupta"/>
    <s v="Home Office"/>
    <x v="3"/>
    <s v="South"/>
    <x v="2"/>
    <s v="Andhra Pradesh"/>
    <s v="Andhra Pradesh"/>
    <s v="Vijayawada"/>
    <s v="Vijayawada"/>
    <s v="Furniture"/>
    <x v="1"/>
    <s v="Furnishings"/>
    <x v="3"/>
    <s v="Smart Furnishings 685"/>
    <s v="Same Day"/>
    <x v="1"/>
    <n v="5"/>
    <n v="1922.83"/>
    <n v="0"/>
    <n v="0"/>
    <s v="Valid"/>
    <n v="9614.15"/>
    <n v="9614.15"/>
    <n v="7576.84"/>
    <n v="2037.31"/>
    <n v="2037.3099999999995"/>
    <n v="-7576.84"/>
    <s v="Paid"/>
    <s v="Paid"/>
    <s v="Completed"/>
    <x v="0"/>
    <s v="Clean"/>
  </r>
  <r>
    <s v="ORD-2024-10197"/>
    <n v="1"/>
    <s v="Unique"/>
    <s v="22-01-2024"/>
    <s v="25 Jan 2024"/>
    <d v="2024-01-22T00:00:00"/>
    <d v="2024-01-25T00:00:00"/>
    <x v="8"/>
    <x v="0"/>
    <s v="Valid"/>
    <s v="Valid"/>
    <n v="3"/>
    <s v="CUST-8028"/>
    <s v="Kabir Singh"/>
    <s v="Kabir Singh"/>
    <s v="Home Office"/>
    <x v="3"/>
    <s v="North"/>
    <x v="0"/>
    <s v="Uttar Pradesh"/>
    <s v="Uttar Pradesh"/>
    <s v="Noida"/>
    <s v="Noida"/>
    <s v="Office Supplies"/>
    <x v="0"/>
    <s v="Storage"/>
    <x v="8"/>
    <s v="Elite Storage 915"/>
    <s v="First Class"/>
    <x v="2"/>
    <n v="3"/>
    <n v="1212.03"/>
    <n v="0.1"/>
    <n v="0.1"/>
    <s v="Valid"/>
    <n v="3272.48"/>
    <n v="3272.4810000000002"/>
    <n v="2517.44"/>
    <n v="755.04"/>
    <n v="755.04100000000017"/>
    <n v="-2517.44"/>
    <s v="Paid"/>
    <s v="Paid"/>
    <s v="Completed"/>
    <x v="0"/>
    <s v="Clean"/>
  </r>
  <r>
    <s v="ORD-2025-10198"/>
    <n v="2"/>
    <s v="Unique"/>
    <s v="31 Mar 2025"/>
    <s v="07-04-2025"/>
    <d v="2025-03-31T00:00:00"/>
    <d v="2025-07-04T00:00:00"/>
    <x v="11"/>
    <x v="1"/>
    <s v="Valid"/>
    <s v="Valid"/>
    <n v="95"/>
    <s v="CUST-6106"/>
    <s v="Rahul Verma"/>
    <s v="Rahul Verma"/>
    <s v="Small  Business"/>
    <x v="1"/>
    <s v="East"/>
    <x v="1"/>
    <s v="Bihar"/>
    <s v="Bihar"/>
    <s v="Patna"/>
    <s v="Patna"/>
    <s v="Office Supplies"/>
    <x v="0"/>
    <s v="Storage"/>
    <x v="8"/>
    <s v="Basic Storage 961"/>
    <s v="Second Class"/>
    <x v="0"/>
    <n v="5"/>
    <n v="4096.4399999999996"/>
    <n v="0.15"/>
    <n v="0.15"/>
    <s v="Valid"/>
    <n v="17409.87"/>
    <n v="17409.869999999995"/>
    <n v="14076.25"/>
    <n v="3333.62"/>
    <n v="3333.6199999999953"/>
    <n v="-14076.25"/>
    <s v="Paid"/>
    <s v="Paid"/>
    <s v="Completed"/>
    <x v="0"/>
    <s v="Clean"/>
  </r>
  <r>
    <s v="ORD-2024-10199"/>
    <n v="2"/>
    <s v="Unique"/>
    <s v="05-06-2024"/>
    <s v="06/06/2024"/>
    <d v="2024-05-06T00:00:00"/>
    <d v="2024-06-06T00:00:00"/>
    <x v="4"/>
    <x v="0"/>
    <s v="Valid"/>
    <s v="Valid"/>
    <n v="31"/>
    <s v="CUST-7820"/>
    <s v="Sneha Kapoor"/>
    <s v="Sneha Kapoor"/>
    <s v="Consumer"/>
    <x v="0"/>
    <s v="West"/>
    <x v="3"/>
    <s v="Gujarat"/>
    <s v="Gujarat"/>
    <s v="Ahmedabad"/>
    <s v="Ahmedabad"/>
    <s v="Office Supplies"/>
    <x v="0"/>
    <s v="Art"/>
    <x v="2"/>
    <s v="Classic Art 968"/>
    <s v="Second Class"/>
    <x v="0"/>
    <n v="1"/>
    <n v="1184.58"/>
    <n v="0.05"/>
    <n v="0.05"/>
    <s v="Valid"/>
    <n v="1125.3499999999999"/>
    <n v="1125.3509999999999"/>
    <n v="676.97"/>
    <n v="448.38"/>
    <n v="448.38099999999986"/>
    <n v="-676.97"/>
    <s v="Failed"/>
    <s v="Failed"/>
    <s v="Cancelled"/>
    <x v="1"/>
    <s v="Clean"/>
  </r>
  <r>
    <s v="ORD-2024-10200"/>
    <n v="2"/>
    <s v="Unique"/>
    <s v="03/12/2024"/>
    <s v="12-03-2024"/>
    <d v="2024-03-12T00:00:00"/>
    <d v="2024-12-03T00:00:00"/>
    <x v="11"/>
    <x v="0"/>
    <s v="Valid"/>
    <s v="Valid"/>
    <n v="266"/>
    <s v="CUST-4536"/>
    <s v="Rahul Verma"/>
    <s v="Rahul Verma"/>
    <s v="Home Office"/>
    <x v="3"/>
    <s v="East"/>
    <x v="1"/>
    <s v="Bihar"/>
    <s v="Bihar"/>
    <s v="Patna"/>
    <s v="Patna"/>
    <s v="Technology"/>
    <x v="2"/>
    <s v="Machines"/>
    <x v="12"/>
    <s v="Prime Machines 806"/>
    <s v="Unknown"/>
    <x v="4"/>
    <n v="6"/>
    <n v="2185.58"/>
    <n v="0.25"/>
    <n v="0.25"/>
    <s v="Valid"/>
    <n v="9835.11"/>
    <n v="9835.11"/>
    <n v="5437.64"/>
    <n v="4397.47"/>
    <n v="4397.47"/>
    <n v="-5437.64"/>
    <s v="Paid"/>
    <s v="Paid"/>
    <s v="Completed"/>
    <x v="0"/>
    <s v="Clean"/>
  </r>
  <r>
    <s v="ORD-2025-10201"/>
    <n v="1"/>
    <s v="Unique"/>
    <s v="27-06-2025"/>
    <s v="05 Jul 2025"/>
    <d v="2025-06-27T00:00:00"/>
    <d v="2025-05-07T00:00:00"/>
    <x v="2"/>
    <x v="1"/>
    <s v="Valid"/>
    <s v="Valid"/>
    <n v="-51"/>
    <s v="CUST-7047"/>
    <s v="Priya Menon"/>
    <s v="Priya Menon"/>
    <s v="Small Business"/>
    <x v="1"/>
    <s v="North"/>
    <x v="0"/>
    <s v="Rajasthan"/>
    <s v="Rajasthan"/>
    <s v="Jaipur"/>
    <s v="Jaipur"/>
    <s v="Technology"/>
    <x v="2"/>
    <s v="Copiers"/>
    <x v="6"/>
    <s v="Classic Copiers 479"/>
    <s v="First Class"/>
    <x v="2"/>
    <n v="5"/>
    <n v="2868.44"/>
    <n v="0.1"/>
    <n v="0.1"/>
    <s v="Valid"/>
    <n v="12907.98"/>
    <n v="12907.980000000001"/>
    <n v="9197.08"/>
    <n v="3710.9"/>
    <n v="3710.9000000000015"/>
    <n v="-9197.08"/>
    <s v="Pending"/>
    <s v="Pending"/>
    <s v="Cancelled"/>
    <x v="1"/>
    <s v="Clean"/>
  </r>
  <r>
    <s v="ORD-2025-10202"/>
    <n v="1"/>
    <s v="Unique"/>
    <s v="26-07-2025"/>
    <s v="08/03/2025"/>
    <d v="2025-07-26T00:00:00"/>
    <d v="2025-08-03T00:00:00"/>
    <x v="0"/>
    <x v="1"/>
    <s v="Valid"/>
    <s v="Valid"/>
    <n v="8"/>
    <s v="CUST-8005"/>
    <s v="Vikram Iyer"/>
    <s v="Vikram Iyer"/>
    <s v="Consumer"/>
    <x v="0"/>
    <s v="West"/>
    <x v="3"/>
    <s v="Madhya Pradesh"/>
    <s v="Madhya Pradesh"/>
    <s v="Indore"/>
    <s v="Indore"/>
    <s v="Office Supplies"/>
    <x v="0"/>
    <s v="Labels"/>
    <x v="7"/>
    <s v="Basic Labels 511"/>
    <s v="Second Class"/>
    <x v="0"/>
    <n v="2"/>
    <n v="2503.5300000000002"/>
    <n v="-0.16"/>
    <n v="-0.16"/>
    <s v="Invalid - Negative Discount"/>
    <n v="4756.71"/>
    <n v="5808.1895999999997"/>
    <n v="2954.86"/>
    <n v="1801.85"/>
    <n v="2853.3295999999996"/>
    <n v="-2954.86"/>
    <s v="Refunded"/>
    <s v="Refunded"/>
    <s v="Cancelled"/>
    <x v="1"/>
    <s v="Clean"/>
  </r>
  <r>
    <s v="ORD-2025-10203"/>
    <n v="1"/>
    <s v="Unique"/>
    <s v="2025-03-28"/>
    <s v="28 Mar 2025"/>
    <d v="2025-03-28T00:00:00"/>
    <d v="2025-03-28T00:00:00"/>
    <x v="11"/>
    <x v="1"/>
    <s v="Valid"/>
    <s v="Valid"/>
    <n v="0"/>
    <s v="CUST-9378"/>
    <s v="Sneha Kapoor"/>
    <s v="Sneha Kapoor"/>
    <s v="Corporate"/>
    <x v="2"/>
    <s v="West"/>
    <x v="3"/>
    <s v="Goa"/>
    <s v="Goa"/>
    <s v="Panaji"/>
    <s v="Panaji"/>
    <s v="Technology"/>
    <x v="2"/>
    <s v="Accessories"/>
    <x v="5"/>
    <s v="Prime Accessories 733"/>
    <s v="Standard Class"/>
    <x v="3"/>
    <n v="8"/>
    <n v="1740.94"/>
    <n v="0.05"/>
    <n v="0.05"/>
    <s v="Valid"/>
    <n v="13231.14"/>
    <n v="13231.144"/>
    <n v="11290.06"/>
    <n v="1941.08"/>
    <n v="1941.0840000000007"/>
    <n v="-11290.06"/>
    <s v="Paid"/>
    <s v="Paid"/>
    <s v="Completed"/>
    <x v="0"/>
    <s v="Clean"/>
  </r>
  <r>
    <s v="ORD-2024-10204"/>
    <n v="1"/>
    <s v="Unique"/>
    <s v="28 Mar 2024"/>
    <s v="2024-03-30"/>
    <d v="2024-03-28T00:00:00"/>
    <d v="2024-03-30T00:00:00"/>
    <x v="11"/>
    <x v="0"/>
    <s v="Valid"/>
    <s v="Valid"/>
    <n v="2"/>
    <s v="CUST-3384"/>
    <s v="Sneha Kapoor"/>
    <s v="Sneha Kapoor"/>
    <s v="Corporate"/>
    <x v="2"/>
    <s v="West"/>
    <x v="3"/>
    <s v="Rajasthan"/>
    <s v="Rajasthan"/>
    <s v="Udaipur"/>
    <s v="Udaipur"/>
    <s v="Technology"/>
    <x v="2"/>
    <s v="Accessories"/>
    <x v="5"/>
    <s v="Max Accessories 186"/>
    <s v="Second Class"/>
    <x v="0"/>
    <n v="1"/>
    <n v="570.34"/>
    <n v="0.15"/>
    <n v="0.15"/>
    <s v="Valid"/>
    <n v="484.79"/>
    <n v="484.78899999999999"/>
    <n v="333.54"/>
    <n v="151.25"/>
    <n v="151.24899999999997"/>
    <n v="-333.54"/>
    <s v="Paid"/>
    <s v="Paid"/>
    <s v="Completed"/>
    <x v="0"/>
    <s v="Clean"/>
  </r>
  <r>
    <s v="ORD-2025-10205"/>
    <n v="1"/>
    <s v="Unique"/>
    <s v="20-07-2025"/>
    <s v="2025-07-23"/>
    <d v="2025-07-20T00:00:00"/>
    <d v="2025-07-23T00:00:00"/>
    <x v="0"/>
    <x v="1"/>
    <s v="Valid"/>
    <s v="Valid"/>
    <n v="3"/>
    <s v="CUST-1986"/>
    <s v="Mira Das"/>
    <s v="Mira Das"/>
    <s v="Home Office"/>
    <x v="3"/>
    <s v="East"/>
    <x v="1"/>
    <s v="West Bengal"/>
    <s v="West Bengal"/>
    <s v="Kolkata"/>
    <s v="Kolkata"/>
    <s v="Furniture"/>
    <x v="1"/>
    <s v="Tables"/>
    <x v="1"/>
    <s v="Elite Tables 318"/>
    <s v="Second Class"/>
    <x v="0"/>
    <n v="4"/>
    <n v="477.69"/>
    <n v="0.15"/>
    <n v="0.15"/>
    <s v="Valid"/>
    <n v="1624.15"/>
    <n v="1624.146"/>
    <n v="1217.99"/>
    <n v="406.16"/>
    <n v="406.15599999999995"/>
    <n v="-1217.99"/>
    <s v="Paid"/>
    <s v="Paid"/>
    <s v="Completed"/>
    <x v="0"/>
    <s v="Clean"/>
  </r>
  <r>
    <s v="ORD-2025-10206"/>
    <n v="1"/>
    <s v="Unique"/>
    <s v="21-04-2025"/>
    <s v="04/26/2025"/>
    <d v="2025-04-21T00:00:00"/>
    <d v="2025-04-26T00:00:00"/>
    <x v="5"/>
    <x v="1"/>
    <s v="Valid"/>
    <s v="Valid"/>
    <n v="5"/>
    <s v="CUST-3338"/>
    <s v="Ananya Rao"/>
    <s v="Ananya Rao"/>
    <s v="Consumer"/>
    <x v="0"/>
    <s v="West"/>
    <x v="3"/>
    <s v="Maharashtra"/>
    <s v="Maharashtra"/>
    <s v="Mumbai"/>
    <s v="Mumbai"/>
    <s v="Office Supplies"/>
    <x v="0"/>
    <s v="Labels"/>
    <x v="7"/>
    <s v="Smart Labels 354"/>
    <s v="Same Day"/>
    <x v="1"/>
    <n v="6"/>
    <n v="873.59"/>
    <n v="0.2"/>
    <n v="0.2"/>
    <s v="Valid"/>
    <n v="4193.2299999999996"/>
    <n v="4193.232"/>
    <n v="3329.99"/>
    <n v="863.24"/>
    <n v="863.24200000000019"/>
    <n v="-3329.99"/>
    <s v="Paid"/>
    <s v="Paid"/>
    <s v="Completed"/>
    <x v="0"/>
    <s v="Clean"/>
  </r>
  <r>
    <s v="ORD-2025-10207"/>
    <n v="1"/>
    <s v="Unique"/>
    <s v="05/18/2025"/>
    <s v="20 May 2025"/>
    <d v="2025-05-18T00:00:00"/>
    <d v="2025-05-20T00:00:00"/>
    <x v="4"/>
    <x v="1"/>
    <s v="Valid"/>
    <s v="Valid"/>
    <n v="2"/>
    <s v="CUST-2343"/>
    <s v="Diya Patel"/>
    <s v="Diya Patel"/>
    <s v="Small Business"/>
    <x v="1"/>
    <s v="North"/>
    <x v="0"/>
    <s v="Uttar Pradesh"/>
    <s v="Uttar Pradesh"/>
    <s v="Noida"/>
    <s v="Noida"/>
    <s v="Furniture"/>
    <x v="1"/>
    <s v="Furnishings"/>
    <x v="3"/>
    <s v="Pro Furnishings 981"/>
    <s v="First Class"/>
    <x v="2"/>
    <n v="2"/>
    <n v="215.13"/>
    <n v="0"/>
    <n v="0"/>
    <s v="Valid"/>
    <n v="430.26"/>
    <n v="430.26"/>
    <n v="286.38"/>
    <n v="143.88"/>
    <n v="143.88"/>
    <n v="-286.38"/>
    <s v="Paid"/>
    <s v="Paid"/>
    <s v="Completed"/>
    <x v="0"/>
    <s v="Clean"/>
  </r>
  <r>
    <s v="ORD-2024-10208"/>
    <n v="1"/>
    <s v="Unique"/>
    <s v="10 Jul 2024"/>
    <s v="2024-07-16"/>
    <d v="2024-10-07T00:00:00"/>
    <d v="2024-07-16T00:00:00"/>
    <x v="10"/>
    <x v="0"/>
    <s v="Valid"/>
    <s v="Valid"/>
    <n v="-83"/>
    <s v="CUST-3362"/>
    <s v="Aarav Sharma"/>
    <s v="Aarav Sharma"/>
    <s v="Home Office"/>
    <x v="3"/>
    <s v="West"/>
    <x v="3"/>
    <s v="Goa"/>
    <s v="Goa"/>
    <s v="Panaji"/>
    <s v="Panaji"/>
    <s v="Furniture"/>
    <x v="1"/>
    <s v="Bookcases"/>
    <x v="10"/>
    <s v="Eco Bookcases 671"/>
    <s v="Second Class"/>
    <x v="0"/>
    <n v="2"/>
    <n v="1095.45"/>
    <n v="0.2"/>
    <n v="0.2"/>
    <s v="Valid"/>
    <n v="1752.72"/>
    <n v="1752.7200000000003"/>
    <n v="996.41"/>
    <n v="756.31"/>
    <n v="756.31000000000029"/>
    <n v="-996.41"/>
    <s v="Paid"/>
    <s v="Paid"/>
    <s v="Completed"/>
    <x v="0"/>
    <s v="Clean"/>
  </r>
  <r>
    <s v="ORD-2025-10209"/>
    <n v="1"/>
    <s v="Unique"/>
    <s v="06/29/2025"/>
    <s v="05-07-2025"/>
    <d v="2025-06-29T00:00:00"/>
    <d v="2025-05-07T00:00:00"/>
    <x v="2"/>
    <x v="1"/>
    <s v="Valid"/>
    <s v="Valid"/>
    <n v="-53"/>
    <s v="CUST-3662"/>
    <s v="Diya Patel"/>
    <s v="Diya Patel"/>
    <s v="Consumer"/>
    <x v="0"/>
    <s v="North"/>
    <x v="0"/>
    <s v="Punjab"/>
    <s v="Punjab"/>
    <s v="Ludhiana"/>
    <s v="Ludhiana"/>
    <s v="Furniture"/>
    <x v="1"/>
    <s v="Chairs"/>
    <x v="4"/>
    <s v="Max Chairs 151"/>
    <s v="Same Day"/>
    <x v="1"/>
    <n v="1"/>
    <n v="999.83"/>
    <n v="0"/>
    <n v="0"/>
    <s v="Valid"/>
    <n v="999.83"/>
    <n v="999.83"/>
    <n v="634.91"/>
    <n v="364.92"/>
    <n v="364.92000000000007"/>
    <n v="-634.91"/>
    <s v="Paid"/>
    <s v="Paid"/>
    <s v="Completed"/>
    <x v="0"/>
    <s v="Clean"/>
  </r>
  <r>
    <s v="ORD-2025-10210"/>
    <n v="1"/>
    <s v="Unique"/>
    <s v="08/13/2025"/>
    <s v="08/14/2025"/>
    <d v="2025-08-13T00:00:00"/>
    <d v="2025-08-14T00:00:00"/>
    <x v="1"/>
    <x v="1"/>
    <s v="Valid"/>
    <s v="Valid"/>
    <n v="1"/>
    <s v="CUST-4947"/>
    <s v="Rohan Mehta"/>
    <s v="Rohan Mehta"/>
    <s v="Small Business"/>
    <x v="1"/>
    <s v="South"/>
    <x v="2"/>
    <s v="Andhra Pradesh"/>
    <s v="Andhra Pradesh"/>
    <s v="Vijayawada"/>
    <s v="Vijayawada"/>
    <s v="Office Supplies"/>
    <x v="0"/>
    <s v="Paper"/>
    <x v="0"/>
    <s v="Prime Paper 903"/>
    <s v="First Class"/>
    <x v="2"/>
    <n v="9"/>
    <n v="864.98"/>
    <n v="0.1"/>
    <n v="0.1"/>
    <s v="Valid"/>
    <n v="7006.34"/>
    <n v="7006.3379999999997"/>
    <n v="4640.88"/>
    <n v="2365.46"/>
    <n v="2365.4579999999996"/>
    <n v="-4640.88"/>
    <s v="Paid"/>
    <s v="Paid"/>
    <s v="Completed"/>
    <x v="0"/>
    <s v="Clean"/>
  </r>
  <r>
    <s v="ORD-2024-10211"/>
    <n v="1"/>
    <s v="Unique"/>
    <s v="03/15/2024"/>
    <s v="18-03-2024"/>
    <d v="2024-03-15T00:00:00"/>
    <d v="2024-03-18T00:00:00"/>
    <x v="11"/>
    <x v="0"/>
    <s v="Valid"/>
    <s v="Valid"/>
    <n v="3"/>
    <s v="CUST-3076"/>
    <s v="Kabir Singh"/>
    <s v="Kabir Singh"/>
    <s v="Home Office"/>
    <x v="3"/>
    <s v="South"/>
    <x v="2"/>
    <s v="Karnataka"/>
    <s v="Karnataka"/>
    <s v="Bengaluru"/>
    <s v="Bengaluru"/>
    <s v="Technology"/>
    <x v="2"/>
    <s v="Machines"/>
    <x v="12"/>
    <s v="Classic Machines 944"/>
    <s v="Second Class"/>
    <x v="0"/>
    <n v="1"/>
    <n v="4131.3599999999997"/>
    <n v="0"/>
    <n v="0"/>
    <s v="Valid"/>
    <n v="4131.3599999999997"/>
    <n v="4131.3599999999997"/>
    <n v="2937.07"/>
    <n v="1194.29"/>
    <n v="1194.2899999999995"/>
    <n v="-2937.07"/>
    <s v="Failed"/>
    <s v="Failed"/>
    <s v="Returned"/>
    <x v="2"/>
    <s v="Clean"/>
  </r>
  <r>
    <s v="ORD-2024-10212"/>
    <n v="1"/>
    <s v="Unique"/>
    <s v="05/16/2024"/>
    <s v="05/17/2024"/>
    <d v="2024-05-16T00:00:00"/>
    <d v="2024-05-17T00:00:00"/>
    <x v="4"/>
    <x v="0"/>
    <s v="Valid"/>
    <s v="Valid"/>
    <n v="1"/>
    <s v="CUST-2222"/>
    <s v="Rohan Mehta"/>
    <s v="Rohan Mehta"/>
    <s v="Corporate"/>
    <x v="2"/>
    <s v="East"/>
    <x v="1"/>
    <s v="West Bengal"/>
    <s v="West Bengal"/>
    <s v="Kolkata"/>
    <s v="Kolkata"/>
    <s v="Technology"/>
    <x v="2"/>
    <s v="Copiers"/>
    <x v="6"/>
    <s v="Basic Copiers 222"/>
    <s v="Second Class"/>
    <x v="0"/>
    <n v="8"/>
    <n v="4221.95"/>
    <n v="0.2"/>
    <n v="0.2"/>
    <s v="Valid"/>
    <n v="27020.48"/>
    <n v="27020.48"/>
    <n v="22885.24"/>
    <n v="4135.24"/>
    <n v="4135.239999999998"/>
    <n v="-22885.24"/>
    <s v="Paid"/>
    <s v="Paid"/>
    <s v="Completed"/>
    <x v="0"/>
    <s v="Clean"/>
  </r>
  <r>
    <s v="ORD-2024-10213"/>
    <n v="1"/>
    <s v="Unique"/>
    <s v="09/21/2024"/>
    <s v="2024-09-21"/>
    <d v="2024-09-21T00:00:00"/>
    <d v="2024-09-21T00:00:00"/>
    <x v="9"/>
    <x v="0"/>
    <s v="Valid"/>
    <s v="Valid"/>
    <n v="0"/>
    <s v="CUST-3610"/>
    <s v="Ananya Rao"/>
    <s v="Ananya Rao"/>
    <s v="Small Business"/>
    <x v="1"/>
    <s v="East"/>
    <x v="1"/>
    <s v="Odisha"/>
    <s v="Odisha"/>
    <s v="Bhubaneswar"/>
    <s v="Bhubaneswar"/>
    <s v="Technology"/>
    <x v="2"/>
    <s v="Phones"/>
    <x v="11"/>
    <s v="Max Phones 329"/>
    <s v="Same Day"/>
    <x v="1"/>
    <n v="2"/>
    <n v="214.5"/>
    <n v="0.15"/>
    <n v="0.15"/>
    <s v="Valid"/>
    <n v="364.65"/>
    <n v="364.65"/>
    <n v="280.74"/>
    <n v="83.91"/>
    <n v="83.909999999999968"/>
    <n v="-280.74"/>
    <s v="Paid"/>
    <s v="Paid"/>
    <s v="Completed"/>
    <x v="0"/>
    <s v="Clean"/>
  </r>
  <r>
    <s v="ORD-2024-10214"/>
    <n v="1"/>
    <s v="Unique"/>
    <s v="15 May 2024"/>
    <s v="21-05-2024"/>
    <d v="2024-05-15T00:00:00"/>
    <d v="2024-05-21T00:00:00"/>
    <x v="4"/>
    <x v="0"/>
    <s v="Valid"/>
    <s v="Valid"/>
    <n v="6"/>
    <s v="CUST-9136"/>
    <s v="Isha Nair"/>
    <s v="Isha Nair"/>
    <s v="Small Business"/>
    <x v="1"/>
    <s v="East"/>
    <x v="1"/>
    <s v="Bihar"/>
    <s v="Bihar"/>
    <s v="Patna"/>
    <s v="Patna"/>
    <s v="Technology"/>
    <x v="2"/>
    <s v="Accessories"/>
    <x v="5"/>
    <s v="Classic Accessories 840"/>
    <s v="Second Class"/>
    <x v="0"/>
    <n v="4"/>
    <n v="4332.7299999999996"/>
    <n v="0.2"/>
    <n v="0.2"/>
    <s v="Valid"/>
    <n v="13864.74"/>
    <n v="13864.735999999999"/>
    <n v="11294.06"/>
    <n v="2570.6799999999998"/>
    <n v="2570.6759999999995"/>
    <n v="-11294.06"/>
    <s v="Paid"/>
    <s v="Paid"/>
    <s v="Completed"/>
    <x v="0"/>
    <s v="Clean"/>
  </r>
  <r>
    <s v="ORD-2024-10215"/>
    <n v="1"/>
    <s v="Unique"/>
    <s v="17 Mar 2024"/>
    <s v="23-03-2024"/>
    <d v="2024-03-17T00:00:00"/>
    <d v="2024-03-23T00:00:00"/>
    <x v="11"/>
    <x v="0"/>
    <s v="Valid"/>
    <s v="Valid"/>
    <n v="6"/>
    <s v="CUST-1301"/>
    <s v="Rahul Verma"/>
    <s v="Rahul Verma"/>
    <s v="Consumer"/>
    <x v="0"/>
    <s v="North"/>
    <x v="0"/>
    <s v="Haryana"/>
    <s v="Haryana"/>
    <s v="Gurugram"/>
    <s v="Gurugram"/>
    <s v="Technology"/>
    <x v="2"/>
    <s v="Accessories"/>
    <x v="5"/>
    <s v="Classic Accessories 757"/>
    <s v="First Class"/>
    <x v="2"/>
    <n v="3"/>
    <n v="248.18"/>
    <n v="0.05"/>
    <n v="0.05"/>
    <s v="Valid"/>
    <n v="707.31"/>
    <n v="707.31299999999999"/>
    <n v="569"/>
    <n v="138.31"/>
    <n v="138.31299999999999"/>
    <n v="-569"/>
    <s v="Paid"/>
    <s v="Paid"/>
    <s v="Completed"/>
    <x v="0"/>
    <s v="Clean"/>
  </r>
  <r>
    <s v="ORD-2024-10216"/>
    <n v="1"/>
    <s v="Unique"/>
    <s v="01-03-2024"/>
    <s v="2024-03-04"/>
    <d v="2024-01-03T00:00:00"/>
    <d v="2024-04-03T00:00:00"/>
    <x v="8"/>
    <x v="0"/>
    <s v="Valid"/>
    <s v="Valid"/>
    <n v="91"/>
    <s v="CUST-8603"/>
    <s v="Mira Das"/>
    <s v="Mira Das"/>
    <s v="Consumer"/>
    <x v="0"/>
    <s v="West"/>
    <x v="3"/>
    <s v="Madhya Pradesh"/>
    <s v="Madhya Pradesh"/>
    <s v="Indore"/>
    <s v="Indore"/>
    <s v="Office Supplies"/>
    <x v="0"/>
    <s v="Paper"/>
    <x v="0"/>
    <s v="Prime Paper 286"/>
    <s v="First Class"/>
    <x v="2"/>
    <n v="8"/>
    <n v="3202.4"/>
    <n v="0.25"/>
    <n v="0.25"/>
    <s v="Valid"/>
    <n v="19214.400000000001"/>
    <n v="19214.400000000001"/>
    <n v="10916.01"/>
    <n v="8298.39"/>
    <n v="8298.3900000000012"/>
    <n v="-10916.01"/>
    <s v="Paid"/>
    <s v="Paid"/>
    <s v="Completed"/>
    <x v="0"/>
    <s v="Clean"/>
  </r>
  <r>
    <s v="ORD-2025-10217"/>
    <n v="2"/>
    <s v="Unique"/>
    <s v="04/10/2025"/>
    <s v="15 Apr 2025"/>
    <d v="2025-04-10T00:00:00"/>
    <d v="2025-04-15T00:00:00"/>
    <x v="5"/>
    <x v="1"/>
    <s v="Valid"/>
    <s v="Valid"/>
    <n v="5"/>
    <s v="CUST-4330"/>
    <s v="Isha Nair"/>
    <s v="Isha Nair"/>
    <s v="Consumer"/>
    <x v="0"/>
    <s v="West"/>
    <x v="3"/>
    <s v="Gujarat"/>
    <s v="Gujarat"/>
    <s v="Ahmedabad"/>
    <s v="Ahmedabad"/>
    <s v="Furniture"/>
    <x v="1"/>
    <s v="Tables"/>
    <x v="1"/>
    <s v="Basic Tables 400"/>
    <s v="Standard Class"/>
    <x v="3"/>
    <n v="8"/>
    <n v="1839.87"/>
    <n v="0.25"/>
    <n v="0.25"/>
    <s v="Valid"/>
    <n v="11039.22"/>
    <n v="11039.22"/>
    <n v="7642.91"/>
    <n v="3396.31"/>
    <n v="3396.3099999999995"/>
    <n v="-7642.91"/>
    <s v="Failed"/>
    <s v="Failed"/>
    <s v="Returned"/>
    <x v="2"/>
    <s v="Clean"/>
  </r>
  <r>
    <s v="ORD-2025-10218"/>
    <n v="1"/>
    <s v="Unique"/>
    <s v="01-04-2025"/>
    <s v="04/08/2025"/>
    <d v="2025-01-04T00:00:00"/>
    <d v="2025-04-08T00:00:00"/>
    <x v="8"/>
    <x v="1"/>
    <s v="Valid"/>
    <s v="Valid"/>
    <n v="94"/>
    <s v="CUST-4533"/>
    <s v="Aditi Sen"/>
    <s v="Aditi Sen"/>
    <s v="Consumer"/>
    <x v="0"/>
    <s v="East"/>
    <x v="1"/>
    <s v="Odisha"/>
    <s v="Odisha"/>
    <s v="Bhubaneswar"/>
    <s v="Bhubaneswar"/>
    <s v="Furniture"/>
    <x v="1"/>
    <s v="Bookcases"/>
    <x v="10"/>
    <s v="Basic Bookcases 405"/>
    <s v="Second Class"/>
    <x v="0"/>
    <n v="5"/>
    <n v="1021.28"/>
    <n v="0.1"/>
    <n v="0.1"/>
    <s v="Valid"/>
    <n v="4595.76"/>
    <n v="4595.76"/>
    <n v="3396.8"/>
    <n v="1198.96"/>
    <n v="1198.96"/>
    <n v="-3396.8"/>
    <s v="Refunded"/>
    <s v="Refunded"/>
    <s v="Cancelled"/>
    <x v="1"/>
    <s v="Clean"/>
  </r>
  <r>
    <s v="ORD-2025-10219"/>
    <n v="1"/>
    <s v="Unique"/>
    <s v="26 Feb 2025"/>
    <s v="27-02-2025"/>
    <d v="2025-02-26T00:00:00"/>
    <d v="2025-02-27T00:00:00"/>
    <x v="6"/>
    <x v="1"/>
    <s v="Valid"/>
    <s v="Valid"/>
    <n v="1"/>
    <s v="CUST-8270"/>
    <s v="Priya Menon"/>
    <s v="Priya Menon"/>
    <s v="Corporate"/>
    <x v="2"/>
    <s v="West"/>
    <x v="3"/>
    <s v="Gujarat"/>
    <s v="Gujarat"/>
    <s v="Ahmedabad"/>
    <s v="Ahmedabad"/>
    <s v="Furniture"/>
    <x v="1"/>
    <s v="Bookcases"/>
    <x v="10"/>
    <s v="Classic Bookcases 139"/>
    <s v="Standard Class"/>
    <x v="3"/>
    <n v="5"/>
    <n v="258.27999999999997"/>
    <n v="0"/>
    <n v="0"/>
    <s v="Valid"/>
    <n v="1291.4000000000001"/>
    <n v="1291.3999999999999"/>
    <n v="756.93"/>
    <n v="534.47"/>
    <n v="534.46999999999991"/>
    <n v="-756.93"/>
    <s v="Paid"/>
    <s v="Paid"/>
    <s v="Completed"/>
    <x v="0"/>
    <s v="Clean"/>
  </r>
  <r>
    <s v="ORD-2024-10220"/>
    <n v="1"/>
    <s v="Unique"/>
    <s v="2024-06-18"/>
    <s v="06/19/2024"/>
    <d v="2024-06-18T00:00:00"/>
    <d v="2024-06-19T00:00:00"/>
    <x v="2"/>
    <x v="0"/>
    <s v="Valid"/>
    <s v="Valid"/>
    <n v="1"/>
    <s v="CUST-1472"/>
    <s v="Rahul Verma"/>
    <s v="Rahul Verma"/>
    <s v="Consumer"/>
    <x v="0"/>
    <s v="East"/>
    <x v="1"/>
    <s v="Bihar"/>
    <s v="Bihar"/>
    <s v="Patna"/>
    <s v="Patna"/>
    <s v="Technology"/>
    <x v="2"/>
    <s v="Machines"/>
    <x v="12"/>
    <s v="Elite Machines 290"/>
    <s v="First Class"/>
    <x v="2"/>
    <n v="2"/>
    <n v="121.49"/>
    <s v="85%"/>
    <n v="0.85"/>
    <s v="Invalid - Above Range"/>
    <n v="242.98"/>
    <n v="36.447000000000003"/>
    <n v="161.41999999999999"/>
    <n v="81.56"/>
    <n v="-124.97299999999998"/>
    <n v="-161.41999999999999"/>
    <s v="Paid"/>
    <s v="Paid"/>
    <s v="Completed"/>
    <x v="0"/>
    <s v="Clean"/>
  </r>
  <r>
    <s v="ORD-2024-10221"/>
    <n v="2"/>
    <s v="Unique"/>
    <s v="09/03/2024"/>
    <s v="09/03/2024"/>
    <d v="2024-09-03T00:00:00"/>
    <d v="2024-09-03T00:00:00"/>
    <x v="9"/>
    <x v="0"/>
    <s v="Valid"/>
    <s v="Valid"/>
    <n v="0"/>
    <s v="CUST-1031"/>
    <s v="Sneha Kapoor"/>
    <s v="Sneha Kapoor"/>
    <s v="Consumer"/>
    <x v="0"/>
    <s v="South"/>
    <x v="2"/>
    <s v="Kerala"/>
    <s v="Kerala"/>
    <s v="Kochi"/>
    <s v="Kochi"/>
    <s v="Office Supplies"/>
    <x v="0"/>
    <s v="Storage"/>
    <x v="8"/>
    <s v="Elite Storage 925"/>
    <s v="First Class"/>
    <x v="2"/>
    <n v="4"/>
    <n v="2810.17"/>
    <n v="0.15"/>
    <n v="0.15"/>
    <s v="Valid"/>
    <n v="9554.58"/>
    <n v="9554.5779999999995"/>
    <n v="6068.47"/>
    <n v="3486.11"/>
    <n v="3486.1079999999993"/>
    <n v="-6068.47"/>
    <s v="Refunded"/>
    <s v="Refunded"/>
    <s v="Cancelled"/>
    <x v="1"/>
    <s v="Clean"/>
  </r>
  <r>
    <s v="ORD-2025-10222"/>
    <n v="1"/>
    <s v="Unique"/>
    <s v="12-01-2025"/>
    <s v="2025-01-15"/>
    <d v="2025-12-01T00:00:00"/>
    <d v="2025-01-15T00:00:00"/>
    <x v="7"/>
    <x v="1"/>
    <s v="Valid"/>
    <s v="Valid"/>
    <n v="-320"/>
    <s v="CUST-2495"/>
    <s v="Mira Das"/>
    <s v="Mira Das"/>
    <s v="Corporate"/>
    <x v="2"/>
    <s v="South"/>
    <x v="2"/>
    <s v="Karnataka"/>
    <s v="Karnataka"/>
    <s v="Bengaluru"/>
    <s v="Bengaluru"/>
    <s v="Furniture"/>
    <x v="1"/>
    <s v="Chairs"/>
    <x v="4"/>
    <s v="Classic Chairs 231"/>
    <s v="Same Day"/>
    <x v="1"/>
    <n v="4"/>
    <n v="1531.53"/>
    <n v="0.2"/>
    <n v="0.2"/>
    <s v="Valid"/>
    <n v="4900.8999999999996"/>
    <n v="4900.8959999999997"/>
    <n v="3552.69"/>
    <n v="1348.21"/>
    <n v="1348.2059999999997"/>
    <n v="-3552.69"/>
    <s v="Paid"/>
    <s v="Paid"/>
    <s v="Completed"/>
    <x v="0"/>
    <s v="Clean"/>
  </r>
  <r>
    <s v="ORD-2025-10223"/>
    <n v="1"/>
    <s v="Unique"/>
    <s v="04/29/2025"/>
    <s v="02 May 2025"/>
    <d v="2025-04-29T00:00:00"/>
    <d v="2025-02-05T00:00:00"/>
    <x v="5"/>
    <x v="1"/>
    <s v="Valid"/>
    <s v="Valid"/>
    <n v="-83"/>
    <s v="CUST-4583"/>
    <s v="Vikram Iyer"/>
    <s v="Vikram Iyer"/>
    <s v="Small Business"/>
    <x v="1"/>
    <s v="West"/>
    <x v="3"/>
    <s v="Goa"/>
    <s v="Goa"/>
    <s v="Panaji"/>
    <s v="Panaji"/>
    <s v="Office Supplies"/>
    <x v="0"/>
    <s v="Storage"/>
    <x v="8"/>
    <s v="Prime Storage 818"/>
    <s v="First Class"/>
    <x v="2"/>
    <n v="6"/>
    <n v="4308.09"/>
    <n v="0"/>
    <n v="0"/>
    <s v="Valid"/>
    <n v="25848.54"/>
    <n v="25848.54"/>
    <n v="17729.09"/>
    <n v="8119.45"/>
    <n v="8119.4500000000007"/>
    <n v="-17729.09"/>
    <s v="Paid"/>
    <s v="Paid"/>
    <s v="Completed"/>
    <x v="0"/>
    <s v="Clean"/>
  </r>
  <r>
    <s v="ORD-2025-10224"/>
    <n v="1"/>
    <s v="Unique"/>
    <s v="19-02-2025"/>
    <s v="02/26/2025"/>
    <d v="2025-02-19T00:00:00"/>
    <d v="2025-02-26T00:00:00"/>
    <x v="6"/>
    <x v="1"/>
    <s v="Valid"/>
    <s v="Valid"/>
    <n v="7"/>
    <s v="CUST-5319"/>
    <s v="Mira Das"/>
    <s v="Mira Das"/>
    <s v="Corporate"/>
    <x v="2"/>
    <s v="West"/>
    <x v="3"/>
    <s v="Maharashtra"/>
    <s v="Maharashtra"/>
    <s v="Mumbai"/>
    <s v="Mumbai"/>
    <s v="Furniture"/>
    <x v="1"/>
    <s v="Furnishings"/>
    <x v="3"/>
    <s v="Elite Furnishings 449"/>
    <s v="First Class"/>
    <x v="2"/>
    <n v="3"/>
    <n v="490.3"/>
    <n v="0.2"/>
    <n v="0.2"/>
    <s v="Valid"/>
    <n v="1176.72"/>
    <n v="1176.72"/>
    <n v="654.33000000000004"/>
    <n v="522.39"/>
    <n v="522.39"/>
    <n v="-654.33000000000004"/>
    <s v="Pending"/>
    <s v="Pending"/>
    <s v="Returned"/>
    <x v="2"/>
    <s v="Clean"/>
  </r>
  <r>
    <s v="ORD-2025-10225"/>
    <n v="1"/>
    <s v="Conflicting Duplicate"/>
    <s v="10/02/2025"/>
    <s v="08 Oct 2025"/>
    <d v="2025-10-02T00:00:00"/>
    <d v="2025-08-10T00:00:00"/>
    <x v="10"/>
    <x v="1"/>
    <s v="Valid"/>
    <s v="Valid"/>
    <n v="-53"/>
    <s v="CUST-9871"/>
    <s v="Isha Nair"/>
    <s v="Isha Nair"/>
    <s v="Small Business"/>
    <x v="1"/>
    <s v="North"/>
    <x v="0"/>
    <s v="Punjab"/>
    <s v="Punjab"/>
    <s v="Ludhiana"/>
    <s v="Ludhiana"/>
    <s v="Furniture"/>
    <x v="1"/>
    <s v="Furnishings"/>
    <x v="3"/>
    <s v="Classic Furnishings 109"/>
    <s v="Standard Class"/>
    <x v="3"/>
    <n v="4"/>
    <n v="3944.64"/>
    <n v="0.25"/>
    <n v="0.25"/>
    <s v="Valid"/>
    <n v="11833.92"/>
    <n v="11833.92"/>
    <n v="6682.92"/>
    <n v="5151"/>
    <n v="5151"/>
    <n v="-6682.92"/>
    <s v="Paid"/>
    <s v="Paid"/>
    <s v="Cancelled"/>
    <x v="1"/>
    <s v="Clean"/>
  </r>
  <r>
    <s v="ORD-2024-10226"/>
    <n v="1"/>
    <s v="Unique"/>
    <s v="02 Sep 2024"/>
    <s v="2024-09-10"/>
    <d v="2024-02-09T00:00:00"/>
    <d v="2024-10-09T00:00:00"/>
    <x v="6"/>
    <x v="0"/>
    <s v="Valid"/>
    <s v="Valid"/>
    <n v="243"/>
    <s v="CUST-1266"/>
    <s v="Mira Das"/>
    <s v="Mira Das"/>
    <s v="Corporate"/>
    <x v="2"/>
    <s v="West"/>
    <x v="3"/>
    <s v="Goa"/>
    <s v="Goa"/>
    <s v="Panaji"/>
    <s v="Panaji"/>
    <s v="Technology"/>
    <x v="2"/>
    <s v="Phones"/>
    <x v="11"/>
    <s v="Classic Phones 548"/>
    <s v="Standard Class"/>
    <x v="3"/>
    <n v="6"/>
    <n v="1032.47"/>
    <n v="0.15"/>
    <n v="0.15"/>
    <s v="Valid"/>
    <n v="5265.6"/>
    <n v="5265.5969999999998"/>
    <n v="4293.1099999999997"/>
    <n v="787.57"/>
    <n v="972.48700000000008"/>
    <n v="-4293.1099999999997"/>
    <s v="Paid"/>
    <s v="Paid"/>
    <s v="Completed"/>
    <x v="0"/>
    <s v="Clean"/>
  </r>
  <r>
    <s v="ORD-2025-10227"/>
    <n v="1"/>
    <s v="Unique"/>
    <s v="10-04-2025"/>
    <s v="15 Apr 2025"/>
    <d v="2025-10-04T00:00:00"/>
    <d v="2025-04-15T00:00:00"/>
    <x v="10"/>
    <x v="1"/>
    <s v="Valid"/>
    <s v="Valid"/>
    <n v="-172"/>
    <s v="CUST-2545"/>
    <s v="Diya Patel"/>
    <s v="Diya Patel"/>
    <s v="Home Office"/>
    <x v="3"/>
    <s v="Unknown"/>
    <x v="4"/>
    <s v="Kerala"/>
    <s v="Kerala"/>
    <s v="Kochi"/>
    <s v="Kochi"/>
    <s v="Technology"/>
    <x v="2"/>
    <s v="Copiers"/>
    <x v="6"/>
    <s v="Max Copiers 363"/>
    <s v="Same Day"/>
    <x v="1"/>
    <n v="1"/>
    <n v="2208.27"/>
    <n v="0.1"/>
    <n v="0.1"/>
    <s v="Valid"/>
    <n v="1987.44"/>
    <n v="1987.443"/>
    <n v="1110.23"/>
    <n v="877.21"/>
    <n v="877.21299999999997"/>
    <n v="-1110.23"/>
    <s v="Paid"/>
    <s v="Paid"/>
    <s v="Completed"/>
    <x v="0"/>
    <s v="Clean"/>
  </r>
  <r>
    <s v="ORD-2024-10228"/>
    <n v="1"/>
    <s v="Unique"/>
    <s v="2024-07-05"/>
    <s v="12 Jul 2024"/>
    <d v="2024-05-07T00:00:00"/>
    <d v="2024-12-07T00:00:00"/>
    <x v="4"/>
    <x v="0"/>
    <s v="Valid"/>
    <s v="Valid"/>
    <n v="214"/>
    <s v="CUST-2819"/>
    <s v="Ananya Rao"/>
    <s v="Ananya Rao"/>
    <s v="Small Business"/>
    <x v="1"/>
    <s v="West"/>
    <x v="3"/>
    <s v="Goa"/>
    <s v="Goa"/>
    <s v="Panaji"/>
    <s v="Panaji"/>
    <s v="Office Supplies"/>
    <x v="0"/>
    <s v="Binders"/>
    <x v="9"/>
    <s v="Prime Binders 507"/>
    <s v="First Class"/>
    <x v="2"/>
    <n v="3"/>
    <n v="577.75"/>
    <n v="0.15"/>
    <n v="0.15"/>
    <s v="Valid"/>
    <n v="1473.26"/>
    <n v="1473.2625"/>
    <n v="899.86"/>
    <n v="573.4"/>
    <n v="573.40250000000003"/>
    <n v="-899.86"/>
    <s v="Paid"/>
    <s v="Paid"/>
    <s v="Completed"/>
    <x v="0"/>
    <s v="Clean"/>
  </r>
  <r>
    <s v="ORD-2024-10229"/>
    <n v="2"/>
    <s v="Unique"/>
    <s v="24-04-2024"/>
    <s v="28 Apr 2024"/>
    <d v="2024-04-24T00:00:00"/>
    <d v="2024-04-28T00:00:00"/>
    <x v="5"/>
    <x v="0"/>
    <s v="Valid"/>
    <s v="Valid"/>
    <n v="4"/>
    <s v="CUST-1076"/>
    <s v="Karan Malhotra"/>
    <s v="Karan Malhotra"/>
    <s v="Small Business"/>
    <x v="1"/>
    <s v="South"/>
    <x v="2"/>
    <s v="Telangana"/>
    <s v="Telangana"/>
    <s v="Hyderabad"/>
    <s v="Hyderabad"/>
    <s v="Office Supplies"/>
    <x v="0"/>
    <s v="Labels"/>
    <x v="7"/>
    <s v="Smart Labels 914"/>
    <s v="Second Class"/>
    <x v="0"/>
    <n v="1"/>
    <n v="3194.37"/>
    <n v="0.15"/>
    <n v="0.15"/>
    <s v="Valid"/>
    <n v="2715.21"/>
    <n v="2715.2145"/>
    <n v="1551.55"/>
    <n v="1163.6600000000001"/>
    <n v="1163.6645000000001"/>
    <n v="-1551.55"/>
    <s v="Paid"/>
    <s v="Paid"/>
    <s v="Completed"/>
    <x v="0"/>
    <s v="Clean"/>
  </r>
  <r>
    <s v="ORD-2025-10230"/>
    <n v="1"/>
    <s v="Unique"/>
    <s v="2025-06-28"/>
    <s v="07/04/2025"/>
    <d v="2025-06-28T00:00:00"/>
    <d v="2025-07-04T00:00:00"/>
    <x v="2"/>
    <x v="1"/>
    <s v="Valid"/>
    <s v="Valid"/>
    <n v="6"/>
    <s v="CUST-1943"/>
    <s v="Rohan Mehta"/>
    <s v="Rohan Mehta"/>
    <s v="Consumer"/>
    <x v="0"/>
    <s v="South"/>
    <x v="2"/>
    <s v="Telangana"/>
    <s v="Telangana"/>
    <s v="Hyderabad"/>
    <s v="Hyderabad"/>
    <s v="Furniture"/>
    <x v="1"/>
    <s v="Bookcases"/>
    <x v="10"/>
    <s v="Smart Bookcases 662"/>
    <s v="First Class"/>
    <x v="2"/>
    <n v="3"/>
    <n v="2886.23"/>
    <n v="0"/>
    <n v="0"/>
    <s v="Valid"/>
    <n v="8658.69"/>
    <n v="8658.69"/>
    <n v="5535.94"/>
    <n v="3122.75"/>
    <n v="3122.7500000000009"/>
    <n v="-5535.94"/>
    <s v="Refunded"/>
    <s v="Refunded"/>
    <s v="Returned"/>
    <x v="2"/>
    <s v="Clean"/>
  </r>
  <r>
    <s v="ORD-2024-10231"/>
    <n v="1"/>
    <s v="Unique"/>
    <s v="28-05-2024"/>
    <s v="03-06-2024"/>
    <d v="2024-05-28T00:00:00"/>
    <d v="2024-03-06T00:00:00"/>
    <x v="4"/>
    <x v="0"/>
    <s v="Valid"/>
    <s v="Valid"/>
    <n v="-83"/>
    <s v="CUST-3434"/>
    <s v="Neha Gupta"/>
    <s v="Neha Gupta"/>
    <s v="Small Business"/>
    <x v="1"/>
    <s v="North"/>
    <x v="0"/>
    <s v="Rajasthan"/>
    <s v="Rajasthan"/>
    <s v="Jaipur"/>
    <s v="Jaipur"/>
    <s v="Office Supplies"/>
    <x v="0"/>
    <s v="Paper"/>
    <x v="0"/>
    <s v="Eco Paper 937"/>
    <s v="Standard Class"/>
    <x v="3"/>
    <n v="8"/>
    <n v="1540.33"/>
    <n v="0.1"/>
    <n v="0.1"/>
    <s v="Valid"/>
    <n v="11090.38"/>
    <n v="11090.376"/>
    <n v="8840.9500000000007"/>
    <n v="2249.4299999999998"/>
    <n v="2249.4259999999995"/>
    <n v="-8840.9500000000007"/>
    <s v="Paid"/>
    <s v="Paid"/>
    <s v="Completed"/>
    <x v="0"/>
    <s v="Clean"/>
  </r>
  <r>
    <s v="ORD-2024-10232"/>
    <n v="2"/>
    <s v="Unique"/>
    <s v="2024-05-02"/>
    <s v="05/02/2024"/>
    <d v="2024-02-05T00:00:00"/>
    <d v="2024-05-02T00:00:00"/>
    <x v="6"/>
    <x v="0"/>
    <s v="Valid"/>
    <s v="Valid"/>
    <n v="87"/>
    <s v="CUST-9139"/>
    <s v="Ananya Rao"/>
    <s v="Ananya Rao"/>
    <s v="Corporate"/>
    <x v="2"/>
    <s v="North"/>
    <x v="0"/>
    <s v="Rajasthan"/>
    <s v="Rajasthan"/>
    <s v="Jaipur"/>
    <s v="Jaipur"/>
    <s v="Office  Supplies"/>
    <x v="0"/>
    <s v="Labels"/>
    <x v="7"/>
    <s v="Max Labels 370"/>
    <s v="First Class"/>
    <x v="2"/>
    <n v="7"/>
    <n v="2183.38"/>
    <n v="0.25"/>
    <n v="0.25"/>
    <s v="Valid"/>
    <n v="11462.74"/>
    <n v="11462.744999999999"/>
    <n v="7163.54"/>
    <n v="4299.2"/>
    <n v="4299.204999999999"/>
    <n v="-7163.54"/>
    <s v="Refunded"/>
    <s v="Refunded"/>
    <s v="Cancelled"/>
    <x v="1"/>
    <s v="Clean"/>
  </r>
  <r>
    <s v="ORD-2025-10233"/>
    <n v="1"/>
    <s v="Unique"/>
    <s v="2025-06-04"/>
    <s v="2025-06-10"/>
    <d v="2025-04-06T00:00:00"/>
    <d v="2025-10-06T00:00:00"/>
    <x v="5"/>
    <x v="1"/>
    <s v="Valid"/>
    <s v="Valid"/>
    <n v="183"/>
    <s v="CUST-5341"/>
    <s v="Rahul Verma"/>
    <s v="Rahul Verma"/>
    <s v="Consumer"/>
    <x v="0"/>
    <s v="South"/>
    <x v="2"/>
    <s v="Andhra Pradesh"/>
    <s v="Andhra Pradesh"/>
    <s v="Vijayawada"/>
    <s v="Vijayawada"/>
    <s v="Technology"/>
    <x v="2"/>
    <s v="Phones"/>
    <x v="11"/>
    <s v="Classic Phones 530"/>
    <s v="Standard Class"/>
    <x v="3"/>
    <n v="4"/>
    <n v="223.37"/>
    <n v="0.25"/>
    <n v="0.25"/>
    <s v="Valid"/>
    <n v="670.11"/>
    <n v="670.11"/>
    <n v="559.57000000000005"/>
    <n v="110.54"/>
    <n v="110.53999999999996"/>
    <n v="-559.57000000000005"/>
    <s v="Paid"/>
    <s v="Paid"/>
    <s v="Completed"/>
    <x v="0"/>
    <s v="Clean"/>
  </r>
  <r>
    <s v="ORD-2024-10234"/>
    <n v="1"/>
    <s v="Unique"/>
    <s v="14-10-2024"/>
    <s v="10/14/2024"/>
    <d v="2024-10-14T00:00:00"/>
    <d v="2024-10-14T00:00:00"/>
    <x v="10"/>
    <x v="0"/>
    <s v="Valid"/>
    <s v="Valid"/>
    <n v="0"/>
    <s v="CUST-3710"/>
    <s v="Vikram Iyer"/>
    <s v="Vikram Iyer"/>
    <s v="Corporate"/>
    <x v="2"/>
    <s v="South"/>
    <x v="2"/>
    <s v="Karnataka"/>
    <s v="Karnataka"/>
    <s v="Bengaluru"/>
    <s v="Bengaluru"/>
    <s v="Furniture"/>
    <x v="1"/>
    <s v="Bookcases"/>
    <x v="10"/>
    <s v="Smart Bookcases 328"/>
    <s v="Unknown"/>
    <x v="4"/>
    <n v="8"/>
    <n v="3904.59"/>
    <n v="0"/>
    <n v="0"/>
    <s v="Valid"/>
    <n v="31236.720000000001"/>
    <n v="31236.720000000001"/>
    <n v="26377.7"/>
    <n v="4859.0200000000004"/>
    <n v="4859.0200000000004"/>
    <n v="-26377.7"/>
    <s v="Paid"/>
    <s v="Paid"/>
    <s v="Completed"/>
    <x v="0"/>
    <s v="Clean"/>
  </r>
  <r>
    <s v="ORD-2024-10235"/>
    <n v="2"/>
    <s v="Unique"/>
    <s v="09/02/2024"/>
    <s v="03 Sep 2024"/>
    <d v="2024-09-02T00:00:00"/>
    <d v="2024-03-09T00:00:00"/>
    <x v="9"/>
    <x v="0"/>
    <s v="Valid"/>
    <s v="Valid"/>
    <n v="-177"/>
    <s v="CUST-9754"/>
    <s v="Kabir Singh"/>
    <s v="Kabir Singh"/>
    <s v="Home Office"/>
    <x v="3"/>
    <s v="North"/>
    <x v="0"/>
    <s v="Delhi"/>
    <s v="Delhi"/>
    <s v="New Delhi"/>
    <s v="New Delhi"/>
    <s v="Furniture"/>
    <x v="1"/>
    <s v="Furnishings"/>
    <x v="3"/>
    <s v="Eco Furnishings 981"/>
    <s v="First Class"/>
    <x v="2"/>
    <n v="9"/>
    <n v="1353.61"/>
    <n v="0.1"/>
    <n v="0.1"/>
    <s v="Valid"/>
    <n v="10964.24"/>
    <n v="10964.241"/>
    <n v="9262.4699999999993"/>
    <n v="1701.77"/>
    <n v="1701.7710000000006"/>
    <n v="-9262.4699999999993"/>
    <s v="Paid"/>
    <s v="Paid"/>
    <s v="Completed"/>
    <x v="0"/>
    <s v="Clean"/>
  </r>
  <r>
    <s v="ORD-2024-10236"/>
    <n v="2"/>
    <s v="Unique"/>
    <s v="11/02/2024"/>
    <s v="11/03/2024"/>
    <d v="2024-11-02T00:00:00"/>
    <d v="2024-11-03T00:00:00"/>
    <x v="3"/>
    <x v="0"/>
    <s v="Valid"/>
    <s v="Valid"/>
    <n v="1"/>
    <s v="CUST-6256"/>
    <s v="Rahul Verma"/>
    <s v="Rahul Verma"/>
    <s v="Small Business"/>
    <x v="1"/>
    <s v="West"/>
    <x v="3"/>
    <s v="Rajasthan"/>
    <s v="Rajasthan"/>
    <s v="Udaipur"/>
    <s v="Udaipur"/>
    <s v="Office Supplies"/>
    <x v="0"/>
    <s v="Storage"/>
    <x v="8"/>
    <s v="Basic Storage 195"/>
    <s v="Standard Class"/>
    <x v="3"/>
    <n v="6"/>
    <n v="2671.29"/>
    <n v="0.05"/>
    <n v="0.05"/>
    <s v="Valid"/>
    <n v="15226.35"/>
    <n v="15226.352999999999"/>
    <n v="11145.28"/>
    <n v="4081.07"/>
    <n v="4081.0729999999985"/>
    <n v="-11145.28"/>
    <s v="Paid"/>
    <s v="Paid"/>
    <s v="Completed"/>
    <x v="0"/>
    <s v="Clean"/>
  </r>
  <r>
    <s v="ORD-2024-10237"/>
    <n v="1"/>
    <s v="Unique"/>
    <s v="10/14/2024"/>
    <s v="21 Oct 2024"/>
    <d v="2024-10-14T00:00:00"/>
    <d v="2024-10-21T00:00:00"/>
    <x v="10"/>
    <x v="0"/>
    <s v="Valid"/>
    <s v="Valid"/>
    <n v="7"/>
    <s v="CUST-7113"/>
    <s v="Priya Menon"/>
    <s v="Priya Menon"/>
    <s v="Corporate"/>
    <x v="2"/>
    <s v="North"/>
    <x v="0"/>
    <s v="Uttar Pradesh"/>
    <s v="Uttar Pradesh"/>
    <s v="Noida"/>
    <s v="Noida"/>
    <s v="Furniture"/>
    <x v="1"/>
    <s v="Bookcases"/>
    <x v="10"/>
    <s v="Elite Bookcases 907"/>
    <s v="First Class"/>
    <x v="2"/>
    <n v="6"/>
    <n v="4062.78"/>
    <n v="0"/>
    <n v="0"/>
    <s v="Valid"/>
    <n v="24376.68"/>
    <n v="24376.68"/>
    <n v="18533.39"/>
    <n v="5843.29"/>
    <n v="5843.2900000000009"/>
    <n v="-18533.39"/>
    <s v="Paid"/>
    <s v="Paid"/>
    <s v="Completed"/>
    <x v="0"/>
    <s v="Clean"/>
  </r>
  <r>
    <s v="ORD-2024-10238"/>
    <n v="1"/>
    <s v="Unique"/>
    <s v="2024-08-27"/>
    <s v="2024-08-27"/>
    <d v="2024-08-27T00:00:00"/>
    <d v="2024-08-27T00:00:00"/>
    <x v="1"/>
    <x v="0"/>
    <s v="Valid"/>
    <s v="Valid"/>
    <n v="0"/>
    <s v="CUST-3827"/>
    <s v="Mira Das"/>
    <s v="Mira Das"/>
    <s v="Consumer"/>
    <x v="0"/>
    <s v="North"/>
    <x v="0"/>
    <s v="Haryana"/>
    <s v="Haryana"/>
    <s v="Gurugram"/>
    <s v="Gurugram"/>
    <s v="Technology"/>
    <x v="2"/>
    <s v="Copiers"/>
    <x v="6"/>
    <s v="Smart Copiers 471"/>
    <s v="Standard Class"/>
    <x v="3"/>
    <n v="9"/>
    <n v="2330.3000000000002"/>
    <n v="0"/>
    <n v="0"/>
    <s v="Valid"/>
    <n v="20972.7"/>
    <n v="20972.7"/>
    <n v="13504.88"/>
    <n v="7467.82"/>
    <n v="7467.8200000000015"/>
    <n v="-13504.88"/>
    <s v="Paid"/>
    <s v="Paid"/>
    <s v="Completed"/>
    <x v="0"/>
    <s v="Clean"/>
  </r>
  <r>
    <s v="ORD-2024-10239"/>
    <n v="1"/>
    <s v="Unique"/>
    <s v="01/12/2024"/>
    <s v="01/17/2024"/>
    <d v="2024-01-12T00:00:00"/>
    <d v="2024-01-17T00:00:00"/>
    <x v="8"/>
    <x v="0"/>
    <s v="Valid"/>
    <s v="Valid"/>
    <n v="5"/>
    <s v="CUST-2375"/>
    <s v="Arjun Bose"/>
    <s v="Arjun Bose"/>
    <s v="Consumer"/>
    <x v="0"/>
    <s v="South"/>
    <x v="2"/>
    <s v="Andhra Pradesh"/>
    <s v="Andhra Pradesh"/>
    <s v="Vijayawada"/>
    <s v="Vijayawada"/>
    <s v="Office Supplies"/>
    <x v="0"/>
    <s v="Storage"/>
    <x v="8"/>
    <s v="Prime Storage 625"/>
    <s v="First Class"/>
    <x v="2"/>
    <n v="7"/>
    <n v="4005.05"/>
    <n v="0.55000000000000004"/>
    <n v="0.55000000000000004"/>
    <s v="Valid"/>
    <n v="26633.58"/>
    <n v="12615.907499999999"/>
    <n v="18838.75"/>
    <n v="7794.83"/>
    <n v="-6222.8425000000007"/>
    <n v="-18838.75"/>
    <s v="Paid"/>
    <s v="Paid"/>
    <s v="Completed"/>
    <x v="0"/>
    <s v="Clean"/>
  </r>
  <r>
    <s v="ORD-2024-10240"/>
    <n v="1"/>
    <s v="Unique"/>
    <s v="21-09-2024"/>
    <s v="09/21/2024"/>
    <d v="2024-09-21T00:00:00"/>
    <d v="2024-09-21T00:00:00"/>
    <x v="9"/>
    <x v="0"/>
    <s v="Valid"/>
    <s v="Valid"/>
    <n v="0"/>
    <s v="CUST-2233"/>
    <s v="Kabir Singh"/>
    <s v="Kabir Singh"/>
    <s v="Corporate"/>
    <x v="2"/>
    <s v="South"/>
    <x v="2"/>
    <s v="Karnataka"/>
    <s v="Karnataka"/>
    <s v="Bengaluru"/>
    <s v="Bengaluru"/>
    <s v="Technology"/>
    <x v="2"/>
    <s v="Machines"/>
    <x v="12"/>
    <s v="Smart Machines 801"/>
    <s v="First Class"/>
    <x v="2"/>
    <n v="2"/>
    <n v="1960.06"/>
    <n v="0.2"/>
    <n v="0.2"/>
    <s v="Valid"/>
    <n v="3136.1"/>
    <n v="3136.096"/>
    <n v="2279.4899999999998"/>
    <n v="856.61"/>
    <n v="856.60600000000022"/>
    <n v="-2279.4899999999998"/>
    <s v="Paid"/>
    <s v="Paid"/>
    <s v="Completed"/>
    <x v="0"/>
    <s v="Clean"/>
  </r>
  <r>
    <s v="ORD-2024-10241"/>
    <n v="1"/>
    <s v="Unique"/>
    <s v="17 Dec 2024"/>
    <s v="23-12-2024"/>
    <d v="2024-12-17T00:00:00"/>
    <d v="2024-12-23T00:00:00"/>
    <x v="7"/>
    <x v="0"/>
    <s v="Valid"/>
    <s v="Valid"/>
    <n v="6"/>
    <s v="CUST-9778"/>
    <s v="Aarav Sharma"/>
    <s v="Aarav Sharma"/>
    <s v="Corporate"/>
    <x v="2"/>
    <s v="South"/>
    <x v="2"/>
    <s v="Telangana"/>
    <s v="Telangana"/>
    <s v="Hyderabad"/>
    <s v="Hyderabad"/>
    <s v="Office Supplies"/>
    <x v="0"/>
    <s v="Binders"/>
    <x v="9"/>
    <s v="Max Binders 170"/>
    <s v="First Class"/>
    <x v="2"/>
    <n v="9"/>
    <n v="2315.1"/>
    <n v="0"/>
    <n v="0"/>
    <s v="Valid"/>
    <n v="20835.900000000001"/>
    <n v="20835.899999999998"/>
    <n v="13928.19"/>
    <n v="6907.71"/>
    <n v="6907.7099999999973"/>
    <n v="-13928.19"/>
    <s v="Paid"/>
    <s v="Paid"/>
    <s v="Completed"/>
    <x v="0"/>
    <s v="Clean"/>
  </r>
  <r>
    <s v="ORD-2025-10242"/>
    <n v="1"/>
    <s v="Unique"/>
    <s v="07/06/2025"/>
    <s v="06-07-2025"/>
    <d v="2025-07-06T00:00:00"/>
    <d v="2025-06-07T00:00:00"/>
    <x v="0"/>
    <x v="1"/>
    <s v="Valid"/>
    <s v="Valid"/>
    <n v="-29"/>
    <s v="CUST-6949"/>
    <s v="Sneha Kapoor"/>
    <s v="Sneha Kapoor"/>
    <s v="Corporate"/>
    <x v="2"/>
    <s v="North"/>
    <x v="0"/>
    <s v="Haryana"/>
    <s v="Haryana"/>
    <s v="Gurugram"/>
    <s v="Gurugram"/>
    <s v="Office Supplies"/>
    <x v="0"/>
    <s v="Storage"/>
    <x v="8"/>
    <s v="Basic Storage 737"/>
    <s v="Standard Class"/>
    <x v="3"/>
    <n v="1"/>
    <n v="1617.2"/>
    <n v="0.25"/>
    <n v="0.25"/>
    <s v="Valid"/>
    <n v="1212.9000000000001"/>
    <n v="1212.9000000000001"/>
    <n v="690.52"/>
    <n v="522.38"/>
    <n v="522.38000000000011"/>
    <n v="-690.52"/>
    <s v="Pending"/>
    <s v="Pending"/>
    <s v="Returned"/>
    <x v="2"/>
    <s v="Clean"/>
  </r>
  <r>
    <s v="ORD-2025-10243"/>
    <n v="1"/>
    <s v="Unique"/>
    <s v="07 Feb 2025"/>
    <s v="2025-02-07"/>
    <d v="2025-07-02T00:00:00"/>
    <d v="2025-07-02T00:00:00"/>
    <x v="0"/>
    <x v="1"/>
    <s v="Valid"/>
    <s v="Valid"/>
    <n v="0"/>
    <s v="CUST-3430"/>
    <s v="Arjun Bose"/>
    <s v="Arjun Bose"/>
    <s v="Consumer"/>
    <x v="0"/>
    <s v="North"/>
    <x v="0"/>
    <s v="Uttar Pradesh"/>
    <s v="Uttar Pradesh"/>
    <s v="Noida"/>
    <s v="Noida"/>
    <s v="Office Supplies"/>
    <x v="0"/>
    <s v="Art"/>
    <x v="2"/>
    <s v="Classic Art 126"/>
    <s v="Second Class"/>
    <x v="0"/>
    <n v="3"/>
    <n v="1999.24"/>
    <n v="0.05"/>
    <n v="0.05"/>
    <s v="Valid"/>
    <n v="5697.83"/>
    <n v="5697.8339999999998"/>
    <n v="4251.5"/>
    <n v="1446.33"/>
    <n v="1446.3339999999998"/>
    <n v="-4251.5"/>
    <s v="Paid"/>
    <s v="Paid"/>
    <s v="Completed"/>
    <x v="0"/>
    <s v="Clean"/>
  </r>
  <r>
    <s v="ORD-2025-10244"/>
    <n v="2"/>
    <s v="Unique"/>
    <s v="29-07-2025"/>
    <s v="02 Aug 2025"/>
    <d v="2025-07-29T00:00:00"/>
    <d v="2025-02-08T00:00:00"/>
    <x v="0"/>
    <x v="1"/>
    <s v="Valid"/>
    <s v="Valid"/>
    <n v="-171"/>
    <s v="CUST-6310"/>
    <s v="Sneha Kapoor"/>
    <s v="Sneha Kapoor"/>
    <s v="Small Business"/>
    <x v="1"/>
    <s v="Unknown"/>
    <x v="4"/>
    <s v="Madhya Pradesh"/>
    <s v="Madhya Pradesh"/>
    <s v="Indore"/>
    <s v="Indore"/>
    <s v="Technology"/>
    <x v="2"/>
    <s v="Accessories"/>
    <x v="5"/>
    <s v="Prime Accessories 243"/>
    <s v="First Class"/>
    <x v="2"/>
    <n v="1"/>
    <n v="4499.46"/>
    <n v="0.1"/>
    <n v="0.1"/>
    <s v="Valid"/>
    <n v="4049.51"/>
    <n v="4049.5140000000001"/>
    <n v="2509.1999999999998"/>
    <n v="1540.31"/>
    <n v="1540.3140000000003"/>
    <n v="-2509.1999999999998"/>
    <s v="Paid"/>
    <s v="Paid"/>
    <s v="Completed"/>
    <x v="0"/>
    <s v="Clean"/>
  </r>
  <r>
    <s v="ORD-2024-10245"/>
    <n v="1"/>
    <s v="Unique"/>
    <s v="08/23/2024"/>
    <s v="2024-08-24"/>
    <d v="2024-08-23T00:00:00"/>
    <d v="2024-08-24T00:00:00"/>
    <x v="1"/>
    <x v="0"/>
    <s v="Valid"/>
    <s v="Valid"/>
    <n v="1"/>
    <s v="CUST-6008"/>
    <s v="Neha Gupta"/>
    <s v="Neha Gupta"/>
    <s v="Consumer"/>
    <x v="0"/>
    <s v="South"/>
    <x v="2"/>
    <s v="Telangana"/>
    <s v="Telangana"/>
    <s v="Hyderabad"/>
    <s v="Hyderabad"/>
    <s v="Furniture"/>
    <x v="1"/>
    <s v="Bookcases"/>
    <x v="10"/>
    <s v="Eco Bookcases 768"/>
    <s v="Same Day"/>
    <x v="1"/>
    <n v="6"/>
    <n v="1021.89"/>
    <n v="0"/>
    <n v="0"/>
    <s v="Valid"/>
    <n v="6131.34"/>
    <n v="6131.34"/>
    <n v="4060.88"/>
    <n v="2070.46"/>
    <n v="2070.46"/>
    <n v="-4060.88"/>
    <s v="Paid"/>
    <s v="Paid"/>
    <s v="Completed"/>
    <x v="0"/>
    <s v="Clean"/>
  </r>
  <r>
    <s v="ORD-2024-10246"/>
    <n v="2"/>
    <s v="Unique"/>
    <s v="10/18/2024"/>
    <s v="24-10-2024"/>
    <d v="2024-10-18T00:00:00"/>
    <d v="2024-10-24T00:00:00"/>
    <x v="10"/>
    <x v="0"/>
    <s v="Valid"/>
    <s v="Valid"/>
    <n v="6"/>
    <s v="CUST-1704"/>
    <s v="Neha Gupta"/>
    <s v="Neha Gupta"/>
    <s v="Home Office"/>
    <x v="3"/>
    <s v="South"/>
    <x v="2"/>
    <s v="Kerala"/>
    <s v="Kerala"/>
    <s v="Kochi"/>
    <s v="Kochi"/>
    <s v="Furniture"/>
    <x v="1"/>
    <s v="Chairs"/>
    <x v="4"/>
    <s v="Pro Chairs 316"/>
    <s v="Second Class"/>
    <x v="0"/>
    <n v="3"/>
    <n v="3275.93"/>
    <n v="0"/>
    <n v="0"/>
    <s v="Valid"/>
    <n v="9827.7900000000009"/>
    <n v="9827.7899999999991"/>
    <n v="5478.28"/>
    <n v="4349.51"/>
    <n v="4349.5099999999993"/>
    <n v="-5478.28"/>
    <s v="Paid"/>
    <s v="Paid"/>
    <s v="Completed"/>
    <x v="0"/>
    <s v="Clean"/>
  </r>
  <r>
    <s v="ORD-2024-10247"/>
    <n v="1"/>
    <s v="Unique"/>
    <s v="04 May 2024"/>
    <s v="09 May 2024"/>
    <d v="2024-04-05T00:00:00"/>
    <d v="2024-09-05T00:00:00"/>
    <x v="5"/>
    <x v="0"/>
    <s v="Valid"/>
    <s v="Valid"/>
    <n v="153"/>
    <s v="CUST-1827"/>
    <s v="Ananya Rao"/>
    <s v="Ananya Rao"/>
    <s v="Corporate"/>
    <x v="2"/>
    <s v="North"/>
    <x v="0"/>
    <s v="Punjab"/>
    <s v="Punjab"/>
    <s v="Ludhiana"/>
    <s v="Ludhiana"/>
    <s v="Technology"/>
    <x v="2"/>
    <s v="Machines"/>
    <x v="12"/>
    <s v="Classic Machines 819"/>
    <s v="Same Day"/>
    <x v="1"/>
    <n v="3"/>
    <n v="231.95"/>
    <n v="0.25"/>
    <n v="0.25"/>
    <s v="Valid"/>
    <n v="521.89"/>
    <n v="521.88749999999993"/>
    <n v="444.52"/>
    <n v="77.37"/>
    <n v="77.36749999999995"/>
    <n v="-444.52"/>
    <s v="Refunded"/>
    <s v="Refunded"/>
    <s v="Cancelled"/>
    <x v="1"/>
    <s v="Clean"/>
  </r>
  <r>
    <s v="ORD-2024-10248"/>
    <n v="1"/>
    <s v="Unique"/>
    <s v="07/25/2024"/>
    <s v="01 Aug 2024"/>
    <d v="2024-07-25T00:00:00"/>
    <d v="2024-01-08T00:00:00"/>
    <x v="0"/>
    <x v="0"/>
    <s v="Valid"/>
    <s v="Valid"/>
    <n v="-199"/>
    <s v="CUST-6663"/>
    <s v="Rahul Verma"/>
    <s v="Rahul Verma"/>
    <s v="Corporate"/>
    <x v="2"/>
    <s v="North"/>
    <x v="0"/>
    <s v="Rajasthan"/>
    <s v="Rajasthan"/>
    <s v="Jaipur"/>
    <s v="Jaipur"/>
    <s v="Technology"/>
    <x v="2"/>
    <s v="Accessories"/>
    <x v="5"/>
    <s v="Smart Accessories 572"/>
    <s v="Second Class"/>
    <x v="0"/>
    <n v="8"/>
    <n v="2493.4"/>
    <n v="0.25"/>
    <n v="0.25"/>
    <s v="Valid"/>
    <n v="14960.4"/>
    <n v="14960.400000000001"/>
    <n v="12500.84"/>
    <n v="2459.56"/>
    <n v="2459.5600000000013"/>
    <n v="-12500.84"/>
    <s v="Paid"/>
    <s v="Paid"/>
    <s v="Completed"/>
    <x v="0"/>
    <s v="Clean"/>
  </r>
  <r>
    <s v="ORD-2024-10249"/>
    <n v="1"/>
    <s v="Unique"/>
    <s v="06/02/2024"/>
    <s v="07-06-2024"/>
    <d v="2024-06-02T00:00:00"/>
    <d v="2024-07-06T00:00:00"/>
    <x v="2"/>
    <x v="0"/>
    <s v="Valid"/>
    <s v="Valid"/>
    <n v="34"/>
    <s v="CUST-6278"/>
    <s v="Rohan Mehta"/>
    <s v="Rohan Mehta"/>
    <s v="Home Office"/>
    <x v="3"/>
    <s v="East"/>
    <x v="1"/>
    <s v="Odisha"/>
    <s v="Odisha"/>
    <s v="Bhubaneswar"/>
    <s v="Bhubaneswar"/>
    <s v="Office Supplies"/>
    <x v="0"/>
    <s v="Labels"/>
    <x v="7"/>
    <s v="Basic Labels 432"/>
    <s v="Second Class"/>
    <x v="0"/>
    <n v="9"/>
    <n v="787.91"/>
    <n v="0.15"/>
    <n v="0.15"/>
    <s v="Valid"/>
    <n v="6027.51"/>
    <n v="6027.5114999999996"/>
    <n v="4883.82"/>
    <n v="1143.69"/>
    <n v="1143.6914999999999"/>
    <n v="-4883.82"/>
    <s v="Paid"/>
    <s v="Paid"/>
    <s v="Completed"/>
    <x v="0"/>
    <s v="Clean"/>
  </r>
  <r>
    <s v="ORD-2025-10250"/>
    <n v="1"/>
    <s v="Unique"/>
    <s v="08/01/2025"/>
    <s v="08/02/2025"/>
    <d v="2025-08-01T00:00:00"/>
    <d v="2025-08-02T00:00:00"/>
    <x v="1"/>
    <x v="1"/>
    <s v="Valid"/>
    <s v="Valid"/>
    <n v="1"/>
    <s v="CUST-2305"/>
    <s v="Mira Das"/>
    <s v="Mira Das"/>
    <s v="Corporate"/>
    <x v="2"/>
    <s v="North"/>
    <x v="0"/>
    <s v="Rajasthan"/>
    <s v="Rajasthan"/>
    <s v="Jaipur"/>
    <s v="Jaipur"/>
    <s v="Furniture"/>
    <x v="1"/>
    <s v="Furnishings"/>
    <x v="3"/>
    <s v="Classic Furnishings 378"/>
    <s v="First Class"/>
    <x v="2"/>
    <n v="4"/>
    <n v="2790.29"/>
    <n v="0.2"/>
    <n v="0.2"/>
    <s v="Valid"/>
    <n v="8928.93"/>
    <n v="8928.9279999999999"/>
    <n v="5634.38"/>
    <n v="3294.55"/>
    <n v="3294.5479999999998"/>
    <n v="-5634.38"/>
    <s v="Paid"/>
    <s v="Paid"/>
    <s v="Completed"/>
    <x v="0"/>
    <s v="Clean"/>
  </r>
  <r>
    <s v="ORD-2024-10251"/>
    <n v="1"/>
    <s v="Exact Duplicate"/>
    <s v="02/21/2024"/>
    <s v="02/27/2024"/>
    <d v="2024-02-21T00:00:00"/>
    <d v="2024-02-27T00:00:00"/>
    <x v="6"/>
    <x v="0"/>
    <s v="Valid"/>
    <s v="Valid"/>
    <n v="6"/>
    <s v="CUST-5351"/>
    <s v="Arjun Bose"/>
    <s v="Arjun Bose"/>
    <s v="Small Business"/>
    <x v="1"/>
    <s v="East"/>
    <x v="1"/>
    <s v="West Bengal"/>
    <s v="West Bengal"/>
    <s v="Kolkata"/>
    <s v="Kolkata"/>
    <s v="Furniture"/>
    <x v="1"/>
    <s v="Furnishings"/>
    <x v="3"/>
    <s v="Prime Furnishings 781"/>
    <s v="Standard Class"/>
    <x v="3"/>
    <n v="5"/>
    <n v="3373.86"/>
    <n v="0.15"/>
    <n v="0.15"/>
    <s v="Valid"/>
    <n v="14338.9"/>
    <n v="14338.904999999999"/>
    <n v="11897.65"/>
    <n v="2441.25"/>
    <n v="2441.2549999999992"/>
    <n v="-11897.65"/>
    <s v="Pending"/>
    <s v="Pending"/>
    <s v="Returned"/>
    <x v="2"/>
    <s v="Clean"/>
  </r>
  <r>
    <s v="ORD-2025-10252"/>
    <n v="1"/>
    <s v="Unique"/>
    <s v="2025-04-06"/>
    <s v="04/10/2025"/>
    <d v="2025-06-04T00:00:00"/>
    <d v="2025-04-10T00:00:00"/>
    <x v="2"/>
    <x v="1"/>
    <s v="Valid"/>
    <s v="Valid"/>
    <n v="-55"/>
    <s v="CUST-6268"/>
    <s v="Ananya Rao"/>
    <s v="Ananya Rao"/>
    <s v="Corporate"/>
    <x v="2"/>
    <s v="West"/>
    <x v="3"/>
    <s v="Gujarat"/>
    <s v="Gujarat"/>
    <s v="Ahmedabad"/>
    <s v="Ahmedabad"/>
    <s v="Furniture"/>
    <x v="1"/>
    <s v="Tables"/>
    <x v="1"/>
    <s v="Prime Tables 263"/>
    <s v="Second Class"/>
    <x v="0"/>
    <n v="6"/>
    <n v="1022.16"/>
    <n v="0"/>
    <n v="0"/>
    <s v="Valid"/>
    <n v="6132.96"/>
    <n v="6132.96"/>
    <n v="4881.1000000000004"/>
    <n v="1251.8599999999999"/>
    <n v="1251.8599999999997"/>
    <n v="-4881.1000000000004"/>
    <s v="Paid"/>
    <s v="Paid"/>
    <s v="Completed"/>
    <x v="0"/>
    <s v="Clean"/>
  </r>
  <r>
    <s v="ORD-2025-10253"/>
    <n v="1"/>
    <s v="Unique"/>
    <s v="25-06-2025"/>
    <s v="2025-06-28"/>
    <d v="2025-06-25T00:00:00"/>
    <d v="2025-06-28T00:00:00"/>
    <x v="2"/>
    <x v="1"/>
    <s v="Valid"/>
    <s v="Valid"/>
    <n v="3"/>
    <s v="CUST-2103"/>
    <s v="Arjun Bose"/>
    <s v="Arjun Bose"/>
    <s v="Corporate"/>
    <x v="2"/>
    <s v="North"/>
    <x v="0"/>
    <s v="Haryana"/>
    <s v="Haryana"/>
    <s v="Gurugram"/>
    <s v="Gurugram"/>
    <s v="Office Supplies"/>
    <x v="0"/>
    <s v="Storage"/>
    <x v="8"/>
    <s v="Basic Storage 269"/>
    <s v="First Class"/>
    <x v="2"/>
    <n v="2"/>
    <n v="1455.92"/>
    <n v="0.2"/>
    <n v="0.2"/>
    <s v="Valid"/>
    <n v="2329.4699999999998"/>
    <n v="2329.4720000000002"/>
    <n v="1603.62"/>
    <n v="725.85"/>
    <n v="725.85200000000032"/>
    <n v="-1603.62"/>
    <s v="Pending"/>
    <s v="Pending"/>
    <s v="Returned"/>
    <x v="2"/>
    <s v="Clean"/>
  </r>
  <r>
    <s v="ORD-2024-10254"/>
    <n v="1"/>
    <s v="Unique"/>
    <s v="2024-09-12"/>
    <s v="09/13/2024"/>
    <d v="2024-12-09T00:00:00"/>
    <d v="2024-09-13T00:00:00"/>
    <x v="7"/>
    <x v="0"/>
    <s v="Valid"/>
    <s v="Valid"/>
    <n v="-87"/>
    <s v="CUST-5394"/>
    <s v="Priya Menon"/>
    <s v="Priya Menon"/>
    <s v="Small Business"/>
    <x v="1"/>
    <s v="North"/>
    <x v="0"/>
    <s v="Rajasthan"/>
    <s v="Rajasthan"/>
    <s v="Jaipur"/>
    <s v="Jaipur"/>
    <s v="Technology"/>
    <x v="2"/>
    <s v="Phones"/>
    <x v="11"/>
    <s v="Classic Phones 442"/>
    <s v="Same Day"/>
    <x v="1"/>
    <n v="6"/>
    <n v="832.79"/>
    <n v="0.05"/>
    <n v="0.05"/>
    <s v="Valid"/>
    <n v="4746.8999999999996"/>
    <n v="4746.9029999999993"/>
    <n v="2825.38"/>
    <n v="1472.89"/>
    <n v="1921.5229999999992"/>
    <n v="-2825.38"/>
    <s v="Refunded"/>
    <s v="Refunded"/>
    <s v="Cancelled"/>
    <x v="1"/>
    <s v="Clean"/>
  </r>
  <r>
    <s v="ORD-2025-10255"/>
    <n v="1"/>
    <s v="Unique"/>
    <s v="01/01/2025"/>
    <s v="03-01-2025"/>
    <d v="2025-01-01T00:00:00"/>
    <d v="2025-03-01T00:00:00"/>
    <x v="8"/>
    <x v="1"/>
    <s v="Valid"/>
    <s v="Valid"/>
    <n v="59"/>
    <s v="CUST-6853"/>
    <s v="Ananya Rao"/>
    <s v="Ananya Rao"/>
    <s v="Consumer"/>
    <x v="0"/>
    <s v="West"/>
    <x v="3"/>
    <s v="Madhya Pradesh"/>
    <s v="Madhya Pradesh"/>
    <s v="Indore"/>
    <s v="Indore"/>
    <s v="Technology"/>
    <x v="2"/>
    <s v="Accessories"/>
    <x v="5"/>
    <s v="Elite Accessories 978"/>
    <s v="Same Day"/>
    <x v="1"/>
    <n v="7"/>
    <n v="1000.55"/>
    <n v="0.2"/>
    <n v="0.2"/>
    <s v="Valid"/>
    <n v="5603.08"/>
    <n v="5603.08"/>
    <n v="3132.52"/>
    <n v="2470.56"/>
    <n v="2470.56"/>
    <n v="-3132.52"/>
    <s v="Paid"/>
    <s v="Paid"/>
    <s v="Returned"/>
    <x v="2"/>
    <s v="Clean"/>
  </r>
  <r>
    <s v="ORD-2025-10256"/>
    <n v="1"/>
    <s v="Unique"/>
    <s v="2025-02-04"/>
    <s v="02/10/2025"/>
    <d v="2025-04-02T00:00:00"/>
    <d v="2025-02-10T00:00:00"/>
    <x v="5"/>
    <x v="1"/>
    <s v="Valid"/>
    <s v="Valid"/>
    <n v="-51"/>
    <s v="CUST-1549"/>
    <s v="Isha Nair"/>
    <s v="Isha Nair"/>
    <s v="Corporate"/>
    <x v="2"/>
    <s v="West"/>
    <x v="3"/>
    <s v="Maharashtra"/>
    <s v="Maharashtra"/>
    <s v="Mumbai"/>
    <s v="Mumbai"/>
    <s v="Technology"/>
    <x v="2"/>
    <s v="Phones"/>
    <x v="11"/>
    <s v="Eco Phones 132"/>
    <s v="First Class"/>
    <x v="2"/>
    <n v="7"/>
    <n v="1830"/>
    <n v="0"/>
    <n v="0"/>
    <s v="Valid"/>
    <n v="12810"/>
    <n v="12810"/>
    <n v="9334.1200000000008"/>
    <n v="3475.88"/>
    <n v="3475.8799999999992"/>
    <n v="-9334.1200000000008"/>
    <s v="Paid"/>
    <s v="Paid"/>
    <s v="Completed"/>
    <x v="0"/>
    <s v="Clean"/>
  </r>
  <r>
    <s v="ORD-2024-10257"/>
    <n v="1"/>
    <s v="Unique"/>
    <s v="2024-11-05"/>
    <s v="03 Nov 2024"/>
    <d v="2024-05-11T00:00:00"/>
    <d v="2024-03-11T00:00:00"/>
    <x v="4"/>
    <x v="0"/>
    <s v="Valid"/>
    <s v="Valid"/>
    <n v="-61"/>
    <s v="CUST-8411"/>
    <s v="Ananya Rao"/>
    <s v="Ananya Rao"/>
    <s v="Consumer"/>
    <x v="0"/>
    <s v="East"/>
    <x v="1"/>
    <s v="West Bengal"/>
    <s v="West Bengal"/>
    <s v="Kolkata"/>
    <s v="Kolkata"/>
    <s v="Furniture"/>
    <x v="1"/>
    <s v="Tables"/>
    <x v="1"/>
    <s v="Prime Tables 481"/>
    <s v="First Class"/>
    <x v="2"/>
    <n v="9"/>
    <n v="2260.61"/>
    <n v="0.05"/>
    <n v="0.05"/>
    <s v="Valid"/>
    <n v="19328.22"/>
    <n v="19328.215500000002"/>
    <n v="12039.5"/>
    <n v="7288.72"/>
    <n v="7288.7155000000021"/>
    <n v="-12039.5"/>
    <s v="Paid"/>
    <s v="Paid"/>
    <s v="Completed"/>
    <x v="0"/>
    <s v="Clean"/>
  </r>
  <r>
    <s v="ORD-2025-10258"/>
    <n v="1"/>
    <s v="Unique"/>
    <s v="2025-08-09"/>
    <s v="2025-08-12"/>
    <d v="2025-09-08T00:00:00"/>
    <d v="2025-12-08T00:00:00"/>
    <x v="9"/>
    <x v="1"/>
    <s v="Valid"/>
    <s v="Valid"/>
    <n v="91"/>
    <s v="CUST-5615"/>
    <s v="Diya Patel"/>
    <s v="Diya Patel"/>
    <s v="Corporate"/>
    <x v="2"/>
    <s v="South"/>
    <x v="2"/>
    <s v="Karnataka"/>
    <s v="Karnataka"/>
    <s v="Bengaluru"/>
    <s v="Bengaluru"/>
    <s v="Technology"/>
    <x v="2"/>
    <s v="Accessories"/>
    <x v="5"/>
    <s v="Smart Accessories 180"/>
    <s v="Second Class"/>
    <x v="0"/>
    <n v="2"/>
    <n v="3237.27"/>
    <n v="0"/>
    <n v="0"/>
    <s v="Valid"/>
    <n v="6474.54"/>
    <n v="6474.54"/>
    <n v="5095.91"/>
    <n v="1378.63"/>
    <n v="1378.63"/>
    <n v="-5095.91"/>
    <s v="Paid"/>
    <s v="Paid"/>
    <s v="Cancelled"/>
    <x v="1"/>
    <s v="Clean"/>
  </r>
  <r>
    <s v="ORD-2024-10259"/>
    <n v="1"/>
    <s v="Unique"/>
    <s v="2024-12-30"/>
    <s v="2025-01-04"/>
    <d v="2024-12-30T00:00:00"/>
    <d v="2025-04-01T00:00:00"/>
    <x v="7"/>
    <x v="0"/>
    <s v="Valid"/>
    <s v="Valid"/>
    <n v="92"/>
    <s v="CUST-8467"/>
    <s v="Sneha Kapoor"/>
    <s v="Sneha Kapoor"/>
    <s v="Corporate"/>
    <x v="2"/>
    <s v="South"/>
    <x v="2"/>
    <s v="Tamil Nadu"/>
    <s v="Tamil Nadu"/>
    <s v="Chennai"/>
    <s v="Chennai"/>
    <s v="Furniture"/>
    <x v="1"/>
    <s v="Tables"/>
    <x v="1"/>
    <s v="Smart Tables 774"/>
    <s v="Same Day"/>
    <x v="1"/>
    <n v="2"/>
    <n v="3720.07"/>
    <n v="0.25"/>
    <n v="0.25"/>
    <s v="Valid"/>
    <n v="5580.11"/>
    <n v="5580.1050000000005"/>
    <n v="4307.01"/>
    <n v="1273.0999999999999"/>
    <n v="1273.0950000000003"/>
    <n v="-4307.01"/>
    <s v="Paid"/>
    <s v="Paid"/>
    <s v="Completed"/>
    <x v="0"/>
    <s v="Clean"/>
  </r>
  <r>
    <s v="ORD-2024-10260"/>
    <n v="1"/>
    <s v="Unique"/>
    <s v="06/21/2024"/>
    <s v="29 Jun 2024"/>
    <d v="2024-06-21T00:00:00"/>
    <d v="2024-06-29T00:00:00"/>
    <x v="2"/>
    <x v="0"/>
    <s v="Valid"/>
    <s v="Valid"/>
    <n v="8"/>
    <s v="CUST-5174"/>
    <s v="Neha Gupta"/>
    <s v="Neha Gupta"/>
    <s v="Consumer"/>
    <x v="0"/>
    <s v="South"/>
    <x v="2"/>
    <s v="Tamil Nadu"/>
    <s v="Tamil Nadu"/>
    <s v="Chennai"/>
    <s v="Chennai"/>
    <s v="Technology"/>
    <x v="2"/>
    <s v="Machines"/>
    <x v="12"/>
    <s v="Prime Machines 793"/>
    <s v="Standard Class"/>
    <x v="3"/>
    <n v="8"/>
    <n v="2853.92"/>
    <n v="0.2"/>
    <n v="0.2"/>
    <s v="Valid"/>
    <n v="18265.09"/>
    <n v="18265.088"/>
    <n v="10437.14"/>
    <n v="7827.95"/>
    <n v="7827.9480000000003"/>
    <n v="-10437.14"/>
    <s v="Paid"/>
    <s v="Paid"/>
    <s v="Completed"/>
    <x v="0"/>
    <s v="Clean"/>
  </r>
  <r>
    <s v="ORD-2025-10261"/>
    <n v="2"/>
    <s v="Unique"/>
    <s v="2025-09-23"/>
    <s v="09/27/2025"/>
    <d v="2025-09-23T00:00:00"/>
    <d v="2025-09-27T00:00:00"/>
    <x v="9"/>
    <x v="1"/>
    <s v="Valid"/>
    <s v="Valid"/>
    <n v="4"/>
    <s v="CUST-3543"/>
    <s v="Aditi Sen"/>
    <s v="Aditi Sen"/>
    <s v="Corporate"/>
    <x v="2"/>
    <s v="East"/>
    <x v="1"/>
    <s v="West Bengal"/>
    <s v="West Bengal"/>
    <s v="Kolkata"/>
    <s v="Kolkata"/>
    <s v="Office Supplies"/>
    <x v="0"/>
    <s v="Binders"/>
    <x v="9"/>
    <s v="Elite Binders 827"/>
    <s v="Same Day"/>
    <x v="1"/>
    <n v="7"/>
    <n v="2897.12"/>
    <n v="0.25"/>
    <n v="0.25"/>
    <s v="Valid"/>
    <n v="15209.88"/>
    <n v="15209.880000000001"/>
    <n v="10891.15"/>
    <n v="4318.7299999999996"/>
    <n v="4318.7300000000014"/>
    <n v="-10891.15"/>
    <s v="Failed"/>
    <s v="Failed"/>
    <s v="Returned"/>
    <x v="2"/>
    <s v="Clean"/>
  </r>
  <r>
    <s v="ORD-2025-10262"/>
    <n v="1"/>
    <s v="Unique"/>
    <s v="06/18/2025"/>
    <s v="06/24/2025"/>
    <d v="2025-06-18T00:00:00"/>
    <d v="2025-06-24T00:00:00"/>
    <x v="2"/>
    <x v="1"/>
    <s v="Valid"/>
    <s v="Valid"/>
    <n v="6"/>
    <s v="CUST-7623"/>
    <s v="Sneha Kapoor"/>
    <s v="Sneha Kapoor"/>
    <s v="Corporate"/>
    <x v="2"/>
    <s v="North"/>
    <x v="0"/>
    <s v="Rajasthan"/>
    <s v="Rajasthan"/>
    <s v="Jaipur"/>
    <s v="Jaipur"/>
    <s v="Office Supplies"/>
    <x v="0"/>
    <s v="Labels"/>
    <x v="7"/>
    <s v="Prime Labels 326"/>
    <s v="Standard Class"/>
    <x v="3"/>
    <n v="3"/>
    <n v="686.74"/>
    <n v="0.2"/>
    <n v="0.2"/>
    <s v="Valid"/>
    <n v="1648.18"/>
    <n v="1648.1760000000004"/>
    <n v="987.91"/>
    <n v="660.27"/>
    <n v="660.26600000000042"/>
    <n v="-987.91"/>
    <s v="Failed"/>
    <s v="Failed"/>
    <s v="Cancelled"/>
    <x v="1"/>
    <s v="Clean"/>
  </r>
  <r>
    <s v="ORD-2025-10263"/>
    <n v="1"/>
    <s v="Unique"/>
    <s v="2025-05-26"/>
    <s v="01 Jun 2025"/>
    <d v="2025-05-26T00:00:00"/>
    <d v="2025-01-06T00:00:00"/>
    <x v="4"/>
    <x v="1"/>
    <s v="Valid"/>
    <s v="Valid"/>
    <n v="-140"/>
    <s v="CUST-6153"/>
    <s v="Arjun Bose"/>
    <s v="Arjun Bose"/>
    <s v="Small Business"/>
    <x v="1"/>
    <s v="North"/>
    <x v="0"/>
    <s v="Delhi"/>
    <s v="Delhi"/>
    <s v="New Delhi"/>
    <s v="New Delhi"/>
    <s v="Technology"/>
    <x v="2"/>
    <s v="Phones"/>
    <x v="11"/>
    <s v="Eco Phones 245"/>
    <s v="Same Day"/>
    <x v="1"/>
    <n v="4"/>
    <n v="3349.86"/>
    <n v="0"/>
    <n v="0"/>
    <s v="Valid"/>
    <n v="13399.44"/>
    <n v="13399.44"/>
    <n v="8581.35"/>
    <n v="4818.09"/>
    <n v="4818.09"/>
    <n v="-8581.35"/>
    <s v="Pending"/>
    <s v="Pending"/>
    <s v="Returned"/>
    <x v="2"/>
    <s v="Clean"/>
  </r>
  <r>
    <s v="ORD-2025-10264"/>
    <n v="1"/>
    <s v="Unique"/>
    <s v="06 Aug 2025"/>
    <s v="10-08-2025"/>
    <d v="2025-06-08T00:00:00"/>
    <d v="2025-10-08T00:00:00"/>
    <x v="2"/>
    <x v="1"/>
    <s v="Valid"/>
    <s v="Valid"/>
    <n v="122"/>
    <s v="CUST-8265"/>
    <s v="Rohan Mehta"/>
    <s v="Rohan Mehta"/>
    <s v="Small Business"/>
    <x v="1"/>
    <s v="North"/>
    <x v="0"/>
    <s v="Delhi"/>
    <s v="Delhi"/>
    <s v="New Delhi"/>
    <s v="New Delhi"/>
    <s v="Office Supplies"/>
    <x v="0"/>
    <s v="Binders"/>
    <x v="9"/>
    <s v="Smart Binders 905"/>
    <s v="Second Class"/>
    <x v="0"/>
    <n v="9"/>
    <n v="4042.45"/>
    <n v="0.1"/>
    <n v="0.1"/>
    <s v="Valid"/>
    <n v="32743.84"/>
    <n v="32743.844999999998"/>
    <n v="22452.05"/>
    <n v="10291.790000000001"/>
    <n v="10291.794999999998"/>
    <n v="-22452.05"/>
    <s v="Pending"/>
    <s v="Pending"/>
    <s v="Returned"/>
    <x v="2"/>
    <s v="Clean"/>
  </r>
  <r>
    <s v="ORD-2024-10265"/>
    <n v="1"/>
    <s v="Unique"/>
    <s v="16-05-2024"/>
    <s v="05/21/2024"/>
    <d v="2024-05-16T00:00:00"/>
    <d v="2024-05-21T00:00:00"/>
    <x v="4"/>
    <x v="0"/>
    <s v="Valid"/>
    <s v="Valid"/>
    <n v="5"/>
    <s v="CUST-4750"/>
    <s v="Diya Patel"/>
    <s v="Diya Patel"/>
    <s v="Small Business"/>
    <x v="1"/>
    <s v="East"/>
    <x v="1"/>
    <s v="Bihar"/>
    <s v="Bihar"/>
    <s v="Patna"/>
    <s v="Patna"/>
    <s v="Technology"/>
    <x v="2"/>
    <s v="Copiers"/>
    <x v="6"/>
    <s v="Pro Copiers 599"/>
    <s v="Standard Class"/>
    <x v="3"/>
    <n v="4"/>
    <n v="1503.07"/>
    <n v="0"/>
    <n v="0"/>
    <s v="Valid"/>
    <n v="6012.28"/>
    <n v="6012.28"/>
    <n v="3927.64"/>
    <n v="2084.64"/>
    <n v="2084.64"/>
    <n v="-3927.64"/>
    <s v="Paid"/>
    <s v="Paid"/>
    <s v="Completed"/>
    <x v="0"/>
    <s v="Clean"/>
  </r>
  <r>
    <s v="ORD-2024-10266"/>
    <n v="1"/>
    <s v="Unique"/>
    <s v="14 Nov 2024"/>
    <s v="11/22/2024"/>
    <d v="2024-11-14T00:00:00"/>
    <d v="2024-11-22T00:00:00"/>
    <x v="3"/>
    <x v="0"/>
    <s v="Valid"/>
    <s v="Valid"/>
    <n v="8"/>
    <s v="CUST-3974"/>
    <s v="Priya Menon"/>
    <s v="Priya Menon"/>
    <s v="Corporate"/>
    <x v="2"/>
    <s v="East"/>
    <x v="1"/>
    <s v="Bihar"/>
    <s v="Bihar"/>
    <s v="Patna"/>
    <s v="Patna"/>
    <s v="Furniture"/>
    <x v="1"/>
    <s v="Bookcases"/>
    <x v="10"/>
    <s v="Basic Bookcases 570"/>
    <s v="Same Day"/>
    <x v="1"/>
    <n v="1"/>
    <n v="582.37"/>
    <n v="0.15"/>
    <n v="0.15"/>
    <s v="Valid"/>
    <n v="495.01"/>
    <n v="495.0145"/>
    <n v="285.13"/>
    <n v="209.88"/>
    <n v="209.8845"/>
    <n v="-285.13"/>
    <s v="Refunded"/>
    <s v="Refunded"/>
    <s v="Cancelled"/>
    <x v="1"/>
    <s v="Clean"/>
  </r>
  <r>
    <s v="ORD-2025-10267"/>
    <n v="1"/>
    <s v="Unique"/>
    <s v="2025-05-03"/>
    <s v="2025-05-10"/>
    <d v="2025-03-05T00:00:00"/>
    <d v="2025-10-05T00:00:00"/>
    <x v="11"/>
    <x v="1"/>
    <s v="Valid"/>
    <s v="Valid"/>
    <n v="214"/>
    <s v="CUST-7114"/>
    <s v="Neha Gupta"/>
    <s v="Neha Gupta"/>
    <s v="Home Office"/>
    <x v="3"/>
    <s v="West"/>
    <x v="3"/>
    <s v="Maharashtra"/>
    <s v="Maharashtra"/>
    <s v="Mumbai"/>
    <s v="Mumbai"/>
    <s v="Office Supplies"/>
    <x v="0"/>
    <s v="Storage"/>
    <x v="8"/>
    <s v="Classic Storage 926"/>
    <s v="Second Class"/>
    <x v="0"/>
    <n v="3"/>
    <n v="4339.24"/>
    <n v="0"/>
    <n v="0"/>
    <s v="Valid"/>
    <n v="13017.72"/>
    <n v="13017.72"/>
    <n v="10170.57"/>
    <n v="2847.15"/>
    <n v="2847.1499999999996"/>
    <n v="-10170.57"/>
    <s v="Paid"/>
    <s v="Paid"/>
    <s v="Completed"/>
    <x v="0"/>
    <s v="Clean"/>
  </r>
  <r>
    <s v="ORD-2025-10268"/>
    <n v="1"/>
    <s v="Unique"/>
    <s v="28 May 2025"/>
    <s v="04-06-2025"/>
    <d v="2025-05-28T00:00:00"/>
    <d v="2025-04-06T00:00:00"/>
    <x v="4"/>
    <x v="1"/>
    <s v="Valid"/>
    <s v="Valid"/>
    <n v="-52"/>
    <s v="CUST-4431"/>
    <s v="Diya Patel"/>
    <s v="Diya Patel"/>
    <s v="Corporate"/>
    <x v="2"/>
    <s v="East"/>
    <x v="1"/>
    <s v="Jharkhand"/>
    <s v="Jharkhand"/>
    <s v="Ranchi"/>
    <s v="Ranchi"/>
    <s v="Furniture"/>
    <x v="1"/>
    <s v="Furnishings"/>
    <x v="3"/>
    <s v="Basic Furnishings 372"/>
    <s v="First Class"/>
    <x v="2"/>
    <n v="4"/>
    <n v="261.8"/>
    <n v="0.25"/>
    <n v="0.25"/>
    <s v="Valid"/>
    <n v="785.4"/>
    <n v="785.40000000000009"/>
    <n v="557.22"/>
    <n v="228.18"/>
    <n v="228.18000000000006"/>
    <n v="-557.22"/>
    <s v="Paid"/>
    <s v="Paid"/>
    <s v="Completed"/>
    <x v="0"/>
    <s v="Clean"/>
  </r>
  <r>
    <s v="ORD-2025-10269"/>
    <n v="1"/>
    <s v="Unique"/>
    <s v="08/17/2025"/>
    <s v="08/17/2025"/>
    <d v="2025-08-17T00:00:00"/>
    <d v="2025-08-17T00:00:00"/>
    <x v="1"/>
    <x v="1"/>
    <s v="Valid"/>
    <s v="Valid"/>
    <n v="0"/>
    <s v="CUST-1488"/>
    <s v="Aarav Sharma"/>
    <s v="Aarav Sharma"/>
    <s v="Home Office"/>
    <x v="3"/>
    <s v="North"/>
    <x v="0"/>
    <s v="Punjab"/>
    <s v="Punjab"/>
    <s v="Ludhiana"/>
    <s v="Ludhiana"/>
    <s v="Technology"/>
    <x v="2"/>
    <s v="Accessories"/>
    <x v="5"/>
    <s v="Prime Accessories 367"/>
    <s v="First Class"/>
    <x v="2"/>
    <n v="7"/>
    <n v="632.20000000000005"/>
    <n v="0.25"/>
    <n v="0.25"/>
    <s v="Valid"/>
    <n v="3319.05"/>
    <n v="3319.05"/>
    <n v="2124.6"/>
    <n v="1194.45"/>
    <n v="1194.4500000000003"/>
    <n v="-2124.6"/>
    <s v="Paid"/>
    <s v="Paid"/>
    <s v="Completed"/>
    <x v="0"/>
    <s v="Clean"/>
  </r>
  <r>
    <s v="ORD-2025-10270"/>
    <n v="1"/>
    <s v="Unique"/>
    <s v="02/10/2025"/>
    <s v="02/12/2025"/>
    <d v="2025-02-10T00:00:00"/>
    <d v="2025-02-12T00:00:00"/>
    <x v="6"/>
    <x v="1"/>
    <s v="Valid"/>
    <s v="Valid"/>
    <n v="2"/>
    <s v="CUST-1586"/>
    <s v="Rahul Verma"/>
    <s v="Rahul Verma"/>
    <s v="Small Business"/>
    <x v="1"/>
    <s v="West"/>
    <x v="3"/>
    <s v="Rajasthan"/>
    <s v="Rajasthan"/>
    <s v="Udaipur"/>
    <s v="Udaipur"/>
    <s v="Furniture"/>
    <x v="1"/>
    <s v="Tables"/>
    <x v="1"/>
    <s v="Max Tables 526"/>
    <s v="Same Day"/>
    <x v="1"/>
    <n v="1"/>
    <n v="1925.86"/>
    <n v="0"/>
    <n v="0"/>
    <s v="Valid"/>
    <n v="1925.86"/>
    <n v="1925.86"/>
    <n v="1321.89"/>
    <n v="603.97"/>
    <n v="603.9699999999998"/>
    <n v="-1321.89"/>
    <s v="Paid"/>
    <s v="Paid"/>
    <s v="Completed"/>
    <x v="0"/>
    <s v="Clean"/>
  </r>
  <r>
    <s v="ORD-2024-10271"/>
    <n v="2"/>
    <s v="Unique"/>
    <s v="01/12/2024"/>
    <s v="13-01-2024"/>
    <d v="2024-01-12T00:00:00"/>
    <d v="2024-01-13T00:00:00"/>
    <x v="8"/>
    <x v="0"/>
    <s v="Valid"/>
    <s v="Valid"/>
    <n v="1"/>
    <s v="CUST-2487"/>
    <s v="Aditi Sen"/>
    <s v="Aditi Sen"/>
    <s v="Corporate"/>
    <x v="2"/>
    <s v="North"/>
    <x v="0"/>
    <s v="Uttar Pradesh"/>
    <s v="Uttar Pradesh"/>
    <s v="Noida"/>
    <s v="Noida"/>
    <s v="Technology"/>
    <x v="2"/>
    <s v="Machines"/>
    <x v="12"/>
    <s v="Prime Machines 794"/>
    <s v="Same Day"/>
    <x v="1"/>
    <n v="3"/>
    <n v="827.44"/>
    <n v="0"/>
    <n v="0"/>
    <s v="Valid"/>
    <n v="2482.3200000000002"/>
    <n v="2482.3200000000002"/>
    <n v="1520.21"/>
    <n v="962.11"/>
    <n v="962.11000000000013"/>
    <n v="-1520.21"/>
    <s v="Paid"/>
    <s v="Paid"/>
    <s v="Completed"/>
    <x v="0"/>
    <s v="Clean"/>
  </r>
  <r>
    <s v="ORD-2024-10272"/>
    <n v="1"/>
    <s v="Unique"/>
    <s v="21 Dec 2024"/>
    <s v="25 Dec 2024"/>
    <d v="2024-12-21T00:00:00"/>
    <d v="2024-12-25T00:00:00"/>
    <x v="7"/>
    <x v="0"/>
    <s v="Valid"/>
    <s v="Valid"/>
    <n v="4"/>
    <s v="CUST-8009"/>
    <s v="Aditi Sen"/>
    <s v="Aditi Sen"/>
    <s v="Consumer"/>
    <x v="0"/>
    <s v="South"/>
    <x v="2"/>
    <s v="Telangana"/>
    <s v="Telangana"/>
    <s v="Hyderabad"/>
    <s v="Hyderabad"/>
    <s v="Office Supplies"/>
    <x v="0"/>
    <s v="Binders"/>
    <x v="9"/>
    <s v="Max Binders 927"/>
    <s v="Standard Class"/>
    <x v="3"/>
    <n v="7"/>
    <n v="1667.75"/>
    <n v="0"/>
    <n v="0"/>
    <s v="Valid"/>
    <n v="11674.25"/>
    <n v="11674.25"/>
    <n v="9621.19"/>
    <n v="2053.06"/>
    <n v="2053.0599999999995"/>
    <n v="-9621.19"/>
    <s v="Failed"/>
    <s v="Failed"/>
    <s v="Cancelled"/>
    <x v="1"/>
    <s v="Clean"/>
  </r>
  <r>
    <s v="ORD-2024-10273"/>
    <n v="1"/>
    <s v="Conflicting Duplicate"/>
    <s v="08/18/2024"/>
    <s v="24 Aug 2024"/>
    <d v="2024-08-18T00:00:00"/>
    <d v="2024-08-24T00:00:00"/>
    <x v="1"/>
    <x v="0"/>
    <s v="Valid"/>
    <s v="Valid"/>
    <n v="6"/>
    <s v="CUST-7389"/>
    <s v="Arjun Bose"/>
    <s v="Arjun Bose"/>
    <s v="Consumer"/>
    <x v="0"/>
    <s v="South"/>
    <x v="2"/>
    <s v="Andhra Pradesh"/>
    <s v="Andhra Pradesh"/>
    <s v="Vijayawada"/>
    <s v="Vijayawada"/>
    <s v="Furniture"/>
    <x v="1"/>
    <s v="Chairs"/>
    <x v="4"/>
    <s v="Eco Chairs 314"/>
    <s v="First Class"/>
    <x v="2"/>
    <n v="7"/>
    <n v="557.21"/>
    <n v="0.1"/>
    <n v="0.1"/>
    <s v="Valid"/>
    <n v="3510.42"/>
    <n v="3510.4230000000002"/>
    <n v="2191.5"/>
    <n v="1213.48"/>
    <n v="1318.9230000000002"/>
    <n v="-2191.5"/>
    <s v="Paid"/>
    <s v="Paid"/>
    <s v="Completed"/>
    <x v="0"/>
    <s v="Clean"/>
  </r>
  <r>
    <s v="ORD-2025-10274"/>
    <n v="1"/>
    <s v="Unique"/>
    <s v="02/13/2025"/>
    <s v="13 Feb 2025"/>
    <d v="2025-02-13T00:00:00"/>
    <d v="2025-02-13T00:00:00"/>
    <x v="6"/>
    <x v="1"/>
    <s v="Valid"/>
    <s v="Valid"/>
    <n v="0"/>
    <s v="CUST-8249"/>
    <s v="Isha Nair"/>
    <s v="Isha Nair"/>
    <s v="Consumer"/>
    <x v="0"/>
    <s v="East"/>
    <x v="1"/>
    <s v="Bihar"/>
    <s v="Bihar"/>
    <s v="Patna"/>
    <s v="Patna"/>
    <s v="Office Supplies"/>
    <x v="0"/>
    <s v="Paper"/>
    <x v="0"/>
    <s v="Basic Paper 657"/>
    <s v="Second Class"/>
    <x v="0"/>
    <n v="9"/>
    <n v="2521.63"/>
    <n v="0"/>
    <n v="0"/>
    <s v="Valid"/>
    <n v="22694.67"/>
    <n v="22694.670000000002"/>
    <n v="15405.36"/>
    <n v="7289.31"/>
    <n v="7289.3100000000013"/>
    <n v="-15405.36"/>
    <s v="Paid"/>
    <s v="Paid"/>
    <s v="Returned"/>
    <x v="2"/>
    <s v="Clean"/>
  </r>
  <r>
    <s v="ORD-2024-10275"/>
    <n v="1"/>
    <s v="Unique"/>
    <s v="07-04-2024"/>
    <s v="14-04-2024"/>
    <d v="2024-07-04T00:00:00"/>
    <d v="2024-04-14T00:00:00"/>
    <x v="0"/>
    <x v="0"/>
    <s v="Valid"/>
    <s v="Valid"/>
    <n v="-81"/>
    <s v="CUST-4202"/>
    <s v="Rohan Mehta"/>
    <s v="Rohan Mehta"/>
    <s v="Consumer"/>
    <x v="0"/>
    <s v="South"/>
    <x v="2"/>
    <s v="Kerala"/>
    <s v="Kerala"/>
    <s v="Kochi"/>
    <s v="Kochi"/>
    <s v="Technology"/>
    <x v="2"/>
    <s v="Copiers"/>
    <x v="6"/>
    <s v="Pro Copiers 406"/>
    <s v="Standard Class"/>
    <x v="3"/>
    <n v="6"/>
    <n v="4246.71"/>
    <n v="0.15"/>
    <n v="0.15"/>
    <s v="Valid"/>
    <n v="21658.22"/>
    <n v="21658.221000000001"/>
    <n v="15490.69"/>
    <n v="6167.53"/>
    <n v="6167.5310000000009"/>
    <n v="-15490.69"/>
    <s v="Failed"/>
    <s v="Failed"/>
    <s v="Returned"/>
    <x v="2"/>
    <s v="Clean"/>
  </r>
  <r>
    <s v="ORD-2024-10276"/>
    <n v="2"/>
    <s v="Unique"/>
    <s v="2024-02-15"/>
    <s v="02/22/2024"/>
    <d v="2024-02-15T00:00:00"/>
    <d v="2024-02-22T00:00:00"/>
    <x v="6"/>
    <x v="0"/>
    <s v="Valid"/>
    <s v="Valid"/>
    <n v="7"/>
    <s v="CUST-2875"/>
    <s v="Priya Menon"/>
    <s v="Priya Menon"/>
    <s v="Small Business"/>
    <x v="1"/>
    <s v="East"/>
    <x v="1"/>
    <s v="West Bengal"/>
    <s v="West Bengal"/>
    <s v="Kolkata"/>
    <s v="Kolkata"/>
    <s v="Furniture"/>
    <x v="1"/>
    <s v="Furnishings"/>
    <x v="3"/>
    <s v="Eco Furnishings 678"/>
    <s v="Same Day"/>
    <x v="1"/>
    <n v="1"/>
    <n v="980.51"/>
    <n v="0"/>
    <n v="0"/>
    <s v="Valid"/>
    <n v="980.51"/>
    <n v="980.51"/>
    <n v="660.92"/>
    <n v="319.58999999999997"/>
    <n v="319.59000000000003"/>
    <n v="-660.92"/>
    <s v="Paid"/>
    <s v="Paid"/>
    <s v="Completed"/>
    <x v="0"/>
    <s v="Clean"/>
  </r>
  <r>
    <s v="ORD-2024-10277"/>
    <n v="2"/>
    <s v="Exact Duplicate"/>
    <s v="22-01-2024"/>
    <s v="23-01-2024"/>
    <d v="2024-01-22T00:00:00"/>
    <d v="2024-01-23T00:00:00"/>
    <x v="8"/>
    <x v="0"/>
    <s v="Valid"/>
    <s v="Valid"/>
    <n v="1"/>
    <s v="CUST-7039"/>
    <s v="Aarav Sharma"/>
    <s v="Aarav Sharma"/>
    <s v="Small Business"/>
    <x v="1"/>
    <s v="Unknown"/>
    <x v="4"/>
    <s v="Assam"/>
    <s v="Assam"/>
    <s v="Guwahati"/>
    <s v="Guwahati"/>
    <s v="Furniture"/>
    <x v="1"/>
    <s v="Chairs"/>
    <x v="4"/>
    <s v="Basic Chairs 141"/>
    <s v="Second Class"/>
    <x v="0"/>
    <n v="6"/>
    <n v="3391.53"/>
    <n v="-0.14000000000000001"/>
    <n v="-0.14000000000000001"/>
    <s v="Invalid - Negative Discount"/>
    <n v="15261.89"/>
    <n v="23198.065200000005"/>
    <n v="8413.5300000000007"/>
    <n v="6848.36"/>
    <n v="14784.535200000004"/>
    <n v="-8413.5300000000007"/>
    <s v="Paid"/>
    <s v="Paid"/>
    <s v="Completed"/>
    <x v="0"/>
    <s v="Clean"/>
  </r>
  <r>
    <s v="ORD-2025-10278"/>
    <n v="2"/>
    <s v="Unique"/>
    <s v="04 Jun 2025"/>
    <s v="04 Jun 2025"/>
    <d v="2025-04-06T00:00:00"/>
    <d v="2025-04-06T00:00:00"/>
    <x v="5"/>
    <x v="1"/>
    <s v="Valid"/>
    <s v="Valid"/>
    <n v="0"/>
    <s v="CUST-2819"/>
    <s v="Isha Nair"/>
    <s v="Isha Nair"/>
    <s v="Corporate"/>
    <x v="2"/>
    <s v="North"/>
    <x v="0"/>
    <s v="Haryana"/>
    <s v="Haryana"/>
    <s v="Gurugram"/>
    <s v="Gurugram"/>
    <s v="Technology"/>
    <x v="2"/>
    <s v="Accessories"/>
    <x v="5"/>
    <s v="Elite Accessories 291"/>
    <s v="Second Class"/>
    <x v="0"/>
    <n v="1"/>
    <n v="2133.73"/>
    <n v="0.15"/>
    <n v="0.15"/>
    <s v="Valid"/>
    <n v="2008.39"/>
    <n v="1813.6704999999999"/>
    <n v="1002.57"/>
    <n v="811.1"/>
    <n v="811.1004999999999"/>
    <n v="-1002.57"/>
    <s v="Pending"/>
    <s v="Pending"/>
    <s v="Cancelled"/>
    <x v="1"/>
    <s v="Clean"/>
  </r>
  <r>
    <s v="ORD-2025-10279"/>
    <n v="1"/>
    <s v="Unique"/>
    <s v="07-03-2025"/>
    <s v="2025-03-14"/>
    <d v="2025-07-03T00:00:00"/>
    <d v="2025-03-14T00:00:00"/>
    <x v="0"/>
    <x v="1"/>
    <s v="Valid"/>
    <s v="Valid"/>
    <n v="-111"/>
    <s v="CUST-8242"/>
    <s v="Priya Menon"/>
    <s v="Priya Menon"/>
    <s v="Small Business"/>
    <x v="1"/>
    <s v="North"/>
    <x v="0"/>
    <s v="Delhi"/>
    <s v="Delhi"/>
    <s v="New Delhi"/>
    <s v="New Delhi"/>
    <s v="Technology"/>
    <x v="2"/>
    <s v="Accessories"/>
    <x v="5"/>
    <s v="Pro Accessories 207"/>
    <s v="Same Day"/>
    <x v="1"/>
    <n v="1"/>
    <n v="3979.64"/>
    <n v="0.05"/>
    <n v="0.05"/>
    <s v="Valid"/>
    <n v="3780.66"/>
    <n v="3780.6579999999999"/>
    <n v="2148.31"/>
    <n v="1632.35"/>
    <n v="1632.348"/>
    <n v="-2148.31"/>
    <s v="Paid"/>
    <s v="Paid"/>
    <s v="Returned"/>
    <x v="2"/>
    <s v="Clean"/>
  </r>
  <r>
    <s v="ORD-2024-10280"/>
    <n v="1"/>
    <s v="Unique"/>
    <s v="04/09/2024"/>
    <s v="10 Apr 2024"/>
    <d v="2024-04-09T00:00:00"/>
    <d v="2024-10-04T00:00:00"/>
    <x v="5"/>
    <x v="0"/>
    <s v="Valid"/>
    <s v="Valid"/>
    <n v="178"/>
    <s v="CUST-4571"/>
    <s v="Rohan Mehta"/>
    <s v="Rohan Mehta"/>
    <s v="Small Business"/>
    <x v="1"/>
    <s v="West"/>
    <x v="3"/>
    <s v="Maharashtra"/>
    <s v="Maharashtra"/>
    <s v="Mumbai"/>
    <s v="Mumbai"/>
    <s v="Office Supplies"/>
    <x v="0"/>
    <s v="Storage"/>
    <x v="8"/>
    <s v="Max Storage 564"/>
    <s v="First Class"/>
    <x v="2"/>
    <n v="1"/>
    <n v="4359.12"/>
    <n v="0.05"/>
    <n v="0.05"/>
    <s v="Valid"/>
    <n v="4141.16"/>
    <n v="4141.1639999999998"/>
    <n v="2754.17"/>
    <n v="1386.99"/>
    <n v="1386.9939999999997"/>
    <n v="-2754.17"/>
    <s v="Paid"/>
    <s v="Paid"/>
    <s v="Completed"/>
    <x v="0"/>
    <s v="Clean"/>
  </r>
  <r>
    <s v="ORD-2024-10281"/>
    <n v="1"/>
    <s v="Exact Duplicate"/>
    <s v="12/23/2024"/>
    <s v="26-12-2024"/>
    <d v="2024-12-23T00:00:00"/>
    <d v="2024-12-26T00:00:00"/>
    <x v="7"/>
    <x v="0"/>
    <s v="Valid"/>
    <s v="Valid"/>
    <n v="3"/>
    <s v="CUST-4098"/>
    <s v="Aditi Sen"/>
    <s v="Aditi Sen"/>
    <s v="Consumer"/>
    <x v="0"/>
    <s v="South"/>
    <x v="2"/>
    <s v="Karnataka"/>
    <s v="Karnataka"/>
    <s v="Bengaluru"/>
    <s v="Bengaluru"/>
    <s v="Technology"/>
    <x v="2"/>
    <s v="Copiers"/>
    <x v="6"/>
    <s v="Prime Copiers 961"/>
    <s v="Standard Class"/>
    <x v="3"/>
    <n v="9"/>
    <n v="993.67"/>
    <n v="0"/>
    <n v="0"/>
    <s v="Valid"/>
    <n v="8943.0300000000007"/>
    <n v="8943.0299999999988"/>
    <n v="5165.38"/>
    <n v="3777.65"/>
    <n v="3777.6499999999987"/>
    <n v="-5165.38"/>
    <s v="Paid"/>
    <s v="Paid"/>
    <s v="Completed"/>
    <x v="0"/>
    <s v="Clean"/>
  </r>
  <r>
    <s v="ORD-2025-10282"/>
    <n v="1"/>
    <s v="Unique"/>
    <s v="25-07-2025"/>
    <s v="07/27/2025"/>
    <d v="2025-07-25T00:00:00"/>
    <d v="2025-07-27T00:00:00"/>
    <x v="0"/>
    <x v="1"/>
    <s v="Valid"/>
    <s v="Valid"/>
    <n v="2"/>
    <s v="CUST-2052"/>
    <s v="Kabir Singh"/>
    <s v="Kabir Singh"/>
    <s v="Consumer"/>
    <x v="0"/>
    <s v="East"/>
    <x v="1"/>
    <s v="Jharkhand"/>
    <s v="Jharkhand"/>
    <s v="Ranchi"/>
    <s v="Ranchi"/>
    <s v="Office Supplies"/>
    <x v="0"/>
    <s v="Binders"/>
    <x v="9"/>
    <s v="Basic Binders 637"/>
    <s v="Second Class"/>
    <x v="0"/>
    <n v="6"/>
    <n v="3438.38"/>
    <n v="0.2"/>
    <n v="0.2"/>
    <s v="Valid"/>
    <n v="16504.22"/>
    <n v="16504.223999999998"/>
    <n v="11262.71"/>
    <n v="5241.51"/>
    <n v="5241.5139999999992"/>
    <n v="-11262.71"/>
    <s v="Paid"/>
    <s v="Paid"/>
    <s v="Completed"/>
    <x v="0"/>
    <s v="Clean"/>
  </r>
  <r>
    <s v="ORD-2024-10283"/>
    <n v="2"/>
    <s v="Unique"/>
    <s v="2024-10-01"/>
    <s v="10/02/2024"/>
    <d v="2024-01-10T00:00:00"/>
    <d v="2024-10-02T00:00:00"/>
    <x v="8"/>
    <x v="0"/>
    <s v="Valid"/>
    <s v="Valid"/>
    <n v="266"/>
    <s v="CUST-9445"/>
    <s v="Karan Malhotra"/>
    <s v="Karan Malhotra"/>
    <s v="Home Office"/>
    <x v="3"/>
    <s v="East"/>
    <x v="1"/>
    <s v="Assam"/>
    <s v="Assam"/>
    <s v="Guwahati"/>
    <s v="Guwahati"/>
    <s v="Furniture"/>
    <x v="1"/>
    <s v="Tables"/>
    <x v="1"/>
    <s v="Classic Tables 811"/>
    <s v="Second Class"/>
    <x v="0"/>
    <n v="2"/>
    <n v="2298"/>
    <n v="0"/>
    <n v="0"/>
    <s v="Valid"/>
    <n v="4596"/>
    <n v="4596"/>
    <n v="3220.33"/>
    <n v="1375.67"/>
    <n v="1375.67"/>
    <n v="-3220.33"/>
    <s v="Paid"/>
    <s v="Paid"/>
    <s v="Completed"/>
    <x v="0"/>
    <s v="Clean"/>
  </r>
  <r>
    <s v="ORD-2025-10284"/>
    <n v="1"/>
    <s v="Unique"/>
    <s v="03/13/2025"/>
    <s v="20-03-2025"/>
    <d v="2025-03-13T00:00:00"/>
    <d v="2025-03-20T00:00:00"/>
    <x v="11"/>
    <x v="1"/>
    <s v="Valid"/>
    <s v="Valid"/>
    <n v="7"/>
    <s v="CUST-6568"/>
    <s v="Vikram Iyer"/>
    <s v="Vikram Iyer"/>
    <s v="Consumer"/>
    <x v="0"/>
    <s v="West"/>
    <x v="3"/>
    <s v="Maharashtra"/>
    <s v="Maharashtra"/>
    <s v="Mumbai"/>
    <s v="Mumbai"/>
    <s v="Furniture"/>
    <x v="1"/>
    <s v="Furnishings"/>
    <x v="3"/>
    <s v="Classic Furnishings 819"/>
    <s v="First Class"/>
    <x v="2"/>
    <n v="1"/>
    <n v="1814.01"/>
    <n v="0"/>
    <n v="0"/>
    <s v="Valid"/>
    <n v="1814.01"/>
    <n v="1814.01"/>
    <n v="1033.47"/>
    <n v="780.54"/>
    <n v="780.54"/>
    <n v="-1033.47"/>
    <s v="Paid"/>
    <s v="Paid"/>
    <s v="Completed"/>
    <x v="0"/>
    <s v="Clean"/>
  </r>
  <r>
    <s v="ORD-2024-10285"/>
    <n v="2"/>
    <s v="Unique"/>
    <s v="12/08/2024"/>
    <s v="12/14/2024"/>
    <d v="2024-12-08T00:00:00"/>
    <d v="2024-12-14T00:00:00"/>
    <x v="7"/>
    <x v="0"/>
    <s v="Valid"/>
    <s v="Valid"/>
    <n v="6"/>
    <s v="CUST-2076"/>
    <s v="Karan Malhotra"/>
    <s v="Karan Malhotra"/>
    <s v="Consumer"/>
    <x v="0"/>
    <s v="East"/>
    <x v="1"/>
    <s v="Odisha"/>
    <s v="Odisha"/>
    <s v="Bhubaneswar"/>
    <s v="Bhubaneswar"/>
    <s v="Furniture"/>
    <x v="1"/>
    <s v="Tables"/>
    <x v="1"/>
    <s v="Prime Tables 542"/>
    <s v="Same Day"/>
    <x v="1"/>
    <n v="3"/>
    <n v="1576.92"/>
    <n v="0"/>
    <n v="0"/>
    <s v="Valid"/>
    <n v="4730.76"/>
    <n v="4730.76"/>
    <n v="3139.73"/>
    <n v="1591.03"/>
    <n v="1591.0300000000002"/>
    <n v="-3139.73"/>
    <s v="Paid"/>
    <s v="Paid"/>
    <s v="Returned"/>
    <x v="2"/>
    <s v="Clean"/>
  </r>
  <r>
    <s v="ORD-2025-10286"/>
    <n v="1"/>
    <s v="Unique"/>
    <s v="2025-08-15"/>
    <s v="2025-08-20"/>
    <d v="2025-08-15T00:00:00"/>
    <d v="2025-08-20T00:00:00"/>
    <x v="1"/>
    <x v="1"/>
    <s v="Valid"/>
    <s v="Valid"/>
    <n v="5"/>
    <s v="CUST-5610"/>
    <s v="Neha Gupta"/>
    <s v="Neha Gupta"/>
    <s v="Home Office"/>
    <x v="3"/>
    <s v="North"/>
    <x v="0"/>
    <s v="Rajasthan"/>
    <s v="Rajasthan"/>
    <s v="Jaipur"/>
    <s v="Jaipur"/>
    <s v="Office Supplies"/>
    <x v="0"/>
    <s v="Storage"/>
    <x v="8"/>
    <s v="Basic Storage 771"/>
    <s v="Standard Class"/>
    <x v="3"/>
    <n v="9"/>
    <n v="4081.77"/>
    <n v="0"/>
    <n v="0"/>
    <s v="Valid"/>
    <n v="36735.93"/>
    <n v="36735.93"/>
    <n v="30820.84"/>
    <n v="5915.09"/>
    <n v="5915.09"/>
    <n v="-30820.84"/>
    <s v="Paid"/>
    <s v="Paid"/>
    <s v="Completed"/>
    <x v="0"/>
    <s v="Clean"/>
  </r>
  <r>
    <s v="ORD-2024-10287"/>
    <n v="1"/>
    <s v="Unique"/>
    <s v="28-02-2024"/>
    <s v="03/02/2024"/>
    <d v="2024-02-28T00:00:00"/>
    <d v="2024-03-02T00:00:00"/>
    <x v="6"/>
    <x v="0"/>
    <s v="Valid"/>
    <s v="Valid"/>
    <n v="3"/>
    <s v="CUST-5823"/>
    <s v="Priya Menon"/>
    <s v="Priya Menon"/>
    <s v="Small Business"/>
    <x v="1"/>
    <s v="North"/>
    <x v="0"/>
    <s v="Delhi"/>
    <s v="Delhi"/>
    <s v="New Delhi"/>
    <s v="New Delhi"/>
    <s v="Furniture"/>
    <x v="1"/>
    <s v="Furnishings"/>
    <x v="3"/>
    <s v="Pro Furnishings 848"/>
    <s v="First Class"/>
    <x v="2"/>
    <n v="7"/>
    <n v="701.8"/>
    <n v="0.1"/>
    <n v="0.1"/>
    <s v="Valid"/>
    <n v="4421.34"/>
    <n v="4421.3399999999992"/>
    <n v="2489.98"/>
    <n v="1931.36"/>
    <n v="1931.3599999999992"/>
    <n v="-2489.98"/>
    <s v="Pending"/>
    <s v="Pending"/>
    <s v="Returned"/>
    <x v="2"/>
    <s v="Clean"/>
  </r>
  <r>
    <s v="ORD-2024-10288"/>
    <n v="1"/>
    <s v="Unique"/>
    <s v="09/05/2024"/>
    <s v="07-09-2024"/>
    <d v="2024-09-05T00:00:00"/>
    <d v="2024-07-09T00:00:00"/>
    <x v="9"/>
    <x v="0"/>
    <s v="Valid"/>
    <s v="Valid"/>
    <n v="-58"/>
    <s v="CUST-7095"/>
    <s v="Neha Gupta"/>
    <s v="Neha Gupta"/>
    <s v="Small Business"/>
    <x v="1"/>
    <s v="South"/>
    <x v="2"/>
    <s v="Tamil Nadu"/>
    <s v="Tamil Nadu"/>
    <s v="Chennai"/>
    <s v="Chennai"/>
    <s v="Technology"/>
    <x v="2"/>
    <s v="Copiers"/>
    <x v="6"/>
    <s v="Prime Copiers 924"/>
    <s v="Standard Class"/>
    <x v="3"/>
    <n v="3"/>
    <n v="2555.66"/>
    <n v="0.15"/>
    <n v="0.15"/>
    <s v="Valid"/>
    <n v="6516.93"/>
    <n v="6516.9329999999991"/>
    <n v="4511.54"/>
    <n v="2005.39"/>
    <n v="2005.3929999999991"/>
    <n v="-4511.54"/>
    <s v="Paid"/>
    <s v="Paid"/>
    <s v="Cancelled"/>
    <x v="1"/>
    <s v="Clean"/>
  </r>
  <r>
    <s v="ORD-2024-10289"/>
    <n v="1"/>
    <s v="Unique"/>
    <s v="2024-06-24"/>
    <s v="2024-06-24"/>
    <d v="2024-06-24T00:00:00"/>
    <d v="2024-06-24T00:00:00"/>
    <x v="2"/>
    <x v="0"/>
    <s v="Valid"/>
    <s v="Valid"/>
    <n v="0"/>
    <s v="CUST-4805"/>
    <s v="Rohan Mehta"/>
    <s v="Rohan Mehta"/>
    <s v="Small Business"/>
    <x v="1"/>
    <s v="East"/>
    <x v="1"/>
    <s v="Bihar"/>
    <s v="Bihar"/>
    <s v="Patna"/>
    <s v="Patna"/>
    <s v="Office Supplies"/>
    <x v="0"/>
    <s v="Binders"/>
    <x v="9"/>
    <s v="Classic Binders 721"/>
    <s v="Same Day"/>
    <x v="1"/>
    <n v="2"/>
    <n v="4359.8999999999996"/>
    <n v="0.15"/>
    <n v="0.15"/>
    <s v="Valid"/>
    <n v="7411.83"/>
    <n v="7411.829999999999"/>
    <n v="4904.63"/>
    <n v="2507.1999999999998"/>
    <n v="2507.1999999999989"/>
    <n v="-4904.63"/>
    <s v="Paid"/>
    <s v="Paid"/>
    <s v="Completed"/>
    <x v="0"/>
    <s v="Clean"/>
  </r>
  <r>
    <s v="ORD-2025-10290"/>
    <n v="1"/>
    <s v="Unique"/>
    <s v="19-06-2025"/>
    <s v="06/27/2025"/>
    <d v="2025-06-19T00:00:00"/>
    <d v="2025-06-27T00:00:00"/>
    <x v="2"/>
    <x v="1"/>
    <s v="Valid"/>
    <s v="Valid"/>
    <n v="8"/>
    <s v="CUST-9114"/>
    <s v="Karan Malhotra"/>
    <s v="Karan Malhotra"/>
    <s v="Home Office"/>
    <x v="3"/>
    <s v="South"/>
    <x v="2"/>
    <s v="Tamil Nadu"/>
    <s v="Tamil Nadu"/>
    <s v="Chennai"/>
    <s v="Chennai"/>
    <s v="Furniture"/>
    <x v="1"/>
    <s v="Bookcases"/>
    <x v="10"/>
    <s v="Basic Bookcases 823"/>
    <s v="First Class"/>
    <x v="2"/>
    <n v="2"/>
    <n v="4346.6899999999996"/>
    <n v="0.05"/>
    <n v="0.05"/>
    <s v="Valid"/>
    <n v="8258.7099999999991"/>
    <n v="8258.7109999999993"/>
    <n v="7018.97"/>
    <n v="1239.74"/>
    <n v="1239.7409999999991"/>
    <n v="-7018.97"/>
    <s v="Paid"/>
    <s v="Paid"/>
    <s v="Completed"/>
    <x v="0"/>
    <s v="Clean"/>
  </r>
  <r>
    <s v="ORD-2025-10291"/>
    <n v="3"/>
    <s v="Unique"/>
    <s v="22 Aug 2025"/>
    <s v="2025-08-26"/>
    <d v="2025-08-22T00:00:00"/>
    <d v="2025-08-26T00:00:00"/>
    <x v="1"/>
    <x v="1"/>
    <s v="Valid"/>
    <s v="Valid"/>
    <n v="4"/>
    <s v="CUST-8557"/>
    <s v="Diya Patel"/>
    <s v="Diya Patel"/>
    <s v="Home Office"/>
    <x v="3"/>
    <s v="East"/>
    <x v="1"/>
    <s v="Jharkhand"/>
    <s v="Jharkhand"/>
    <s v="Ranchi"/>
    <s v="Ranchi"/>
    <s v="Furniture"/>
    <x v="1"/>
    <s v="Tables"/>
    <x v="1"/>
    <s v="Classic Tables 178"/>
    <s v="Standard Class"/>
    <x v="3"/>
    <n v="1"/>
    <n v="1842.63"/>
    <n v="0.1"/>
    <n v="0.1"/>
    <s v="Valid"/>
    <n v="1658.37"/>
    <n v="1658.3670000000002"/>
    <n v="971.12"/>
    <n v="687.25"/>
    <n v="687.24700000000018"/>
    <n v="-971.12"/>
    <s v="Paid"/>
    <s v="Paid"/>
    <s v="Completed"/>
    <x v="0"/>
    <s v="Clean"/>
  </r>
  <r>
    <s v="ORD-2024-10292"/>
    <n v="2"/>
    <s v="Unique"/>
    <s v="04/05/2024"/>
    <s v="2024-04-10"/>
    <d v="2024-04-05T00:00:00"/>
    <d v="2024-10-04T00:00:00"/>
    <x v="5"/>
    <x v="0"/>
    <s v="Valid"/>
    <s v="Valid"/>
    <n v="182"/>
    <s v="CUST-2860"/>
    <s v="Priya Menon"/>
    <s v="Priya Menon"/>
    <s v="Home Office"/>
    <x v="3"/>
    <s v="North"/>
    <x v="0"/>
    <s v="Rajasthan"/>
    <s v="Rajasthan"/>
    <s v="Jaipur"/>
    <s v="Jaipur"/>
    <s v="Office Supplies"/>
    <x v="0"/>
    <s v="Binders"/>
    <x v="9"/>
    <s v="Eco Binders 153"/>
    <s v="Standard Class"/>
    <x v="3"/>
    <n v="4"/>
    <n v="3228.66"/>
    <n v="0.25"/>
    <n v="0.25"/>
    <s v="Valid"/>
    <n v="9685.98"/>
    <n v="9685.98"/>
    <n v="7730.04"/>
    <n v="1955.94"/>
    <n v="1955.9399999999996"/>
    <n v="-7730.04"/>
    <s v="Paid"/>
    <s v="Paid"/>
    <s v="Completed"/>
    <x v="0"/>
    <s v="Clean"/>
  </r>
  <r>
    <s v="ORD-2025-10293"/>
    <n v="1"/>
    <s v="Unique"/>
    <s v="28 Feb 2025"/>
    <s v="03-03-2025"/>
    <d v="2025-02-28T00:00:00"/>
    <d v="2025-03-03T00:00:00"/>
    <x v="6"/>
    <x v="1"/>
    <s v="Valid"/>
    <s v="Valid"/>
    <n v="3"/>
    <s v="CUST-7837"/>
    <s v="Kabir Singh"/>
    <s v="Kabir Singh"/>
    <s v="Home Office"/>
    <x v="3"/>
    <s v="North"/>
    <x v="0"/>
    <s v="Haryana"/>
    <s v="Haryana"/>
    <s v="Gurugram"/>
    <s v="Gurugram"/>
    <s v="Office Supplies"/>
    <x v="0"/>
    <s v="Art"/>
    <x v="2"/>
    <s v="Classic Art 183"/>
    <s v="Same Day"/>
    <x v="1"/>
    <n v="9"/>
    <n v="3748.95"/>
    <n v="0"/>
    <n v="0"/>
    <s v="Valid"/>
    <n v="33740.550000000003"/>
    <n v="33740.549999999996"/>
    <n v="24621.89"/>
    <n v="9118.66"/>
    <n v="9118.6599999999962"/>
    <n v="-24621.89"/>
    <s v="Pending"/>
    <s v="Pending"/>
    <s v="Cancelled"/>
    <x v="1"/>
    <s v="Clean"/>
  </r>
  <r>
    <s v="ORD-2024-10294"/>
    <n v="1"/>
    <s v="Unique"/>
    <s v="03/07/2024"/>
    <s v="11-03-2024"/>
    <d v="2024-03-07T00:00:00"/>
    <d v="2024-11-03T00:00:00"/>
    <x v="11"/>
    <x v="0"/>
    <s v="Valid"/>
    <s v="Valid"/>
    <n v="241"/>
    <s v="CUST-7010"/>
    <s v="Arjun Bose"/>
    <s v="Arjun Bose"/>
    <s v="Home Office"/>
    <x v="3"/>
    <s v="South"/>
    <x v="2"/>
    <s v="Telangana"/>
    <s v="Telangana"/>
    <s v="Hyderabad"/>
    <s v="Hyderabad"/>
    <s v="Technology"/>
    <x v="2"/>
    <s v="Phones"/>
    <x v="11"/>
    <s v="Pro Phones 455"/>
    <s v="First Class"/>
    <x v="2"/>
    <n v="2"/>
    <n v="4401.51"/>
    <n v="0.65"/>
    <n v="0.65"/>
    <s v="Valid"/>
    <n v="8362.8700000000008"/>
    <n v="3081.0569999999998"/>
    <n v="6541.04"/>
    <n v="1821.83"/>
    <n v="-3459.9830000000002"/>
    <n v="-6541.04"/>
    <s v="Paid"/>
    <s v="Paid"/>
    <s v="Completed"/>
    <x v="0"/>
    <s v="Clean"/>
  </r>
  <r>
    <s v="ORD-2025-10295"/>
    <n v="1"/>
    <s v="Unique"/>
    <s v="16 Jul 2025"/>
    <s v="07/22/2025"/>
    <d v="2025-07-16T00:00:00"/>
    <d v="2025-07-22T00:00:00"/>
    <x v="0"/>
    <x v="1"/>
    <s v="Valid"/>
    <s v="Valid"/>
    <n v="6"/>
    <s v="CUST-4755"/>
    <s v="Priya Menon"/>
    <s v="Priya Menon"/>
    <s v="Consumer"/>
    <x v="0"/>
    <s v="East"/>
    <x v="1"/>
    <s v="Odisha"/>
    <s v="Odisha"/>
    <s v="Bhubaneswar"/>
    <s v="Bhubaneswar"/>
    <s v="Technology"/>
    <x v="2"/>
    <s v="Phones"/>
    <x v="11"/>
    <s v="Basic Phones 326"/>
    <s v="Second Class"/>
    <x v="0"/>
    <n v="6"/>
    <n v="4159.33"/>
    <n v="0.25"/>
    <n v="0.25"/>
    <s v="Valid"/>
    <n v="18716.990000000002"/>
    <n v="18716.985000000001"/>
    <n v="12282.43"/>
    <n v="6434.56"/>
    <n v="6434.5550000000003"/>
    <n v="-12282.43"/>
    <s v="Paid"/>
    <s v="Paid"/>
    <s v="Returned"/>
    <x v="2"/>
    <s v="Clean"/>
  </r>
  <r>
    <s v="ORD-2025-10296"/>
    <n v="2"/>
    <s v="Unique"/>
    <s v="25 Jun 2025"/>
    <s v="28 Jun 2025"/>
    <d v="2025-06-25T00:00:00"/>
    <d v="2025-06-28T00:00:00"/>
    <x v="2"/>
    <x v="1"/>
    <s v="Valid"/>
    <s v="Valid"/>
    <n v="3"/>
    <s v="CUST-6778"/>
    <s v="Aditi Sen"/>
    <s v="Aditi Sen"/>
    <s v="Small Business"/>
    <x v="1"/>
    <s v="East"/>
    <x v="1"/>
    <s v="Assam"/>
    <s v="Assam"/>
    <s v="Guwahati"/>
    <s v="Guwahati"/>
    <s v="Office Supplies"/>
    <x v="0"/>
    <s v="Binders"/>
    <x v="9"/>
    <s v="Max Binders 587"/>
    <s v="Standard Class"/>
    <x v="3"/>
    <n v="3"/>
    <n v="3476.05"/>
    <n v="0.1"/>
    <n v="0.1"/>
    <s v="Valid"/>
    <n v="9385.34"/>
    <n v="9385.3350000000009"/>
    <n v="5828.54"/>
    <n v="3556.8"/>
    <n v="3556.795000000001"/>
    <n v="-5828.54"/>
    <s v="Paid"/>
    <s v="Paid"/>
    <s v="Completed"/>
    <x v="0"/>
    <s v="Clean"/>
  </r>
  <r>
    <s v="ORD-2025-10297"/>
    <n v="1"/>
    <s v="Unique"/>
    <s v="24 May 2025"/>
    <s v="05/26/2025"/>
    <d v="2025-05-24T00:00:00"/>
    <d v="2025-05-26T00:00:00"/>
    <x v="4"/>
    <x v="1"/>
    <s v="Valid"/>
    <s v="Valid"/>
    <n v="2"/>
    <s v="CUST-7629"/>
    <s v="Aditi Sen"/>
    <s v="Aditi Sen"/>
    <s v="Home Office"/>
    <x v="3"/>
    <s v="North"/>
    <x v="0"/>
    <s v="Haryana"/>
    <s v="Haryana"/>
    <s v="Gurugram"/>
    <s v="Gurugram"/>
    <s v="Furniture"/>
    <x v="1"/>
    <s v="Furnishings"/>
    <x v="3"/>
    <s v="Basic Furnishings 617"/>
    <s v="Same Day"/>
    <x v="1"/>
    <n v="6"/>
    <n v="3495.41"/>
    <n v="0.15"/>
    <n v="0.15"/>
    <s v="Valid"/>
    <n v="17826.59"/>
    <n v="17826.591"/>
    <n v="10855.35"/>
    <n v="6971.24"/>
    <n v="6971.241"/>
    <n v="-10855.35"/>
    <s v="Paid"/>
    <s v="Paid"/>
    <s v="Completed"/>
    <x v="0"/>
    <s v="Clean"/>
  </r>
  <r>
    <s v="ORD-2024-10298"/>
    <n v="2"/>
    <s v="Unique"/>
    <s v="2024-10-29"/>
    <s v="06-11-2024"/>
    <d v="2024-10-29T00:00:00"/>
    <d v="2024-06-11T00:00:00"/>
    <x v="10"/>
    <x v="0"/>
    <s v="Valid"/>
    <s v="Valid"/>
    <n v="-140"/>
    <s v="CUST-6724"/>
    <s v="Sneha Kapoor"/>
    <s v="Sneha Kapoor"/>
    <s v="Corporate"/>
    <x v="2"/>
    <s v="South"/>
    <x v="2"/>
    <s v="Tamil Nadu"/>
    <s v="Tamil Nadu"/>
    <s v="Chennai"/>
    <s v="Chennai"/>
    <s v="Technology"/>
    <x v="2"/>
    <s v="Copiers"/>
    <x v="6"/>
    <s v="Prime Copiers 669"/>
    <s v="Same Day"/>
    <x v="1"/>
    <n v="6"/>
    <n v="1169.92"/>
    <n v="0.15"/>
    <n v="0.15"/>
    <s v="Valid"/>
    <n v="5966.59"/>
    <n v="5966.5920000000006"/>
    <n v="3994.72"/>
    <n v="1971.87"/>
    <n v="1971.8720000000008"/>
    <n v="-3994.72"/>
    <s v="Paid"/>
    <s v="Paid"/>
    <s v="Completed"/>
    <x v="0"/>
    <s v="Clean"/>
  </r>
  <r>
    <s v="ORD-2025-10299"/>
    <n v="2"/>
    <s v="Unique"/>
    <s v="23-01-2025"/>
    <s v="2025-01-26"/>
    <d v="2025-01-23T00:00:00"/>
    <d v="2025-01-26T00:00:00"/>
    <x v="8"/>
    <x v="1"/>
    <s v="Valid"/>
    <s v="Valid"/>
    <n v="3"/>
    <s v="CUST-2141"/>
    <s v="Isha Nair"/>
    <s v="Isha Nair"/>
    <s v="Consumer"/>
    <x v="0"/>
    <s v="South"/>
    <x v="2"/>
    <s v="Kerala"/>
    <s v="Kerala"/>
    <s v="Kochi"/>
    <s v="Kochi"/>
    <s v="Technology"/>
    <x v="2"/>
    <s v="Copiers"/>
    <x v="6"/>
    <s v="Eco Copiers 894"/>
    <s v="First Class"/>
    <x v="2"/>
    <n v="7"/>
    <n v="348.49"/>
    <n v="0.2"/>
    <n v="0.2"/>
    <s v="Valid"/>
    <n v="1951.54"/>
    <n v="1951.5440000000003"/>
    <n v="1609.95"/>
    <n v="341.59"/>
    <n v="341.59400000000028"/>
    <n v="-1609.95"/>
    <s v="Failed"/>
    <s v="Failed"/>
    <s v="Returned"/>
    <x v="2"/>
    <s v="Clean"/>
  </r>
  <r>
    <s v="ORD-2024-10300"/>
    <n v="1"/>
    <s v="Unique"/>
    <s v="06-11-2024"/>
    <s v="2024-11-12"/>
    <d v="2024-06-11T00:00:00"/>
    <d v="2024-12-11T00:00:00"/>
    <x v="2"/>
    <x v="0"/>
    <s v="Valid"/>
    <s v="Valid"/>
    <n v="183"/>
    <s v="CUST-7264"/>
    <s v="Rahul Verma"/>
    <s v="Rahul Verma"/>
    <s v="Small Business"/>
    <x v="1"/>
    <s v="West"/>
    <x v="3"/>
    <s v="Gujarat"/>
    <s v="Gujarat"/>
    <s v="Ahmedabad"/>
    <s v="Ahmedabad"/>
    <s v="Technology"/>
    <x v="2"/>
    <s v="Accessories"/>
    <x v="5"/>
    <s v="Max Accessories 145"/>
    <s v="Standard Class"/>
    <x v="3"/>
    <n v="7"/>
    <n v="1719.05"/>
    <n v="0.1"/>
    <n v="0.1"/>
    <s v="Valid"/>
    <n v="10830.02"/>
    <n v="10830.015000000001"/>
    <n v="7055.31"/>
    <n v="3774.71"/>
    <n v="3774.7050000000008"/>
    <n v="-7055.31"/>
    <s v="Paid"/>
    <s v="Paid"/>
    <s v="Completed"/>
    <x v="0"/>
    <s v="Clean"/>
  </r>
  <r>
    <s v="ORD-2024-10301"/>
    <n v="1"/>
    <s v="Unique"/>
    <s v="15-04-2024"/>
    <s v="04/23/2024"/>
    <d v="2024-04-15T00:00:00"/>
    <d v="2024-04-23T00:00:00"/>
    <x v="5"/>
    <x v="0"/>
    <s v="Valid"/>
    <s v="Valid"/>
    <n v="8"/>
    <s v="CUST-2668"/>
    <s v="Diya Patel"/>
    <s v="Diya Patel"/>
    <s v="Small Business"/>
    <x v="1"/>
    <s v="North"/>
    <x v="0"/>
    <s v="Punjab"/>
    <s v="Punjab"/>
    <s v="Ludhiana"/>
    <s v="Ludhiana"/>
    <s v="Technology"/>
    <x v="2"/>
    <s v="Accessories"/>
    <x v="5"/>
    <s v="Classic Accessories 126"/>
    <s v="Second Class"/>
    <x v="0"/>
    <n v="9"/>
    <n v="3893.74"/>
    <n v="0.1"/>
    <n v="0.1"/>
    <s v="Valid"/>
    <n v="31539.29"/>
    <n v="31539.293999999998"/>
    <n v="22100.14"/>
    <n v="9439.15"/>
    <n v="9439.1539999999986"/>
    <n v="-22100.14"/>
    <s v="Paid"/>
    <s v="Paid"/>
    <s v="Completed"/>
    <x v="0"/>
    <s v="Clean"/>
  </r>
  <r>
    <s v="ORD-2025-10302"/>
    <n v="2"/>
    <s v="Unique"/>
    <s v="28 May 2025"/>
    <s v="01-06-2025"/>
    <d v="2025-05-28T00:00:00"/>
    <d v="2025-01-06T00:00:00"/>
    <x v="4"/>
    <x v="1"/>
    <s v="Valid"/>
    <s v="Valid"/>
    <n v="-142"/>
    <s v="CUST-5599"/>
    <s v="Isha Nair"/>
    <s v="Isha Nair"/>
    <s v="Home Office"/>
    <x v="3"/>
    <s v="East"/>
    <x v="1"/>
    <s v="Bihar"/>
    <s v="Bihar"/>
    <s v="Patna"/>
    <s v="Patna"/>
    <s v="Technology"/>
    <x v="2"/>
    <s v="Phones"/>
    <x v="11"/>
    <s v="Elite Phones 202"/>
    <s v="Same Day"/>
    <x v="1"/>
    <n v="4"/>
    <n v="1654.11"/>
    <n v="0.05"/>
    <n v="0.05"/>
    <s v="Valid"/>
    <n v="6285.62"/>
    <n v="6285.6179999999995"/>
    <n v="3705.38"/>
    <n v="2580.2399999999998"/>
    <n v="2580.2379999999994"/>
    <n v="-3705.38"/>
    <s v="Paid"/>
    <s v="Paid"/>
    <s v="Completed"/>
    <x v="0"/>
    <s v="Clean"/>
  </r>
  <r>
    <s v="ORD-2025-10303"/>
    <n v="3"/>
    <s v="Unique"/>
    <s v="04-06-2025"/>
    <s v="2025-06-12"/>
    <d v="2025-04-06T00:00:00"/>
    <d v="2025-12-06T00:00:00"/>
    <x v="5"/>
    <x v="1"/>
    <s v="Valid"/>
    <s v="Valid"/>
    <n v="244"/>
    <s v="CUST-1623"/>
    <s v="Neha Gupta"/>
    <s v="Neha Gupta"/>
    <s v="Consumer"/>
    <x v="0"/>
    <s v="West"/>
    <x v="3"/>
    <s v="Goa"/>
    <s v="Goa"/>
    <s v="Panaji"/>
    <s v="Panaji"/>
    <s v="Office Supplies"/>
    <x v="0"/>
    <s v="Storage"/>
    <x v="8"/>
    <s v="Elite Storage 535"/>
    <s v="Same Day"/>
    <x v="1"/>
    <n v="2"/>
    <n v="2703.28"/>
    <n v="0.25"/>
    <n v="0.25"/>
    <s v="Valid"/>
    <n v="4054.92"/>
    <n v="4054.92"/>
    <n v="2424.83"/>
    <n v="1630.09"/>
    <n v="1630.0900000000001"/>
    <n v="-2424.83"/>
    <s v="Paid"/>
    <s v="Paid"/>
    <s v="Completed"/>
    <x v="0"/>
    <s v="Clean"/>
  </r>
  <r>
    <s v="ORD-2024-10304"/>
    <n v="2"/>
    <s v="Unique"/>
    <s v="23 Jun 2024"/>
    <s v="28-06-2024"/>
    <d v="2024-06-23T00:00:00"/>
    <d v="2024-06-28T00:00:00"/>
    <x v="2"/>
    <x v="0"/>
    <s v="Valid"/>
    <s v="Valid"/>
    <n v="5"/>
    <s v="CUST-9035"/>
    <s v="Diya Patel"/>
    <s v="Diya Patel"/>
    <s v="Home Office"/>
    <x v="3"/>
    <s v="West"/>
    <x v="3"/>
    <s v="Gujarat"/>
    <s v="Gujarat"/>
    <s v="Ahmedabad"/>
    <s v="Ahmedabad"/>
    <s v="Furniture"/>
    <x v="1"/>
    <s v="Chairs"/>
    <x v="4"/>
    <s v="Elite Chairs 107"/>
    <s v="Standard Class"/>
    <x v="3"/>
    <n v="2"/>
    <n v="1313.14"/>
    <n v="0.1"/>
    <n v="0.1"/>
    <s v="Valid"/>
    <n v="2363.65"/>
    <n v="2363.652"/>
    <n v="1876.1"/>
    <n v="487.55"/>
    <n v="487.55200000000013"/>
    <n v="-1876.1"/>
    <s v="Pending"/>
    <s v="Pending"/>
    <s v="Returned"/>
    <x v="2"/>
    <s v="Clean"/>
  </r>
  <r>
    <s v="ORD-2024-10305"/>
    <n v="1"/>
    <s v="Unique"/>
    <s v="03/06/2024"/>
    <s v="2024-03-13"/>
    <d v="2024-03-06T00:00:00"/>
    <d v="2024-03-13T00:00:00"/>
    <x v="11"/>
    <x v="0"/>
    <s v="Valid"/>
    <s v="Valid"/>
    <n v="7"/>
    <s v="CUST-6286"/>
    <s v="Karan Malhotra"/>
    <s v="Karan Malhotra"/>
    <s v="Consumer"/>
    <x v="0"/>
    <s v="North"/>
    <x v="0"/>
    <s v="Punjab"/>
    <s v="Punjab"/>
    <s v="Ludhiana"/>
    <s v="Ludhiana"/>
    <s v="Furniture"/>
    <x v="1"/>
    <s v="Furnishings"/>
    <x v="3"/>
    <s v="Pro Furnishings 991"/>
    <s v="Standard Class"/>
    <x v="3"/>
    <n v="6"/>
    <n v="2403.0500000000002"/>
    <n v="0.1"/>
    <n v="0.1"/>
    <s v="Valid"/>
    <n v="12976.47"/>
    <n v="12976.470000000001"/>
    <n v="10019.98"/>
    <n v="2956.49"/>
    <n v="2956.4900000000016"/>
    <n v="-10019.98"/>
    <s v="Paid"/>
    <s v="Paid"/>
    <s v="Completed"/>
    <x v="0"/>
    <s v="Clean"/>
  </r>
  <r>
    <s v="ORD-2024-10306"/>
    <n v="1"/>
    <s v="Unique"/>
    <s v="01 May 2024"/>
    <s v="05/02/2024"/>
    <d v="2024-01-05T00:00:00"/>
    <d v="2024-05-02T00:00:00"/>
    <x v="8"/>
    <x v="0"/>
    <s v="Valid"/>
    <s v="Valid"/>
    <n v="118"/>
    <s v="CUST-7246"/>
    <s v="Ananya Rao"/>
    <s v="Ananya Rao"/>
    <s v="Consumer"/>
    <x v="0"/>
    <s v="East"/>
    <x v="1"/>
    <s v="Assam"/>
    <s v="Assam"/>
    <s v="Guwahati"/>
    <s v="Guwahati"/>
    <s v="Furniture"/>
    <x v="1"/>
    <s v="Chairs"/>
    <x v="4"/>
    <s v="Eco Chairs 105"/>
    <s v="First Class"/>
    <x v="2"/>
    <n v="4"/>
    <n v="4156.0600000000004"/>
    <n v="0.55000000000000004"/>
    <n v="0.55000000000000004"/>
    <s v="Valid"/>
    <n v="13299.39"/>
    <n v="7480.9080000000004"/>
    <n v="9851.91"/>
    <n v="3447.48"/>
    <n v="-2371.0019999999995"/>
    <n v="-9851.91"/>
    <s v="Paid"/>
    <s v="Paid"/>
    <s v="Cancelled"/>
    <x v="1"/>
    <s v="Clean"/>
  </r>
  <r>
    <s v="ORD-2025-10307"/>
    <n v="2"/>
    <s v="Unique"/>
    <s v="20 Feb 2025"/>
    <s v="2025-02-23"/>
    <d v="2025-02-20T00:00:00"/>
    <d v="2025-02-23T00:00:00"/>
    <x v="6"/>
    <x v="1"/>
    <s v="Valid"/>
    <s v="Valid"/>
    <n v="3"/>
    <s v="CUST-2589"/>
    <s v="Aarav Sharma"/>
    <s v="Aarav Sharma"/>
    <s v="Consumer"/>
    <x v="0"/>
    <s v="North"/>
    <x v="0"/>
    <s v="Rajasthan"/>
    <s v="Rajasthan"/>
    <s v="Jaipur"/>
    <s v="Jaipur"/>
    <s v="Technology"/>
    <x v="2"/>
    <s v="Phones"/>
    <x v="11"/>
    <s v="Pro Phones 530"/>
    <s v="Second Class"/>
    <x v="0"/>
    <n v="4"/>
    <n v="3673.11"/>
    <n v="0"/>
    <n v="0"/>
    <s v="Valid"/>
    <n v="14692.44"/>
    <n v="14692.44"/>
    <n v="10082.19"/>
    <n v="4610.25"/>
    <n v="4610.25"/>
    <n v="-10082.19"/>
    <s v="Paid"/>
    <s v="Paid"/>
    <s v="Completed"/>
    <x v="0"/>
    <s v="Clean"/>
  </r>
  <r>
    <s v="ORD-2025-10308"/>
    <n v="2"/>
    <s v="Unique"/>
    <s v="2025-07-12"/>
    <s v="19 Jul 2025"/>
    <d v="2025-12-07T00:00:00"/>
    <d v="2025-07-19T00:00:00"/>
    <x v="7"/>
    <x v="1"/>
    <s v="Valid"/>
    <s v="Valid"/>
    <n v="-141"/>
    <s v="CUST-4153"/>
    <s v="Ananya Rao"/>
    <s v="Ananya Rao"/>
    <s v="Corporate"/>
    <x v="2"/>
    <s v="North"/>
    <x v="0"/>
    <s v="Uttar Pradesh"/>
    <s v="Uttar Pradesh"/>
    <s v="Noida"/>
    <s v="Noida"/>
    <s v="Furniture"/>
    <x v="1"/>
    <s v="Tables"/>
    <x v="1"/>
    <s v="Basic Tables 911"/>
    <s v="First Class"/>
    <x v="2"/>
    <n v="9"/>
    <n v="4093.04"/>
    <n v="0.2"/>
    <n v="0.2"/>
    <s v="Valid"/>
    <n v="29469.89"/>
    <n v="29469.888000000003"/>
    <n v="18935.509999999998"/>
    <n v="10534.38"/>
    <n v="10534.378000000004"/>
    <n v="-18935.509999999998"/>
    <s v="Pending"/>
    <s v="Pending"/>
    <s v="Cancelled"/>
    <x v="1"/>
    <s v="Clean"/>
  </r>
  <r>
    <s v="ORD-2025-10309"/>
    <n v="1"/>
    <s v="Unique"/>
    <s v="2025-06-13"/>
    <s v="2025-06-19"/>
    <d v="2025-06-13T00:00:00"/>
    <d v="2025-06-19T00:00:00"/>
    <x v="2"/>
    <x v="1"/>
    <s v="Valid"/>
    <s v="Valid"/>
    <n v="6"/>
    <s v="CUST-6727"/>
    <s v="Rohan Mehta"/>
    <s v="Rohan Mehta"/>
    <s v="Consumer"/>
    <x v="0"/>
    <s v="North"/>
    <x v="0"/>
    <s v="Rajasthan"/>
    <s v="Rajasthan"/>
    <s v="Jaipur"/>
    <s v="Jaipur"/>
    <s v="Furniture"/>
    <x v="1"/>
    <s v="Tables"/>
    <x v="1"/>
    <s v="Classic Tables 224"/>
    <s v="First Class"/>
    <x v="2"/>
    <n v="4"/>
    <n v="731.57"/>
    <n v="0.2"/>
    <n v="0.2"/>
    <s v="Valid"/>
    <n v="2341.02"/>
    <n v="2341.0240000000003"/>
    <n v="1565.49"/>
    <n v="775.53"/>
    <n v="775.53400000000033"/>
    <n v="-1565.49"/>
    <s v="Paid"/>
    <s v="Paid"/>
    <s v="Completed"/>
    <x v="0"/>
    <s v="Clean"/>
  </r>
  <r>
    <s v="ORD-2024-10310"/>
    <n v="1"/>
    <s v="Unique"/>
    <s v="07/20/2024"/>
    <s v="2024-07-22"/>
    <d v="2024-07-20T00:00:00"/>
    <d v="2024-07-22T00:00:00"/>
    <x v="0"/>
    <x v="0"/>
    <s v="Valid"/>
    <s v="Valid"/>
    <n v="2"/>
    <s v="CUST-8860"/>
    <s v="Ananya Rao"/>
    <s v="Ananya Rao"/>
    <s v="Consumer"/>
    <x v="0"/>
    <s v="South"/>
    <x v="2"/>
    <s v="Tamil Nadu"/>
    <s v="Tamil Nadu"/>
    <s v="Chennai"/>
    <s v="Chennai"/>
    <s v="Furniture"/>
    <x v="1"/>
    <s v="Tables"/>
    <x v="1"/>
    <s v="Prime Tables 214"/>
    <s v="First Class"/>
    <x v="2"/>
    <n v="7"/>
    <n v="2060.73"/>
    <n v="0.1"/>
    <n v="0.1"/>
    <s v="Valid"/>
    <n v="12982.6"/>
    <n v="12982.599"/>
    <n v="7246.36"/>
    <n v="5736.24"/>
    <n v="5736.2390000000005"/>
    <n v="-7246.36"/>
    <s v="Paid"/>
    <s v="Paid"/>
    <s v="Cancelled"/>
    <x v="1"/>
    <s v="Clean"/>
  </r>
  <r>
    <s v="ORD-2024-10311"/>
    <n v="1"/>
    <s v="Unique"/>
    <s v="04-07-2024"/>
    <s v="08-07-2024"/>
    <d v="2024-04-07T00:00:00"/>
    <d v="2024-08-07T00:00:00"/>
    <x v="5"/>
    <x v="0"/>
    <s v="Valid"/>
    <s v="Valid"/>
    <n v="122"/>
    <s v="CUST-3784"/>
    <s v="Rohan Mehta"/>
    <s v="Rohan Mehta"/>
    <s v="Small Business"/>
    <x v="1"/>
    <s v="South"/>
    <x v="2"/>
    <s v="Tamil Nadu"/>
    <s v="Tamil Nadu"/>
    <s v="Chennai"/>
    <s v="Chennai"/>
    <s v="Technology"/>
    <x v="2"/>
    <s v="Machines"/>
    <x v="12"/>
    <s v="Max Machines 988"/>
    <s v="First Class"/>
    <x v="2"/>
    <n v="8"/>
    <n v="2034.25"/>
    <n v="0"/>
    <n v="0"/>
    <s v="Valid"/>
    <n v="16274"/>
    <n v="16274"/>
    <n v="9424.25"/>
    <n v="6849.75"/>
    <n v="6849.75"/>
    <n v="-9424.25"/>
    <s v="Paid"/>
    <s v="Paid"/>
    <s v="Completed"/>
    <x v="0"/>
    <s v="Clean"/>
  </r>
  <r>
    <s v="ORD-2024-10312"/>
    <n v="1"/>
    <s v="Unique"/>
    <s v="27-04-2024"/>
    <s v="02-05-2024"/>
    <d v="2024-04-27T00:00:00"/>
    <d v="2024-02-05T00:00:00"/>
    <x v="5"/>
    <x v="0"/>
    <s v="Valid"/>
    <s v="Valid"/>
    <n v="-82"/>
    <s v="CUST-3545"/>
    <s v="Mira Das"/>
    <s v="Mira Das"/>
    <s v="Corporate"/>
    <x v="2"/>
    <s v="South"/>
    <x v="2"/>
    <s v="Karnataka"/>
    <s v="Karnataka"/>
    <s v="Bengaluru"/>
    <s v="Bengaluru"/>
    <s v="Office Supplies"/>
    <x v="0"/>
    <s v="Binders"/>
    <x v="9"/>
    <s v="Max Binders 425"/>
    <s v="Second Class"/>
    <x v="0"/>
    <n v="5"/>
    <n v="554.04"/>
    <n v="0.1"/>
    <n v="0.1"/>
    <s v="Valid"/>
    <n v="2493.1799999999998"/>
    <n v="2493.1799999999998"/>
    <n v="1764"/>
    <n v="729.18"/>
    <n v="729.17999999999984"/>
    <n v="-1764"/>
    <s v="Paid"/>
    <s v="Paid"/>
    <s v="Completed"/>
    <x v="0"/>
    <s v="Clean"/>
  </r>
  <r>
    <s v="ORD-2024-10313"/>
    <n v="1"/>
    <s v="Unique"/>
    <s v="07/31/2024"/>
    <s v="04-08-2024"/>
    <d v="2024-07-31T00:00:00"/>
    <d v="2024-04-08T00:00:00"/>
    <x v="0"/>
    <x v="0"/>
    <s v="Valid"/>
    <s v="Valid"/>
    <n v="-114"/>
    <s v="CUST-4851"/>
    <s v="Karan Malhotra"/>
    <s v="Karan Malhotra"/>
    <s v="Small Business"/>
    <x v="1"/>
    <s v="East"/>
    <x v="1"/>
    <s v="Assam"/>
    <s v="Assam"/>
    <s v="Guwahati"/>
    <s v="Guwahati"/>
    <s v="Technology"/>
    <x v="2"/>
    <s v="Phones"/>
    <x v="11"/>
    <s v="Elite Phones 679"/>
    <s v="Standard Class"/>
    <x v="3"/>
    <n v="8"/>
    <n v="2614.7399999999998"/>
    <s v="Unknown"/>
    <s v="Unknown"/>
    <s v="Invalid - Above Range"/>
    <n v="15688.44"/>
    <s v="Unknown"/>
    <n v="10047.33"/>
    <n v="5641.11"/>
    <s v="Unknown"/>
    <s v="Unknown"/>
    <s v="Paid"/>
    <s v="Paid"/>
    <s v="Cancelled"/>
    <x v="1"/>
    <s v="Needs Review"/>
  </r>
  <r>
    <s v="ORD-2025-10314"/>
    <n v="2"/>
    <s v="Unique"/>
    <s v="2025-05-30"/>
    <s v="31-05-2025"/>
    <d v="2025-05-30T00:00:00"/>
    <d v="2025-05-31T00:00:00"/>
    <x v="4"/>
    <x v="1"/>
    <s v="Valid"/>
    <s v="Valid"/>
    <n v="1"/>
    <s v="CUST-4770"/>
    <s v="Rahul Verma"/>
    <s v="Rahul Verma"/>
    <s v="Corporate"/>
    <x v="2"/>
    <s v="North"/>
    <x v="0"/>
    <s v="Uttar Pradesh"/>
    <s v="Uttar Pradesh"/>
    <s v="Noida"/>
    <s v="Noida"/>
    <s v="Technology"/>
    <x v="2"/>
    <s v="Phones"/>
    <x v="11"/>
    <s v="Pro Phones 764"/>
    <s v="First Class"/>
    <x v="2"/>
    <n v="8"/>
    <n v="2081.4299999999998"/>
    <n v="0.25"/>
    <n v="0.25"/>
    <s v="Valid"/>
    <n v="12488.58"/>
    <n v="12488.579999999998"/>
    <n v="10717.4"/>
    <n v="1771.18"/>
    <n v="1771.1799999999985"/>
    <n v="-10717.4"/>
    <s v="Refunded"/>
    <s v="Refunded"/>
    <s v="Cancelled"/>
    <x v="1"/>
    <s v="Clean"/>
  </r>
  <r>
    <s v="ORD-2025-10315"/>
    <n v="2"/>
    <s v="Conflicting Duplicate"/>
    <s v="05/18/2025"/>
    <s v="20 May 2025"/>
    <d v="2025-05-18T00:00:00"/>
    <d v="2025-05-20T00:00:00"/>
    <x v="4"/>
    <x v="1"/>
    <s v="Valid"/>
    <s v="Valid"/>
    <n v="2"/>
    <s v="CUST-1945"/>
    <s v="Isha Nair"/>
    <s v="Isha Nair"/>
    <s v="Corporate"/>
    <x v="2"/>
    <s v="West"/>
    <x v="3"/>
    <s v="Madhya Pradesh"/>
    <s v="Madhya Pradesh"/>
    <s v="Indore"/>
    <s v="Indore"/>
    <s v="Office Supplies"/>
    <x v="0"/>
    <s v="Labels"/>
    <x v="7"/>
    <s v="Elite Labels 544"/>
    <s v="Standard Class"/>
    <x v="3"/>
    <n v="9"/>
    <n v="847.76"/>
    <n v="0.15"/>
    <n v="0.15"/>
    <s v="Valid"/>
    <n v="6485.36"/>
    <n v="6485.3639999999996"/>
    <n v="5376.17"/>
    <n v="1109.19"/>
    <n v="1109.1939999999995"/>
    <n v="-5376.17"/>
    <s v="Failed"/>
    <s v="Failed"/>
    <s v="Returned"/>
    <x v="2"/>
    <s v="Clean"/>
  </r>
  <r>
    <s v="ORD-2024-10316"/>
    <n v="1"/>
    <s v="Unique"/>
    <s v="2024-07-02"/>
    <s v="2024-07-08"/>
    <d v="2024-02-07T00:00:00"/>
    <d v="2024-08-07T00:00:00"/>
    <x v="6"/>
    <x v="0"/>
    <s v="Valid"/>
    <s v="Valid"/>
    <n v="182"/>
    <s v="CUST-7565"/>
    <s v="Rohan Mehta"/>
    <s v="Rohan Mehta"/>
    <s v="Consumer"/>
    <x v="0"/>
    <s v="North"/>
    <x v="0"/>
    <s v="Delhi"/>
    <s v="Delhi"/>
    <s v="New Delhi"/>
    <s v="New Delhi"/>
    <s v="Office Supplies"/>
    <x v="0"/>
    <s v="Paper"/>
    <x v="0"/>
    <s v="Smart Paper 817"/>
    <s v="Standard Class"/>
    <x v="3"/>
    <n v="9"/>
    <n v="3450.4"/>
    <n v="0.05"/>
    <n v="0.05"/>
    <s v="Valid"/>
    <n v="29500.92"/>
    <n v="29500.920000000002"/>
    <n v="17989.68"/>
    <n v="11511.24"/>
    <n v="11511.240000000002"/>
    <n v="-17989.68"/>
    <s v="Pending"/>
    <s v="Pending"/>
    <s v="Returned"/>
    <x v="2"/>
    <s v="Clean"/>
  </r>
  <r>
    <s v="ORD-2024-10317"/>
    <n v="1"/>
    <s v="Unique"/>
    <s v="16-02-2024"/>
    <s v="02/18/2024"/>
    <d v="2024-02-16T00:00:00"/>
    <d v="2024-02-18T00:00:00"/>
    <x v="6"/>
    <x v="0"/>
    <s v="Valid"/>
    <s v="Valid"/>
    <n v="2"/>
    <s v="CUST-9913"/>
    <s v="Karan Malhotra"/>
    <s v="Karan Malhotra"/>
    <s v="Corporate"/>
    <x v="2"/>
    <s v="North"/>
    <x v="0"/>
    <s v="Punjab"/>
    <s v="Punjab"/>
    <s v="Ludhiana"/>
    <s v="Ludhiana"/>
    <s v="Office Supplies"/>
    <x v="0"/>
    <s v="Labels"/>
    <x v="7"/>
    <s v="Classic Labels 466"/>
    <s v="Standard Class"/>
    <x v="3"/>
    <n v="2"/>
    <n v="1947.53"/>
    <n v="0.2"/>
    <n v="0.2"/>
    <s v="Valid"/>
    <n v="3116.05"/>
    <n v="3116.0480000000002"/>
    <n v="1956.63"/>
    <n v="1159.42"/>
    <n v="1159.4180000000001"/>
    <n v="-1956.63"/>
    <s v="Paid"/>
    <s v="Paid"/>
    <s v="Cancelled"/>
    <x v="1"/>
    <s v="Clean"/>
  </r>
  <r>
    <s v="ORD-2025-10318"/>
    <n v="3"/>
    <s v="Unique"/>
    <s v="29-08-2025"/>
    <s v="04 Sep 2025"/>
    <d v="2025-08-29T00:00:00"/>
    <d v="2025-04-09T00:00:00"/>
    <x v="1"/>
    <x v="1"/>
    <s v="Valid"/>
    <s v="Valid"/>
    <n v="-142"/>
    <s v="CUST-7992"/>
    <s v="Neha Gupta"/>
    <s v="Neha Gupta"/>
    <s v="Corporate"/>
    <x v="2"/>
    <s v="South"/>
    <x v="2"/>
    <s v="Kerala"/>
    <s v="Kerala"/>
    <s v="Kochi"/>
    <s v="Kochi"/>
    <s v="Furniture"/>
    <x v="1"/>
    <s v="Tables"/>
    <x v="1"/>
    <s v="Pro Tables 778"/>
    <s v="First Class"/>
    <x v="2"/>
    <n v="9"/>
    <n v="2996.97"/>
    <n v="0.15"/>
    <n v="0.15"/>
    <s v="Valid"/>
    <n v="22926.82"/>
    <n v="22926.820499999998"/>
    <n v="14621.59"/>
    <n v="8305.23"/>
    <n v="8305.2304999999978"/>
    <n v="-14621.59"/>
    <s v="Paid"/>
    <s v="Paid"/>
    <s v="Completed"/>
    <x v="0"/>
    <s v="Clean"/>
  </r>
  <r>
    <s v="ORD-2024-10319"/>
    <n v="1"/>
    <s v="Unique"/>
    <s v="25 Apr 2024"/>
    <s v="30-04-2024"/>
    <d v="2024-04-25T00:00:00"/>
    <d v="2024-04-30T00:00:00"/>
    <x v="5"/>
    <x v="0"/>
    <s v="Valid"/>
    <s v="Valid"/>
    <n v="5"/>
    <s v="CUST-8877"/>
    <s v="Mira Das"/>
    <s v="Mira Das"/>
    <s v="Small Business"/>
    <x v="1"/>
    <s v="South"/>
    <x v="2"/>
    <s v="Karnataka"/>
    <s v="Karnataka"/>
    <s v="Bengaluru"/>
    <s v="Bengaluru"/>
    <s v="Technology"/>
    <x v="2"/>
    <s v="Phones"/>
    <x v="11"/>
    <s v="Basic Phones 789"/>
    <s v="Standard Class"/>
    <x v="3"/>
    <n v="3"/>
    <n v="4149.46"/>
    <n v="0.1"/>
    <n v="0.1"/>
    <s v="Valid"/>
    <n v="11203.54"/>
    <n v="11203.542000000001"/>
    <n v="8452.93"/>
    <n v="2750.61"/>
    <n v="2750.612000000001"/>
    <n v="-8452.93"/>
    <s v="Paid"/>
    <s v="Paid"/>
    <s v="Completed"/>
    <x v="0"/>
    <s v="Clean"/>
  </r>
  <r>
    <s v="ORD-2024-10320"/>
    <n v="1"/>
    <s v="Unique"/>
    <s v="21 Aug 2024"/>
    <s v="08/25/2024"/>
    <d v="2024-08-21T00:00:00"/>
    <d v="2024-08-25T00:00:00"/>
    <x v="1"/>
    <x v="0"/>
    <s v="Valid"/>
    <s v="Valid"/>
    <n v="4"/>
    <s v="CUST-4589"/>
    <s v="Diya Patel"/>
    <s v="Diya Patel"/>
    <s v="Consumer"/>
    <x v="0"/>
    <s v="West"/>
    <x v="3"/>
    <s v="Gujarat"/>
    <s v="Gujarat"/>
    <s v="Ahmedabad"/>
    <s v="Ahmedabad"/>
    <s v="Office Supplies"/>
    <x v="0"/>
    <s v="Binders"/>
    <x v="9"/>
    <s v="Prime Binders 554"/>
    <s v="First Class"/>
    <x v="2"/>
    <n v="1"/>
    <n v="270.27999999999997"/>
    <n v="0"/>
    <n v="0"/>
    <s v="Valid"/>
    <n v="270.27999999999997"/>
    <n v="270.27999999999997"/>
    <n v="156.34"/>
    <n v="113.94"/>
    <n v="113.93999999999997"/>
    <n v="-156.34"/>
    <s v="Paid"/>
    <s v="Paid"/>
    <s v="Completed"/>
    <x v="0"/>
    <s v="Clean"/>
  </r>
  <r>
    <s v="ORD-2024-10321"/>
    <n v="1"/>
    <s v="Unique"/>
    <s v="12/04/2024"/>
    <s v="12/06/2024"/>
    <d v="2024-12-04T00:00:00"/>
    <d v="2024-12-06T00:00:00"/>
    <x v="7"/>
    <x v="0"/>
    <s v="Valid"/>
    <s v="Valid"/>
    <n v="2"/>
    <s v="CUST-4667"/>
    <s v="Aarav Sharma"/>
    <s v="Aarav Sharma"/>
    <s v="Home Office"/>
    <x v="3"/>
    <s v="East"/>
    <x v="1"/>
    <s v="West Bengal"/>
    <s v="West Bengal"/>
    <s v="Kolkata"/>
    <s v="Kolkata"/>
    <s v="Office Supplies"/>
    <x v="0"/>
    <s v="Art"/>
    <x v="2"/>
    <s v="Classic Art 299"/>
    <s v="Second Class"/>
    <x v="0"/>
    <n v="3"/>
    <n v="876.14"/>
    <s v="70%"/>
    <n v="0.7"/>
    <s v="Invalid - Above Range"/>
    <n v="2628.42"/>
    <n v="788.52600000000018"/>
    <n v="1541.54"/>
    <n v="1086.8800000000001"/>
    <n v="-753.01399999999978"/>
    <n v="-1541.54"/>
    <s v="Pending"/>
    <s v="Pending"/>
    <s v="Returned"/>
    <x v="2"/>
    <s v="Clean"/>
  </r>
  <r>
    <s v="ORD-2024-10322"/>
    <n v="1"/>
    <s v="Unique"/>
    <s v="06/23/2024"/>
    <s v="30 Jun 2024"/>
    <d v="2024-06-23T00:00:00"/>
    <d v="2024-06-30T00:00:00"/>
    <x v="2"/>
    <x v="0"/>
    <s v="Valid"/>
    <s v="Valid"/>
    <n v="7"/>
    <s v="CUST-7821"/>
    <s v="Neha Gupta"/>
    <s v="Neha Gupta"/>
    <s v="Small Business"/>
    <x v="1"/>
    <s v="West"/>
    <x v="3"/>
    <s v="Goa"/>
    <s v="Goa"/>
    <s v="Panaji"/>
    <s v="Panaji"/>
    <s v="Technology"/>
    <x v="2"/>
    <s v="Accessories"/>
    <x v="5"/>
    <s v="Eco Accessories 220"/>
    <s v="Same Day"/>
    <x v="1"/>
    <n v="4"/>
    <n v="674.82"/>
    <n v="0"/>
    <n v="0"/>
    <s v="Valid"/>
    <n v="2699.28"/>
    <n v="2699.28"/>
    <n v="1759.76"/>
    <n v="939.52"/>
    <n v="939.52000000000021"/>
    <n v="-1759.76"/>
    <s v="Failed"/>
    <s v="Failed"/>
    <s v="Cancelled"/>
    <x v="1"/>
    <s v="Clean"/>
  </r>
  <r>
    <s v="ORD-2024-10323"/>
    <n v="2"/>
    <s v="Unique"/>
    <s v="2024-11-12"/>
    <s v="12-11-2024"/>
    <d v="2024-12-11T00:00:00"/>
    <d v="2024-12-11T00:00:00"/>
    <x v="7"/>
    <x v="0"/>
    <s v="Valid"/>
    <s v="Valid"/>
    <n v="0"/>
    <s v="CUST-8579"/>
    <s v="Isha Nair"/>
    <s v="Isha Nair"/>
    <s v="Consumer"/>
    <x v="0"/>
    <s v="North"/>
    <x v="0"/>
    <s v="Uttar Pradesh"/>
    <s v="Uttar Pradesh"/>
    <s v="Noida"/>
    <s v="Noida"/>
    <s v="Technology"/>
    <x v="2"/>
    <s v="Phones"/>
    <x v="11"/>
    <s v="Max Phones 422"/>
    <s v="Second Class"/>
    <x v="0"/>
    <n v="6"/>
    <n v="1369.48"/>
    <n v="0.15"/>
    <n v="0.15"/>
    <s v="Valid"/>
    <n v="6984.35"/>
    <n v="6984.3480000000009"/>
    <n v="4023.63"/>
    <n v="2960.72"/>
    <n v="2960.7180000000008"/>
    <n v="-4023.63"/>
    <s v="Paid"/>
    <s v="Paid"/>
    <s v="Completed"/>
    <x v="0"/>
    <s v="Clean"/>
  </r>
  <r>
    <s v="ORD-2024-10324"/>
    <n v="1"/>
    <s v="Unique"/>
    <s v="25-02-2024"/>
    <s v="29 Feb 2024"/>
    <d v="2024-02-25T00:00:00"/>
    <d v="2024-02-29T00:00:00"/>
    <x v="6"/>
    <x v="0"/>
    <s v="Valid"/>
    <s v="Valid"/>
    <n v="4"/>
    <s v="CUST-6909"/>
    <s v="Isha Nair"/>
    <s v="Isha Nair"/>
    <s v="Small Business"/>
    <x v="1"/>
    <s v="West"/>
    <x v="3"/>
    <s v="Goa"/>
    <s v="Goa"/>
    <s v="Panaji"/>
    <s v="Panaji"/>
    <s v="Furniture"/>
    <x v="1"/>
    <s v="Furnishings"/>
    <x v="3"/>
    <s v="Eco Furnishings 897"/>
    <s v="Standard Class"/>
    <x v="3"/>
    <n v="9"/>
    <n v="1331.46"/>
    <n v="0.15"/>
    <n v="0.15"/>
    <s v="Valid"/>
    <n v="10185.67"/>
    <n v="10185.669"/>
    <n v="6479.31"/>
    <n v="3706.36"/>
    <n v="3706.3589999999995"/>
    <n v="-6479.31"/>
    <s v="Paid"/>
    <s v="Paid"/>
    <s v="Completed"/>
    <x v="0"/>
    <s v="Clean"/>
  </r>
  <r>
    <s v="ORD-2025-10325"/>
    <n v="1"/>
    <s v="Unique"/>
    <s v="31 Jul 2025"/>
    <s v="02-08-2025"/>
    <d v="2025-07-31T00:00:00"/>
    <d v="2025-02-08T00:00:00"/>
    <x v="0"/>
    <x v="1"/>
    <s v="Valid"/>
    <s v="Valid"/>
    <n v="-173"/>
    <s v="CUST-7212"/>
    <s v="Rohan Mehta"/>
    <s v="Rohan Mehta"/>
    <s v="Home Office"/>
    <x v="3"/>
    <s v="South"/>
    <x v="2"/>
    <s v="Andhra Pradesh"/>
    <s v="Andhra Pradesh"/>
    <s v="Vijayawada"/>
    <s v="Vijayawada"/>
    <s v="Office Supplies"/>
    <x v="0"/>
    <s v="Labels"/>
    <x v="7"/>
    <s v="Basic Labels 102"/>
    <s v="Same Day"/>
    <x v="1"/>
    <n v="1"/>
    <n v="1947.88"/>
    <n v="0.15"/>
    <n v="0.15"/>
    <s v="Valid"/>
    <n v="1655.7"/>
    <n v="1655.6980000000001"/>
    <n v="1354.8"/>
    <n v="300.89999999999998"/>
    <n v="300.89800000000014"/>
    <n v="-1354.8"/>
    <s v="Paid"/>
    <s v="Paid"/>
    <s v="Returned"/>
    <x v="2"/>
    <s v="Clean"/>
  </r>
  <r>
    <s v="ORD-2025-10326"/>
    <n v="1"/>
    <s v="Unique"/>
    <s v="09/16/2025"/>
    <s v="2025-09-22"/>
    <d v="2025-09-16T00:00:00"/>
    <d v="2025-09-22T00:00:00"/>
    <x v="9"/>
    <x v="1"/>
    <s v="Valid"/>
    <s v="Valid"/>
    <n v="6"/>
    <s v="CUST-7980"/>
    <s v="Sneha Kapoor"/>
    <s v="Sneha Kapoor"/>
    <s v="Home Office"/>
    <x v="3"/>
    <s v="East"/>
    <x v="1"/>
    <s v="West Bengal"/>
    <s v="West Bengal"/>
    <s v="Kolkata"/>
    <s v="Kolkata"/>
    <s v="Technology"/>
    <x v="2"/>
    <s v="Copiers"/>
    <x v="6"/>
    <s v="Prime Copiers 170"/>
    <s v="Second Class"/>
    <x v="0"/>
    <n v="5"/>
    <n v="3671.2"/>
    <n v="0.15"/>
    <n v="0.15"/>
    <s v="Valid"/>
    <n v="15602.6"/>
    <n v="15602.6"/>
    <n v="11908.52"/>
    <n v="3694.08"/>
    <n v="3694.08"/>
    <n v="-11908.52"/>
    <s v="Paid"/>
    <s v="Paid"/>
    <s v="Completed"/>
    <x v="0"/>
    <s v="Clean"/>
  </r>
  <r>
    <s v="ORD-2025-10327"/>
    <n v="2"/>
    <s v="Unique"/>
    <s v="2025-07-22"/>
    <s v="07/22/2025"/>
    <d v="2025-07-22T00:00:00"/>
    <d v="2025-07-22T00:00:00"/>
    <x v="0"/>
    <x v="1"/>
    <s v="Valid"/>
    <s v="Valid"/>
    <n v="0"/>
    <s v="CUST-1966"/>
    <s v="Sneha Kapoor"/>
    <s v="Sneha Kapoor"/>
    <s v="Corporate"/>
    <x v="2"/>
    <s v="East"/>
    <x v="1"/>
    <s v="Jharkhand"/>
    <s v="Jharkhand"/>
    <s v="Ranchi"/>
    <s v="Ranchi"/>
    <s v="Furniture"/>
    <x v="1"/>
    <s v="Furnishings"/>
    <x v="3"/>
    <s v="Smart Furnishings 533"/>
    <s v="Same Day"/>
    <x v="1"/>
    <n v="5"/>
    <n v="3187.05"/>
    <n v="0.05"/>
    <n v="0.05"/>
    <s v="Valid"/>
    <n v="15138.49"/>
    <n v="15138.487499999999"/>
    <n v="11235.72"/>
    <n v="3902.77"/>
    <n v="3902.7674999999999"/>
    <n v="-11235.72"/>
    <s v="Paid"/>
    <s v="Paid"/>
    <s v="Completed"/>
    <x v="0"/>
    <s v="Clean"/>
  </r>
  <r>
    <s v="ORD-2024-10328"/>
    <n v="1"/>
    <s v="Unique"/>
    <s v="2024-07-24"/>
    <s v="27-07-2024"/>
    <d v="2024-07-24T00:00:00"/>
    <d v="2024-07-27T00:00:00"/>
    <x v="0"/>
    <x v="0"/>
    <s v="Valid"/>
    <s v="Valid"/>
    <n v="3"/>
    <s v="CUST-6163"/>
    <s v="Isha Nair"/>
    <s v="Isha Nair"/>
    <s v="Consumer"/>
    <x v="0"/>
    <s v="West"/>
    <x v="3"/>
    <s v="Rajasthan"/>
    <s v="Rajasthan"/>
    <s v="Udaipur"/>
    <s v="Udaipur"/>
    <s v="Technology"/>
    <x v="2"/>
    <s v="Accessories"/>
    <x v="5"/>
    <s v="Classic Accessories 489"/>
    <s v="Second Class"/>
    <x v="0"/>
    <n v="3"/>
    <n v="1834.55"/>
    <n v="0.2"/>
    <n v="0.2"/>
    <s v="Valid"/>
    <n v="4402.92"/>
    <n v="4402.92"/>
    <n v="2993.94"/>
    <n v="1408.98"/>
    <n v="1408.98"/>
    <n v="-2993.94"/>
    <s v="Pending"/>
    <s v="Pending"/>
    <s v="Cancelled"/>
    <x v="1"/>
    <s v="Clean"/>
  </r>
  <r>
    <s v="ORD-2025-10329"/>
    <n v="1"/>
    <s v="Unique"/>
    <s v="2025-05-29"/>
    <s v="04 Jun 2025"/>
    <d v="2025-05-29T00:00:00"/>
    <d v="2025-04-06T00:00:00"/>
    <x v="4"/>
    <x v="1"/>
    <s v="Valid"/>
    <s v="Valid"/>
    <n v="-53"/>
    <s v="CUST-7239"/>
    <s v="Diya Patel"/>
    <s v="Diya Patel"/>
    <s v="Consumer"/>
    <x v="0"/>
    <s v="West"/>
    <x v="3"/>
    <s v="Maharashtra"/>
    <s v="Maharashtra"/>
    <s v="Mumbai"/>
    <s v="Mumbai"/>
    <s v="Office Supplies"/>
    <x v="0"/>
    <s v="Storage"/>
    <x v="8"/>
    <s v="Smart Storage 439"/>
    <s v="First Class"/>
    <x v="2"/>
    <n v="6"/>
    <n v="3100.68"/>
    <n v="0"/>
    <n v="0"/>
    <s v="Valid"/>
    <n v="18604.080000000002"/>
    <n v="18604.079999999998"/>
    <n v="15834.3"/>
    <n v="2769.78"/>
    <n v="2769.7799999999988"/>
    <n v="-15834.3"/>
    <s v="Paid"/>
    <s v="Paid"/>
    <s v="Completed"/>
    <x v="0"/>
    <s v="Clean"/>
  </r>
  <r>
    <s v="ORD-2025-10330"/>
    <n v="1"/>
    <s v="Unique"/>
    <s v="12 May 2025"/>
    <s v="2025-05-18"/>
    <d v="2025-12-05T00:00:00"/>
    <d v="2025-05-18T00:00:00"/>
    <x v="7"/>
    <x v="1"/>
    <s v="Valid"/>
    <s v="Valid"/>
    <n v="-201"/>
    <s v="CUST-9718"/>
    <s v="Neha Gupta"/>
    <s v="Neha Gupta"/>
    <s v="Small Business"/>
    <x v="1"/>
    <s v="West"/>
    <x v="3"/>
    <s v="Maharashtra"/>
    <s v="Maharashtra"/>
    <s v="Mumbai"/>
    <s v="Mumbai"/>
    <s v="Office Supplies"/>
    <x v="0"/>
    <s v="Storage"/>
    <x v="8"/>
    <s v="Prime Storage 232"/>
    <s v="Standard Class"/>
    <x v="3"/>
    <n v="4"/>
    <n v="4053.03"/>
    <n v="0.05"/>
    <n v="0.05"/>
    <s v="Valid"/>
    <n v="15401.51"/>
    <n v="15401.513999999999"/>
    <n v="8650.42"/>
    <n v="6751.09"/>
    <n v="6751.0939999999991"/>
    <n v="-8650.42"/>
    <s v="Paid"/>
    <s v="Paid"/>
    <s v="Completed"/>
    <x v="0"/>
    <s v="Clean"/>
  </r>
  <r>
    <s v="ORD-2024-10331"/>
    <n v="2"/>
    <s v="Unique"/>
    <s v="05/16/2024"/>
    <s v="05/24/2024"/>
    <d v="2024-05-16T00:00:00"/>
    <d v="2024-05-24T00:00:00"/>
    <x v="4"/>
    <x v="0"/>
    <s v="Valid"/>
    <s v="Valid"/>
    <n v="8"/>
    <s v="CUST-1116"/>
    <s v="Arjun Bose"/>
    <s v="Arjun Bose"/>
    <s v="Home Office"/>
    <x v="3"/>
    <s v="North"/>
    <x v="0"/>
    <s v="Punjab"/>
    <s v="Punjab"/>
    <s v="Ludhiana"/>
    <s v="Ludhiana"/>
    <s v="Technology"/>
    <x v="2"/>
    <s v="Accessories"/>
    <x v="5"/>
    <s v="Prime Accessories 335"/>
    <s v="Same Day"/>
    <x v="1"/>
    <n v="1"/>
    <n v="783.09"/>
    <n v="0"/>
    <n v="0"/>
    <s v="Valid"/>
    <n v="783.09"/>
    <n v="783.09"/>
    <n v="503.89"/>
    <n v="279.2"/>
    <n v="279.20000000000005"/>
    <n v="-503.89"/>
    <s v="Failed"/>
    <s v="Failed"/>
    <s v="Cancelled"/>
    <x v="1"/>
    <s v="Clean"/>
  </r>
  <r>
    <s v="ORD-2024-10332"/>
    <n v="1"/>
    <s v="Conflicting Duplicate"/>
    <s v="04-12-2024"/>
    <s v="2024-12-06"/>
    <d v="2024-04-12T00:00:00"/>
    <d v="2024-06-12T00:00:00"/>
    <x v="5"/>
    <x v="0"/>
    <s v="Valid"/>
    <s v="Valid"/>
    <n v="61"/>
    <s v="CUST-9346"/>
    <s v="Sneha Kapoor"/>
    <s v="Sneha Kapoor"/>
    <s v="Home Office"/>
    <x v="3"/>
    <s v="East"/>
    <x v="1"/>
    <s v="Odisha"/>
    <s v="Odisha"/>
    <s v="Bhubaneswar"/>
    <s v="Bhubaneswar"/>
    <s v="Office Supplies"/>
    <x v="0"/>
    <s v="Binders"/>
    <x v="9"/>
    <s v="Smart Binders 939"/>
    <s v="Second Class"/>
    <x v="0"/>
    <n v="4"/>
    <n v="2685.66"/>
    <n v="0"/>
    <n v="0"/>
    <s v="Valid"/>
    <n v="10742.64"/>
    <n v="10742.64"/>
    <n v="6477.37"/>
    <n v="4265.2700000000004"/>
    <n v="4265.2699999999995"/>
    <n v="-6477.37"/>
    <s v="Paid"/>
    <s v="Paid"/>
    <s v="Returned"/>
    <x v="2"/>
    <s v="Clean"/>
  </r>
  <r>
    <s v="ORD-2025-10333"/>
    <n v="1"/>
    <s v="Unique"/>
    <s v="27 May 2025"/>
    <s v="2025-05-28"/>
    <d v="2025-05-27T00:00:00"/>
    <d v="2025-05-28T00:00:00"/>
    <x v="4"/>
    <x v="1"/>
    <s v="Valid"/>
    <s v="Valid"/>
    <n v="1"/>
    <s v="CUST-5332"/>
    <s v="Aarav Sharma"/>
    <s v="Aarav Sharma"/>
    <s v="Consumer"/>
    <x v="0"/>
    <s v="South"/>
    <x v="2"/>
    <s v="Andhra Pradesh"/>
    <s v="Andhra Pradesh"/>
    <s v="Vijayawada"/>
    <s v="Vijayawada"/>
    <s v="Technology"/>
    <x v="2"/>
    <s v="Machines"/>
    <x v="12"/>
    <s v="Basic Machines 601"/>
    <s v="Second Class"/>
    <x v="0"/>
    <n v="2"/>
    <n v="3911.96"/>
    <n v="0"/>
    <n v="0"/>
    <s v="Valid"/>
    <n v="7823.92"/>
    <n v="7823.92"/>
    <n v="6034.63"/>
    <n v="1789.29"/>
    <n v="1789.29"/>
    <n v="-6034.63"/>
    <s v="Paid"/>
    <s v="Paid"/>
    <s v="Completed"/>
    <x v="0"/>
    <s v="Clean"/>
  </r>
  <r>
    <s v="ORD-2025-10334"/>
    <n v="1"/>
    <s v="Unique"/>
    <s v="22 Jun 2025"/>
    <s v="2025-06-27"/>
    <d v="2025-06-22T00:00:00"/>
    <d v="2025-06-27T00:00:00"/>
    <x v="2"/>
    <x v="1"/>
    <s v="Valid"/>
    <s v="Valid"/>
    <n v="5"/>
    <s v="CUST-8081"/>
    <s v="Rohan Mehta"/>
    <s v="Rohan Mehta"/>
    <s v="Home Office"/>
    <x v="3"/>
    <s v="Unknown"/>
    <x v="4"/>
    <s v="Delhi"/>
    <s v="Delhi"/>
    <s v="New Delhi"/>
    <s v="New Delhi"/>
    <s v="Technology"/>
    <x v="2"/>
    <s v="Phones"/>
    <x v="11"/>
    <s v="Pro Phones 968"/>
    <s v="First Class"/>
    <x v="2"/>
    <n v="2"/>
    <n v="1468.05"/>
    <n v="0"/>
    <n v="0"/>
    <s v="Valid"/>
    <n v="2936.1"/>
    <n v="2936.1"/>
    <n v="1923.1"/>
    <n v="1013"/>
    <n v="1013"/>
    <n v="-1923.1"/>
    <s v="Paid"/>
    <s v="Paid"/>
    <s v="Completed"/>
    <x v="0"/>
    <s v="Clean"/>
  </r>
  <r>
    <s v="ORD-2024-10335"/>
    <n v="2"/>
    <s v="Unique"/>
    <s v="12 Sep 2024"/>
    <s v="17-09-2024"/>
    <d v="2024-12-09T00:00:00"/>
    <d v="2024-09-17T00:00:00"/>
    <x v="7"/>
    <x v="0"/>
    <s v="Valid"/>
    <s v="Valid"/>
    <n v="-83"/>
    <s v="CUST-3062"/>
    <s v="Ananya Rao"/>
    <s v="Ananya Rao"/>
    <s v="Consumer"/>
    <x v="0"/>
    <s v="East"/>
    <x v="1"/>
    <s v="Jharkhand"/>
    <s v="Jharkhand"/>
    <s v="Ranchi"/>
    <s v="Ranchi"/>
    <s v="Office Supplies"/>
    <x v="0"/>
    <s v="Storage"/>
    <x v="8"/>
    <s v="Pro Storage 563"/>
    <s v="First Class"/>
    <x v="2"/>
    <n v="9"/>
    <n v="1921.47"/>
    <n v="0.25"/>
    <n v="0.25"/>
    <s v="Valid"/>
    <n v="12969.92"/>
    <n v="12969.922500000001"/>
    <n v="9398.4599999999991"/>
    <n v="3571.46"/>
    <n v="3571.4625000000015"/>
    <n v="-9398.4599999999991"/>
    <s v="Paid"/>
    <s v="Paid"/>
    <s v="Completed"/>
    <x v="0"/>
    <s v="Clean"/>
  </r>
  <r>
    <s v="ORD-2025-10336"/>
    <n v="1"/>
    <s v="Conflicting Duplicate"/>
    <s v="06/16/2025"/>
    <s v="18 Jun 2025"/>
    <d v="2025-06-16T00:00:00"/>
    <d v="2025-06-18T00:00:00"/>
    <x v="2"/>
    <x v="1"/>
    <s v="Valid"/>
    <s v="Valid"/>
    <n v="2"/>
    <s v="CUST-3621"/>
    <s v="Rahul Verma"/>
    <s v="Rahul Verma"/>
    <s v="Home Office"/>
    <x v="3"/>
    <s v="West"/>
    <x v="3"/>
    <s v="Madhya Pradesh"/>
    <s v="Madhya Pradesh"/>
    <s v="Indore"/>
    <s v="Indore"/>
    <s v="Office Supplies"/>
    <x v="0"/>
    <s v="Paper"/>
    <x v="0"/>
    <s v="Prime Paper 559"/>
    <s v="First Class"/>
    <x v="2"/>
    <n v="3"/>
    <n v="4289.37"/>
    <n v="0.1"/>
    <n v="0.1"/>
    <s v="Valid"/>
    <n v="11581.3"/>
    <n v="11581.299000000001"/>
    <n v="6829.43"/>
    <n v="4751.87"/>
    <n v="4751.8690000000006"/>
    <n v="-6829.43"/>
    <s v="Paid"/>
    <s v="Paid"/>
    <s v="Completed"/>
    <x v="0"/>
    <s v="Clean"/>
  </r>
  <r>
    <s v="ORD-2024-10337"/>
    <n v="2"/>
    <s v="Unique"/>
    <s v="17-03-2024"/>
    <s v="03/21/2024"/>
    <d v="2024-03-17T00:00:00"/>
    <d v="2024-03-21T00:00:00"/>
    <x v="11"/>
    <x v="0"/>
    <s v="Valid"/>
    <s v="Valid"/>
    <n v="4"/>
    <s v="CUST-2103"/>
    <s v="Aarav Sharma"/>
    <s v="Aarav Sharma"/>
    <s v="Consumer"/>
    <x v="0"/>
    <s v="North"/>
    <x v="0"/>
    <s v="Rajasthan"/>
    <s v="Rajasthan"/>
    <s v="Jaipur"/>
    <s v="Jaipur"/>
    <s v="Technology"/>
    <x v="2"/>
    <s v="Copiers"/>
    <x v="6"/>
    <s v="Pro Copiers 999"/>
    <s v="First Class"/>
    <x v="2"/>
    <n v="8"/>
    <n v="1992.57"/>
    <n v="0"/>
    <n v="0"/>
    <s v="Valid"/>
    <n v="15940.56"/>
    <n v="15940.56"/>
    <n v="12347.15"/>
    <n v="3593.41"/>
    <n v="3593.41"/>
    <n v="-12347.15"/>
    <s v="Paid"/>
    <s v="Paid"/>
    <s v="Completed"/>
    <x v="0"/>
    <s v="Clean"/>
  </r>
  <r>
    <s v="ORD-2024-10338"/>
    <n v="3"/>
    <s v="Unique"/>
    <s v="12 Aug 2024"/>
    <s v="18 Aug 2024"/>
    <d v="2024-12-08T00:00:00"/>
    <d v="2024-08-18T00:00:00"/>
    <x v="7"/>
    <x v="0"/>
    <s v="Valid"/>
    <s v="Valid"/>
    <n v="-112"/>
    <s v="CUST-4599"/>
    <s v="Ananya Rao"/>
    <s v="Ananya Rao"/>
    <s v="Consumer"/>
    <x v="0"/>
    <s v="East"/>
    <x v="1"/>
    <s v="Assam"/>
    <s v="Assam"/>
    <s v="Guwahati"/>
    <s v="Guwahati"/>
    <s v="Office Supplies"/>
    <x v="0"/>
    <s v="Labels"/>
    <x v="7"/>
    <s v="Classic Labels 206"/>
    <s v="Same Day"/>
    <x v="1"/>
    <n v="6"/>
    <n v="1181.74"/>
    <n v="0"/>
    <n v="0"/>
    <s v="Valid"/>
    <n v="7090.44"/>
    <n v="7090.4400000000005"/>
    <n v="5672.27"/>
    <n v="1262.8699999999999"/>
    <n v="1418.17"/>
    <n v="-5672.27"/>
    <s v="Paid"/>
    <s v="Paid"/>
    <s v="Completed"/>
    <x v="0"/>
    <s v="Clean"/>
  </r>
  <r>
    <s v="ORD-2024-10339"/>
    <n v="1"/>
    <s v="Unique"/>
    <s v="08-12-2024"/>
    <s v="12/08/2024"/>
    <d v="2024-08-12T00:00:00"/>
    <d v="2024-12-08T00:00:00"/>
    <x v="1"/>
    <x v="0"/>
    <s v="Valid"/>
    <s v="Valid"/>
    <n v="118"/>
    <s v="CUST-3066"/>
    <s v="Arjun Bose"/>
    <s v="Arjun Bose"/>
    <s v="Small Business"/>
    <x v="1"/>
    <s v="South"/>
    <x v="2"/>
    <s v="Andhra Pradesh"/>
    <s v="Andhra Pradesh"/>
    <s v="Vijayawada"/>
    <s v="Vijayawada"/>
    <s v="Technology"/>
    <x v="2"/>
    <s v="Accessories"/>
    <x v="5"/>
    <s v="Eco Accessories 315"/>
    <s v="First Class"/>
    <x v="2"/>
    <n v="8"/>
    <n v="4402.3599999999997"/>
    <n v="0.25"/>
    <n v="0.25"/>
    <s v="Valid"/>
    <n v="26414.16"/>
    <n v="26414.159999999996"/>
    <n v="21822.53"/>
    <n v="4591.63"/>
    <n v="4591.6299999999974"/>
    <n v="-21822.53"/>
    <s v="Paid"/>
    <s v="Paid"/>
    <s v="Completed"/>
    <x v="0"/>
    <s v="Clean"/>
  </r>
  <r>
    <s v="ORD-2025-10340"/>
    <n v="3"/>
    <s v="Unique"/>
    <s v="20-02-2025"/>
    <s v="22-02-2025"/>
    <d v="2025-02-20T00:00:00"/>
    <d v="2025-02-22T00:00:00"/>
    <x v="6"/>
    <x v="1"/>
    <s v="Valid"/>
    <s v="Valid"/>
    <n v="2"/>
    <s v="CUST-2752"/>
    <s v="Neha Gupta"/>
    <s v="Neha Gupta"/>
    <s v="Corporate"/>
    <x v="2"/>
    <s v="East"/>
    <x v="1"/>
    <s v="Jharkhand"/>
    <s v="Jharkhand"/>
    <s v="Ranchi"/>
    <s v="Ranchi"/>
    <s v="Furniture"/>
    <x v="1"/>
    <s v="Bookcases"/>
    <x v="10"/>
    <s v="Elite Bookcases 988"/>
    <s v="Standard Class"/>
    <x v="3"/>
    <n v="8"/>
    <n v="3265.76"/>
    <n v="0.2"/>
    <n v="0.2"/>
    <s v="Valid"/>
    <n v="20900.86"/>
    <n v="20900.864000000001"/>
    <n v="12513.14"/>
    <n v="8387.7199999999993"/>
    <n v="8387.724000000002"/>
    <n v="-12513.14"/>
    <s v="Paid"/>
    <s v="Paid"/>
    <s v="Completed"/>
    <x v="0"/>
    <s v="Clean"/>
  </r>
  <r>
    <s v="ORD-2024-10341"/>
    <n v="1"/>
    <s v="Unique"/>
    <s v="21 Jan 2024"/>
    <s v="01/29/2024"/>
    <d v="2024-01-21T00:00:00"/>
    <d v="2024-01-29T00:00:00"/>
    <x v="8"/>
    <x v="0"/>
    <s v="Valid"/>
    <s v="Valid"/>
    <n v="8"/>
    <s v="CUST-6291"/>
    <s v="Neha Gupta"/>
    <s v="Neha Gupta"/>
    <s v="Consumer"/>
    <x v="0"/>
    <s v="South"/>
    <x v="2"/>
    <s v="Karnataka"/>
    <s v="Karnataka"/>
    <s v="Bengaluru"/>
    <s v="Bengaluru"/>
    <s v="Office Supplies"/>
    <x v="0"/>
    <s v="Binders"/>
    <x v="9"/>
    <s v="Smart Binders 414"/>
    <s v="Standard Class"/>
    <x v="3"/>
    <n v="5"/>
    <n v="4058.08"/>
    <n v="0.1"/>
    <n v="0.1"/>
    <s v="Valid"/>
    <n v="18261.36"/>
    <n v="18261.36"/>
    <n v="11399.94"/>
    <n v="6861.42"/>
    <n v="6861.42"/>
    <n v="-11399.94"/>
    <s v="Paid"/>
    <s v="Paid"/>
    <s v="Completed"/>
    <x v="0"/>
    <s v="Clean"/>
  </r>
  <r>
    <s v="ORD-2025-10342"/>
    <n v="1"/>
    <s v="Unique"/>
    <s v="08 Sep 2025"/>
    <s v="2025-09-09"/>
    <d v="2025-08-09T00:00:00"/>
    <d v="2025-09-09T00:00:00"/>
    <x v="1"/>
    <x v="1"/>
    <s v="Valid"/>
    <s v="Valid"/>
    <n v="31"/>
    <s v="CUST-9969"/>
    <s v="Rohan Mehta"/>
    <s v="Rohan Mehta"/>
    <s v="Home Office"/>
    <x v="3"/>
    <s v="West"/>
    <x v="3"/>
    <s v="Gujarat"/>
    <s v="Gujarat"/>
    <s v="Ahmedabad"/>
    <s v="Ahmedabad"/>
    <s v="Furniture"/>
    <x v="1"/>
    <s v="Chairs"/>
    <x v="4"/>
    <s v="Eco Chairs 552"/>
    <s v="Second Class"/>
    <x v="0"/>
    <n v="2"/>
    <n v="3960.33"/>
    <n v="0.05"/>
    <n v="0.05"/>
    <s v="Valid"/>
    <n v="7524.63"/>
    <n v="7524.6269999999995"/>
    <n v="6229.6"/>
    <n v="1295.03"/>
    <n v="1295.0269999999991"/>
    <n v="-6229.6"/>
    <s v="Paid"/>
    <s v="Paid"/>
    <s v="Completed"/>
    <x v="0"/>
    <s v="Clean"/>
  </r>
  <r>
    <s v="ORD-2025-10343"/>
    <n v="2"/>
    <s v="Unique"/>
    <s v="24-07-2025"/>
    <s v="01-08-2025"/>
    <d v="2025-07-24T00:00:00"/>
    <d v="2025-01-08T00:00:00"/>
    <x v="0"/>
    <x v="1"/>
    <s v="Valid"/>
    <s v="Valid"/>
    <n v="-197"/>
    <s v="CUST-3335"/>
    <s v="Kabir Singh"/>
    <s v="Kabir Singh"/>
    <s v="Small Business"/>
    <x v="1"/>
    <s v="East"/>
    <x v="1"/>
    <s v="Jharkhand"/>
    <s v="Jharkhand"/>
    <s v="Ranchi"/>
    <s v="Ranchi"/>
    <s v="Office Supplies"/>
    <x v="0"/>
    <s v="Binders"/>
    <x v="9"/>
    <s v="Smart Binders 574"/>
    <s v="First Class"/>
    <x v="2"/>
    <n v="8"/>
    <n v="1528.92"/>
    <n v="0"/>
    <n v="0"/>
    <s v="Valid"/>
    <n v="12231.36"/>
    <n v="12231.36"/>
    <n v="8766.9"/>
    <n v="3464.46"/>
    <n v="3464.4600000000009"/>
    <n v="-8766.9"/>
    <s v="Paid"/>
    <s v="Paid"/>
    <s v="Completed"/>
    <x v="0"/>
    <s v="Clean"/>
  </r>
  <r>
    <s v="ORD-2025-10344"/>
    <n v="1"/>
    <s v="Unique"/>
    <s v="10/03/2025"/>
    <s v="08 Oct 2025"/>
    <d v="2025-10-03T00:00:00"/>
    <d v="2025-08-10T00:00:00"/>
    <x v="10"/>
    <x v="1"/>
    <s v="Valid"/>
    <s v="Valid"/>
    <n v="-54"/>
    <s v="CUST-7358"/>
    <s v="Aarav Sharma"/>
    <s v="Aarav Sharma"/>
    <s v="Corporate"/>
    <x v="2"/>
    <s v="West"/>
    <x v="3"/>
    <s v="Madhya Pradesh"/>
    <s v="Madhya Pradesh"/>
    <s v="Indore"/>
    <s v="Indore"/>
    <s v="Technology"/>
    <x v="2"/>
    <s v="Machines"/>
    <x v="12"/>
    <s v="Pro Machines 444"/>
    <s v="Same Day"/>
    <x v="1"/>
    <n v="9"/>
    <n v="3837"/>
    <n v="0.1"/>
    <n v="0.1"/>
    <s v="Valid"/>
    <n v="31079.7"/>
    <n v="31079.7"/>
    <n v="17758.25"/>
    <n v="13321.45"/>
    <n v="13321.45"/>
    <n v="-17758.25"/>
    <s v="Paid"/>
    <s v="Paid"/>
    <s v="Completed"/>
    <x v="0"/>
    <s v="Clean"/>
  </r>
  <r>
    <s v="ORD-2024-10345"/>
    <n v="1"/>
    <s v="Unique"/>
    <s v="11-03-2024"/>
    <s v="11-03-2024"/>
    <d v="2024-11-03T00:00:00"/>
    <d v="2024-11-03T00:00:00"/>
    <x v="3"/>
    <x v="0"/>
    <s v="Valid"/>
    <s v="Valid"/>
    <n v="0"/>
    <s v="CUST-8025"/>
    <s v="Priya Menon"/>
    <s v="Priya Menon"/>
    <s v="Consumer"/>
    <x v="0"/>
    <s v="North"/>
    <x v="0"/>
    <s v="Punjab"/>
    <s v="Punjab"/>
    <s v="Ludhiana"/>
    <s v="Ludhiana"/>
    <s v="Furniture"/>
    <x v="1"/>
    <s v="Bookcases"/>
    <x v="10"/>
    <s v="Elite Bookcases 184"/>
    <s v="Same Day"/>
    <x v="1"/>
    <n v="9"/>
    <n v="3456.38"/>
    <n v="0"/>
    <n v="0"/>
    <s v="Valid"/>
    <n v="31107.42"/>
    <n v="31107.420000000002"/>
    <n v="20146.66"/>
    <n v="10960.76"/>
    <n v="10960.760000000002"/>
    <n v="-20146.66"/>
    <s v="Pending"/>
    <s v="Pending"/>
    <s v="Returned"/>
    <x v="2"/>
    <s v="Clean"/>
  </r>
  <r>
    <s v="ORD-2024-10346"/>
    <n v="1"/>
    <s v="Unique"/>
    <s v="2024-09-14"/>
    <s v="2024-09-22"/>
    <d v="2024-09-14T00:00:00"/>
    <d v="2024-09-22T00:00:00"/>
    <x v="9"/>
    <x v="0"/>
    <s v="Valid"/>
    <s v="Valid"/>
    <n v="8"/>
    <s v="CUST-4634"/>
    <s v="Karan Malhotra"/>
    <s v="Karan Malhotra"/>
    <s v="Consumer"/>
    <x v="0"/>
    <s v="West"/>
    <x v="3"/>
    <s v="Madhya Pradesh"/>
    <s v="Madhya Pradesh"/>
    <s v="Indore"/>
    <s v="Indore"/>
    <s v="Furniture"/>
    <x v="1"/>
    <s v="Furnishings"/>
    <x v="3"/>
    <s v="Elite Furnishings 138"/>
    <s v="Second Class"/>
    <x v="0"/>
    <n v="2"/>
    <n v="2765.3"/>
    <n v="0"/>
    <n v="0"/>
    <s v="Valid"/>
    <n v="5530.6"/>
    <n v="5530.6"/>
    <n v="4453.1099999999997"/>
    <n v="1077.49"/>
    <n v="1077.4900000000007"/>
    <n v="-4453.1099999999997"/>
    <s v="Paid"/>
    <s v="Paid"/>
    <s v="Completed"/>
    <x v="0"/>
    <s v="Clean"/>
  </r>
  <r>
    <s v="ORD-2025-10347"/>
    <n v="3"/>
    <s v="Unique"/>
    <s v="2025-07-22"/>
    <s v="28-07-2025"/>
    <d v="2025-07-22T00:00:00"/>
    <d v="2025-07-28T00:00:00"/>
    <x v="0"/>
    <x v="1"/>
    <s v="Valid"/>
    <s v="Valid"/>
    <n v="6"/>
    <s v="CUST-3400"/>
    <s v="Rahul Verma"/>
    <s v="Rahul Verma"/>
    <s v="Corporate"/>
    <x v="2"/>
    <s v="South"/>
    <x v="2"/>
    <s v="Kerala"/>
    <s v="Kerala"/>
    <s v="Kochi"/>
    <s v="Kochi"/>
    <s v="Furniture"/>
    <x v="1"/>
    <s v="Chairs"/>
    <x v="4"/>
    <s v="Eco Chairs 369"/>
    <s v="Second Class"/>
    <x v="0"/>
    <n v="6"/>
    <n v="1607.46"/>
    <n v="0.2"/>
    <n v="0.2"/>
    <s v="Valid"/>
    <n v="7715.81"/>
    <n v="7715.8080000000009"/>
    <n v="4258.42"/>
    <n v="3457.39"/>
    <n v="3457.3880000000008"/>
    <n v="-4258.42"/>
    <s v="Paid"/>
    <s v="Paid"/>
    <s v="Completed"/>
    <x v="0"/>
    <s v="Clean"/>
  </r>
  <r>
    <s v="ORD-2024-10348"/>
    <n v="3"/>
    <s v="Unique"/>
    <s v="01-12-2024"/>
    <s v="12/08/2024"/>
    <d v="2024-01-12T00:00:00"/>
    <d v="2024-12-08T00:00:00"/>
    <x v="8"/>
    <x v="0"/>
    <s v="Valid"/>
    <s v="Valid"/>
    <n v="331"/>
    <s v="CUST-1172"/>
    <s v="Aarav Sharma"/>
    <s v="Aarav Sharma"/>
    <s v="Small Business"/>
    <x v="1"/>
    <s v="West"/>
    <x v="3"/>
    <s v="Goa"/>
    <s v="Goa"/>
    <s v="Panaji"/>
    <s v="Panaji"/>
    <s v="Furniture"/>
    <x v="1"/>
    <s v="Chairs"/>
    <x v="4"/>
    <s v="Max Chairs 487"/>
    <s v="Second Class"/>
    <x v="0"/>
    <n v="5"/>
    <n v="2981.49"/>
    <n v="0.2"/>
    <n v="0.2"/>
    <s v="Valid"/>
    <n v="11925.96"/>
    <n v="11925.96"/>
    <n v="10103.51"/>
    <n v="1822.45"/>
    <n v="1822.4499999999989"/>
    <n v="-10103.51"/>
    <s v="Refunded"/>
    <s v="Refunded"/>
    <s v="Returned"/>
    <x v="2"/>
    <s v="Clean"/>
  </r>
  <r>
    <s v="ORD-2024-10349"/>
    <n v="2"/>
    <s v="Unique"/>
    <s v="06/02/2024"/>
    <s v="06/07/2024"/>
    <d v="2024-06-02T00:00:00"/>
    <d v="2024-06-07T00:00:00"/>
    <x v="2"/>
    <x v="0"/>
    <s v="Valid"/>
    <s v="Valid"/>
    <n v="5"/>
    <s v="CUST-9517"/>
    <s v="Aarav Sharma"/>
    <s v="Aarav Sharma"/>
    <s v="Corporate"/>
    <x v="2"/>
    <s v="South"/>
    <x v="2"/>
    <s v="Karnataka"/>
    <s v="Karnataka"/>
    <s v="Bengaluru"/>
    <s v="Bengaluru"/>
    <s v="Technology"/>
    <x v="2"/>
    <s v="Phones"/>
    <x v="11"/>
    <s v="Classic Phones 989"/>
    <s v="Same Day"/>
    <x v="1"/>
    <n v="9"/>
    <n v="2860.26"/>
    <n v="0.25"/>
    <n v="0.25"/>
    <s v="Valid"/>
    <n v="19306.759999999998"/>
    <n v="19306.755000000005"/>
    <n v="14442.38"/>
    <n v="4864.38"/>
    <n v="4864.3750000000055"/>
    <n v="-14442.38"/>
    <s v="Paid"/>
    <s v="Paid"/>
    <s v="Completed"/>
    <x v="0"/>
    <s v="Clean"/>
  </r>
  <r>
    <s v="ORD-2025-10350"/>
    <n v="2"/>
    <s v="Unique"/>
    <s v="27-09-2025"/>
    <s v="09/29/2025"/>
    <d v="2025-09-27T00:00:00"/>
    <d v="2025-09-29T00:00:00"/>
    <x v="9"/>
    <x v="1"/>
    <s v="Valid"/>
    <s v="Valid"/>
    <n v="2"/>
    <s v="CUST-6697"/>
    <s v="Kabir Singh"/>
    <s v="Kabir Singh"/>
    <s v="Home Office"/>
    <x v="3"/>
    <s v="East"/>
    <x v="1"/>
    <s v="Jharkhand"/>
    <s v="Jharkhand"/>
    <s v="Ranchi"/>
    <s v="Ranchi"/>
    <s v="Furniture"/>
    <x v="1"/>
    <s v="Furnishings"/>
    <x v="3"/>
    <s v="Max Furnishings 628"/>
    <s v="Second Class"/>
    <x v="0"/>
    <n v="9"/>
    <n v="2867.55"/>
    <n v="0.25"/>
    <n v="0.25"/>
    <s v="Valid"/>
    <n v="19355.96"/>
    <n v="19355.962500000001"/>
    <n v="15012.45"/>
    <n v="4017.4"/>
    <n v="4343.5125000000007"/>
    <n v="-15012.45"/>
    <s v="Paid"/>
    <s v="Paid"/>
    <s v="Completed"/>
    <x v="0"/>
    <s v="Clean"/>
  </r>
  <r>
    <s v="ORD-2024-10351"/>
    <n v="1"/>
    <s v="Unique"/>
    <s v="07-01-2024"/>
    <s v="14 Jan 2024"/>
    <d v="2024-07-01T00:00:00"/>
    <d v="2024-01-14T00:00:00"/>
    <x v="0"/>
    <x v="0"/>
    <s v="Valid"/>
    <s v="Valid"/>
    <n v="-169"/>
    <s v="CUST-7644"/>
    <s v="Sneha Kapoor"/>
    <s v="Sneha Kapoor"/>
    <s v="Small Business"/>
    <x v="1"/>
    <s v="East"/>
    <x v="1"/>
    <s v="Jharkhand"/>
    <s v="Jharkhand"/>
    <s v="Ranchi"/>
    <s v="Ranchi"/>
    <s v="Furniture"/>
    <x v="1"/>
    <s v="Furnishings"/>
    <x v="3"/>
    <s v="Elite Furnishings 279"/>
    <s v="Second Class"/>
    <x v="0"/>
    <n v="4"/>
    <n v="3309.54"/>
    <n v="0.1"/>
    <n v="0.1"/>
    <s v="Valid"/>
    <n v="11914.34"/>
    <n v="11914.344000000001"/>
    <n v="9771.24"/>
    <n v="2143.1"/>
    <n v="2143.1040000000012"/>
    <n v="-9771.24"/>
    <s v="Refunded"/>
    <s v="Refunded"/>
    <s v="Returned"/>
    <x v="2"/>
    <s v="Clean"/>
  </r>
  <r>
    <s v="ORD-2025-10352"/>
    <n v="1"/>
    <s v="Unique"/>
    <s v="23-05-2025"/>
    <s v="27 May 2025"/>
    <d v="2025-05-23T00:00:00"/>
    <d v="2025-05-27T00:00:00"/>
    <x v="4"/>
    <x v="1"/>
    <s v="Valid"/>
    <s v="Valid"/>
    <n v="4"/>
    <s v="CUST-9963"/>
    <s v="Vikram Iyer"/>
    <s v="Vikram Iyer"/>
    <s v="Small Business"/>
    <x v="1"/>
    <s v="South"/>
    <x v="2"/>
    <s v="Telangana"/>
    <s v="Telangana"/>
    <s v="Hyderabad"/>
    <s v="Hyderabad"/>
    <s v="Office Supplies"/>
    <x v="0"/>
    <s v="Storage"/>
    <x v="8"/>
    <s v="Pro Storage 847"/>
    <s v="First Class"/>
    <x v="2"/>
    <n v="6"/>
    <n v="719.44"/>
    <n v="0.25"/>
    <n v="0.25"/>
    <s v="Valid"/>
    <n v="3237.48"/>
    <n v="3237.4800000000005"/>
    <n v="2118.34"/>
    <n v="1119.1400000000001"/>
    <n v="1119.1400000000003"/>
    <n v="-2118.34"/>
    <s v="Pending"/>
    <s v="Pending"/>
    <s v="Cancelled"/>
    <x v="1"/>
    <s v="Clean"/>
  </r>
  <r>
    <s v="ORD-2025-10353"/>
    <n v="2"/>
    <s v="Unique"/>
    <s v="15 Aug 2025"/>
    <s v="08/17/2025"/>
    <d v="2025-08-15T00:00:00"/>
    <d v="2025-08-17T00:00:00"/>
    <x v="1"/>
    <x v="1"/>
    <s v="Valid"/>
    <s v="Valid"/>
    <n v="2"/>
    <s v="CUST-6382"/>
    <s v="Diya Patel"/>
    <s v="Diya Patel"/>
    <s v="Small Business"/>
    <x v="1"/>
    <s v="East"/>
    <x v="1"/>
    <s v="Assam"/>
    <s v="Assam"/>
    <s v="Guwahati"/>
    <s v="Guwahati"/>
    <s v="Technology"/>
    <x v="2"/>
    <s v="Copiers"/>
    <x v="6"/>
    <s v="Elite Copiers 706"/>
    <s v="First Class"/>
    <x v="2"/>
    <n v="5"/>
    <n v="2862.6"/>
    <n v="0.25"/>
    <n v="0.25"/>
    <s v="Valid"/>
    <n v="10734.75"/>
    <n v="10734.75"/>
    <n v="6475.73"/>
    <n v="4259.0200000000004"/>
    <n v="4259.0200000000004"/>
    <n v="-6475.73"/>
    <s v="Paid"/>
    <s v="Paid"/>
    <s v="Completed"/>
    <x v="0"/>
    <s v="Clean"/>
  </r>
  <r>
    <s v="ORD-2025-10354"/>
    <n v="1"/>
    <s v="Unique"/>
    <s v="21-02-2025"/>
    <s v="27-02-2025"/>
    <d v="2025-02-21T00:00:00"/>
    <d v="2025-02-27T00:00:00"/>
    <x v="6"/>
    <x v="1"/>
    <s v="Valid"/>
    <s v="Valid"/>
    <n v="6"/>
    <s v="CUST-3253"/>
    <s v="Ananya Rao"/>
    <s v="Ananya Rao"/>
    <s v="Consumer"/>
    <x v="0"/>
    <s v="North"/>
    <x v="0"/>
    <s v="Rajasthan"/>
    <s v="Rajasthan"/>
    <s v="Jaipur"/>
    <s v="Jaipur"/>
    <s v="Office Supplies"/>
    <x v="0"/>
    <s v="Art"/>
    <x v="2"/>
    <s v="Prime Art 978"/>
    <s v="Same Day"/>
    <x v="1"/>
    <n v="9"/>
    <n v="1431.67"/>
    <n v="0.2"/>
    <n v="0.2"/>
    <s v="Valid"/>
    <n v="10308.02"/>
    <n v="10308.024000000001"/>
    <n v="5822.31"/>
    <n v="4485.71"/>
    <n v="4485.7140000000009"/>
    <n v="-5822.31"/>
    <s v="Paid"/>
    <s v="Paid"/>
    <s v="Completed"/>
    <x v="0"/>
    <s v="Clean"/>
  </r>
  <r>
    <s v="ORD-2024-10355"/>
    <n v="3"/>
    <s v="Unique"/>
    <s v="27 Dec 2024"/>
    <s v="2024-12-31"/>
    <d v="2024-12-27T00:00:00"/>
    <d v="2024-12-31T00:00:00"/>
    <x v="7"/>
    <x v="0"/>
    <s v="Valid"/>
    <s v="Valid"/>
    <n v="4"/>
    <s v="CUST-1058"/>
    <s v="Kabir Singh"/>
    <s v="Kabir Singh"/>
    <s v="Corporate"/>
    <x v="2"/>
    <s v="North"/>
    <x v="0"/>
    <s v="Punjab"/>
    <s v="Punjab"/>
    <s v="Ludhiana"/>
    <s v="Ludhiana"/>
    <s v="Furniture"/>
    <x v="1"/>
    <s v="Furnishings"/>
    <x v="3"/>
    <s v="Classic Furnishings 498"/>
    <s v="Standard Class"/>
    <x v="3"/>
    <n v="6"/>
    <n v="3346.78"/>
    <n v="-0.06"/>
    <n v="-0.06"/>
    <s v="Invalid - Negative Discount"/>
    <n v="20080.68"/>
    <n v="21285.520800000002"/>
    <n v="12908.84"/>
    <n v="7171.84"/>
    <n v="8376.6808000000019"/>
    <n v="-12908.84"/>
    <s v="Pending"/>
    <s v="Pending"/>
    <s v="Cancelled"/>
    <x v="1"/>
    <s v="Clean"/>
  </r>
  <r>
    <s v="ORD-2024-10356"/>
    <n v="1"/>
    <s v="Unique"/>
    <s v="12-05-2024"/>
    <s v="2024-05-09"/>
    <d v="2024-12-05T00:00:00"/>
    <d v="2024-09-05T00:00:00"/>
    <x v="7"/>
    <x v="0"/>
    <s v="Valid"/>
    <s v="Valid"/>
    <n v="-91"/>
    <s v="CUST-6414"/>
    <s v="Priya Menon"/>
    <s v="Priya Menon"/>
    <s v="Corporate"/>
    <x v="2"/>
    <s v="West"/>
    <x v="3"/>
    <s v="Rajasthan"/>
    <s v="Rajasthan"/>
    <s v="Udaipur"/>
    <s v="Udaipur"/>
    <s v="Furniture"/>
    <x v="1"/>
    <s v="Tables"/>
    <x v="1"/>
    <s v="Max Tables 829"/>
    <s v="Standard Class"/>
    <x v="3"/>
    <n v="5"/>
    <n v="3203.48"/>
    <n v="0"/>
    <n v="0"/>
    <s v="Valid"/>
    <n v="16017.4"/>
    <n v="16017.4"/>
    <n v="9557.7999999999993"/>
    <n v="6459.6"/>
    <n v="6459.6"/>
    <n v="-9557.7999999999993"/>
    <s v="Pending"/>
    <s v="Pending"/>
    <s v="Cancelled"/>
    <x v="1"/>
    <s v="Clean"/>
  </r>
  <r>
    <s v="ORD-2025-10357"/>
    <n v="2"/>
    <s v="Unique"/>
    <s v="27 Jun 2025"/>
    <s v="29 Jun 2025"/>
    <d v="2025-06-27T00:00:00"/>
    <d v="2025-06-29T00:00:00"/>
    <x v="2"/>
    <x v="1"/>
    <s v="Valid"/>
    <s v="Valid"/>
    <n v="2"/>
    <s v="CUST-9268"/>
    <s v="Rohan Mehta"/>
    <s v="Rohan Mehta"/>
    <s v="Home Office"/>
    <x v="3"/>
    <s v="South"/>
    <x v="2"/>
    <s v="Telangana"/>
    <s v="Telangana"/>
    <s v="Hyderabad"/>
    <s v="Hyderabad"/>
    <s v="Furniture"/>
    <x v="1"/>
    <s v="Chairs"/>
    <x v="4"/>
    <s v="Eco Chairs 346"/>
    <s v="First Class"/>
    <x v="2"/>
    <n v="5"/>
    <n v="621.70000000000005"/>
    <n v="0.2"/>
    <n v="0.2"/>
    <s v="Valid"/>
    <n v="2486.8000000000002"/>
    <n v="2486.8000000000002"/>
    <n v="2131.73"/>
    <n v="355.07"/>
    <n v="355.07000000000016"/>
    <n v="-2131.73"/>
    <s v="Pending"/>
    <s v="Pending"/>
    <s v="Returned"/>
    <x v="2"/>
    <s v="Clean"/>
  </r>
  <r>
    <s v="ORD-2025-10358"/>
    <n v="2"/>
    <s v="Unique"/>
    <s v="2025-01-21"/>
    <s v="01/29/2025"/>
    <d v="2025-01-21T00:00:00"/>
    <d v="2025-01-29T00:00:00"/>
    <x v="8"/>
    <x v="1"/>
    <s v="Valid"/>
    <s v="Valid"/>
    <n v="8"/>
    <s v="CUST-1363"/>
    <s v="Mira Das"/>
    <s v="Mira Das"/>
    <s v="Home Office"/>
    <x v="3"/>
    <s v="South"/>
    <x v="2"/>
    <s v="Andhra Pradesh"/>
    <s v="Andhra Pradesh"/>
    <s v="Vijayawada"/>
    <s v="Vijayawada"/>
    <s v="Technology"/>
    <x v="2"/>
    <s v="Machines"/>
    <x v="12"/>
    <s v="Max Machines 770"/>
    <s v="Second Class"/>
    <x v="0"/>
    <n v="8"/>
    <n v="546.13"/>
    <n v="0"/>
    <n v="0"/>
    <s v="Valid"/>
    <n v="4369.04"/>
    <n v="4369.04"/>
    <n v="3716.88"/>
    <n v="652.16"/>
    <n v="652.15999999999985"/>
    <n v="-3716.88"/>
    <s v="Paid"/>
    <s v="Paid"/>
    <s v="Cancelled"/>
    <x v="1"/>
    <s v="Clean"/>
  </r>
  <r>
    <s v="ORD-2025-10359"/>
    <n v="2"/>
    <s v="Unique"/>
    <s v="08/09/2025"/>
    <s v="2025-08-07"/>
    <d v="2025-08-09T00:00:00"/>
    <d v="2025-07-08T00:00:00"/>
    <x v="1"/>
    <x v="1"/>
    <s v="Valid"/>
    <s v="Valid"/>
    <n v="-32"/>
    <s v="CUST-2477"/>
    <s v="Vikram Iyer"/>
    <s v="Vikram Iyer"/>
    <s v="Home Office"/>
    <x v="3"/>
    <s v="West"/>
    <x v="3"/>
    <s v="Gujarat"/>
    <s v="Gujarat"/>
    <s v="Ahmedabad"/>
    <s v="Ahmedabad"/>
    <s v="Furniture"/>
    <x v="1"/>
    <s v="Bookcases"/>
    <x v="10"/>
    <s v="Smart Bookcases 134"/>
    <s v="Second Class"/>
    <x v="0"/>
    <n v="5"/>
    <n v="1253.92"/>
    <n v="0.05"/>
    <n v="0.05"/>
    <s v="Valid"/>
    <n v="5956.12"/>
    <n v="5956.12"/>
    <n v="4379.18"/>
    <n v="1576.94"/>
    <n v="1576.9399999999996"/>
    <n v="-4379.18"/>
    <s v="Pending"/>
    <s v="Pending"/>
    <s v="Returned"/>
    <x v="2"/>
    <s v="Clean"/>
  </r>
  <r>
    <s v="ORD-2024-10360"/>
    <n v="2"/>
    <s v="Unique"/>
    <s v="21 Aug 2024"/>
    <s v="22-08-2024"/>
    <d v="2024-08-21T00:00:00"/>
    <d v="2024-08-22T00:00:00"/>
    <x v="1"/>
    <x v="0"/>
    <s v="Valid"/>
    <s v="Valid"/>
    <n v="1"/>
    <s v="CUST-9571"/>
    <s v="Isha Nair"/>
    <s v="Isha Nair"/>
    <s v="Consumer"/>
    <x v="0"/>
    <s v="South"/>
    <x v="2"/>
    <s v="Tamil Nadu"/>
    <s v="Tamil Nadu"/>
    <s v="Chennai"/>
    <s v="Chennai"/>
    <s v="Technology"/>
    <x v="2"/>
    <s v="Phones"/>
    <x v="11"/>
    <s v="Classic Phones 586"/>
    <s v="Same Day"/>
    <x v="1"/>
    <n v="9"/>
    <n v="616.96"/>
    <n v="0.1"/>
    <n v="0.1"/>
    <s v="Valid"/>
    <n v="4997.38"/>
    <n v="4997.3760000000002"/>
    <n v="2971.39"/>
    <n v="2025.99"/>
    <n v="2025.9860000000003"/>
    <n v="-2971.39"/>
    <s v="Paid"/>
    <s v="Paid"/>
    <s v="Completed"/>
    <x v="0"/>
    <s v="Clean"/>
  </r>
  <r>
    <s v="ORD-2024-10361"/>
    <n v="2"/>
    <s v="Unique"/>
    <s v="17 Jun 2024"/>
    <s v="2024-06-20"/>
    <d v="2024-06-17T00:00:00"/>
    <d v="2024-06-20T00:00:00"/>
    <x v="2"/>
    <x v="0"/>
    <s v="Valid"/>
    <s v="Valid"/>
    <n v="3"/>
    <s v="CUST-3690"/>
    <s v="Sneha Kapoor"/>
    <s v="Sneha Kapoor"/>
    <s v="Small Business"/>
    <x v="1"/>
    <s v="West"/>
    <x v="3"/>
    <s v="Gujarat"/>
    <s v="Gujarat"/>
    <s v="Ahmedabad"/>
    <s v="Ahmedabad"/>
    <s v="Furniture"/>
    <x v="1"/>
    <s v="Furnishings"/>
    <x v="3"/>
    <s v="Elite Furnishings 634"/>
    <s v="Standard Class"/>
    <x v="3"/>
    <n v="7"/>
    <n v="3155.25"/>
    <n v="0.2"/>
    <n v="0.2"/>
    <s v="Valid"/>
    <n v="17669.400000000001"/>
    <n v="17669.400000000001"/>
    <n v="13718.77"/>
    <n v="3950.63"/>
    <n v="3950.630000000001"/>
    <n v="-13718.77"/>
    <s v="Refunded"/>
    <s v="Refunded"/>
    <s v="Cancelled"/>
    <x v="1"/>
    <s v="Clean"/>
  </r>
  <r>
    <s v="ORD-2025-10362"/>
    <n v="2"/>
    <s v="Unique"/>
    <s v="01-04-2025"/>
    <s v="2025-04-02"/>
    <d v="2025-01-04T00:00:00"/>
    <d v="2025-02-04T00:00:00"/>
    <x v="8"/>
    <x v="1"/>
    <s v="Valid"/>
    <s v="Valid"/>
    <n v="31"/>
    <s v="CUST-2909"/>
    <s v="Rohan Mehta"/>
    <s v="Rohan Mehta"/>
    <s v="Corporate"/>
    <x v="2"/>
    <s v="East"/>
    <x v="1"/>
    <s v="Odisha"/>
    <s v="Odisha"/>
    <s v="Bhubaneswar"/>
    <s v="Bhubaneswar"/>
    <s v="Furniture"/>
    <x v="1"/>
    <s v="Chairs"/>
    <x v="4"/>
    <s v="Basic Chairs 113"/>
    <s v="Second Class"/>
    <x v="0"/>
    <n v="9"/>
    <n v="4165.58"/>
    <n v="0.05"/>
    <n v="0.05"/>
    <s v="Valid"/>
    <n v="35615.71"/>
    <n v="35615.709000000003"/>
    <n v="20389.71"/>
    <n v="15226"/>
    <n v="15225.999000000003"/>
    <n v="-20389.71"/>
    <s v="Pending"/>
    <s v="Pending"/>
    <s v="Returned"/>
    <x v="2"/>
    <s v="Clean"/>
  </r>
  <r>
    <s v="ORD-2024-10363"/>
    <n v="1"/>
    <s v="Unique"/>
    <s v="23 Aug 2024"/>
    <s v="25-08-2024"/>
    <d v="2024-08-23T00:00:00"/>
    <d v="2024-08-25T00:00:00"/>
    <x v="1"/>
    <x v="0"/>
    <s v="Valid"/>
    <s v="Valid"/>
    <n v="2"/>
    <s v="CUST-6755"/>
    <s v="Vikram Iyer"/>
    <s v="Vikram Iyer"/>
    <s v="Consumer"/>
    <x v="0"/>
    <s v="West"/>
    <x v="3"/>
    <s v="Goa"/>
    <s v="Goa"/>
    <s v="Panaji"/>
    <s v="Panaji"/>
    <s v="Technology"/>
    <x v="2"/>
    <s v="Machines"/>
    <x v="12"/>
    <s v="Elite Machines 216"/>
    <s v="Same Day"/>
    <x v="1"/>
    <n v="4"/>
    <n v="491.16"/>
    <n v="0.05"/>
    <n v="0.05"/>
    <s v="Valid"/>
    <n v="1866.41"/>
    <n v="1866.4079999999999"/>
    <n v="1576.49"/>
    <n v="289.92"/>
    <n v="289.91799999999989"/>
    <n v="-1576.49"/>
    <s v="Paid"/>
    <s v="Paid"/>
    <s v="Completed"/>
    <x v="0"/>
    <s v="Clean"/>
  </r>
  <r>
    <s v="ORD-2025-10364"/>
    <n v="1"/>
    <s v="Unique"/>
    <s v="07/07/2025"/>
    <s v="07/12/2025"/>
    <d v="2025-07-07T00:00:00"/>
    <d v="2025-07-12T00:00:00"/>
    <x v="0"/>
    <x v="1"/>
    <s v="Valid"/>
    <s v="Valid"/>
    <n v="5"/>
    <s v="CUST-1832"/>
    <s v="Diya Patel"/>
    <s v="Diya Patel"/>
    <s v="Corporate"/>
    <x v="2"/>
    <s v="East"/>
    <x v="1"/>
    <s v="West Bengal"/>
    <s v="West Bengal"/>
    <s v="Kolkata"/>
    <s v="Kolkata"/>
    <s v="Furniture"/>
    <x v="1"/>
    <s v="Tables"/>
    <x v="1"/>
    <s v="Smart Tables 943"/>
    <s v="Second Class"/>
    <x v="0"/>
    <n v="5"/>
    <n v="1831.37"/>
    <n v="0.25"/>
    <n v="0.25"/>
    <s v="Valid"/>
    <n v="6867.64"/>
    <n v="6867.6374999999989"/>
    <n v="5205.3599999999997"/>
    <n v="1662.28"/>
    <n v="1662.2774999999992"/>
    <n v="-5205.3599999999997"/>
    <s v="Paid"/>
    <s v="Paid"/>
    <s v="Completed"/>
    <x v="0"/>
    <s v="Clean"/>
  </r>
  <r>
    <s v="ORD-2025-10365"/>
    <n v="1"/>
    <s v="Unique"/>
    <s v="03/21/2025"/>
    <s v="2025-03-24"/>
    <d v="2025-03-21T00:00:00"/>
    <d v="2025-03-24T00:00:00"/>
    <x v="11"/>
    <x v="1"/>
    <s v="Valid"/>
    <s v="Valid"/>
    <n v="3"/>
    <s v="CUST-4452"/>
    <s v="Aarav Sharma"/>
    <s v="Aarav Sharma"/>
    <s v="Small Business"/>
    <x v="1"/>
    <s v="South"/>
    <x v="2"/>
    <s v="Andhra Pradesh"/>
    <s v="Andhra Pradesh"/>
    <s v="Vijayawada"/>
    <s v="Vijayawada"/>
    <s v="Furniture"/>
    <x v="1"/>
    <s v="Chairs"/>
    <x v="4"/>
    <s v="Prime Chairs 101"/>
    <s v="Second Class"/>
    <x v="0"/>
    <n v="5"/>
    <n v="1239.1500000000001"/>
    <n v="0"/>
    <n v="0"/>
    <s v="Valid"/>
    <n v="6195.75"/>
    <n v="6195.75"/>
    <n v="3967.02"/>
    <n v="2228.73"/>
    <n v="2228.73"/>
    <n v="-3967.02"/>
    <s v="Paid"/>
    <s v="Paid"/>
    <s v="Completed"/>
    <x v="0"/>
    <s v="Clean"/>
  </r>
  <r>
    <s v="ORD-2024-10366"/>
    <n v="1"/>
    <s v="Unique"/>
    <s v="15-06-2024"/>
    <s v="21-06-2024"/>
    <d v="2024-06-15T00:00:00"/>
    <d v="2024-06-21T00:00:00"/>
    <x v="2"/>
    <x v="0"/>
    <s v="Valid"/>
    <s v="Valid"/>
    <n v="6"/>
    <s v="CUST-2203"/>
    <s v="Aditi Sen"/>
    <s v="Aditi Sen"/>
    <s v="Corporate"/>
    <x v="2"/>
    <s v="West"/>
    <x v="3"/>
    <s v="Goa"/>
    <s v="Goa"/>
    <s v="Panaji"/>
    <s v="Panaji"/>
    <s v="Technology"/>
    <x v="2"/>
    <s v="Accessories"/>
    <x v="5"/>
    <s v="Basic Accessories 774"/>
    <s v="First Class"/>
    <x v="2"/>
    <n v="8"/>
    <n v="1706.4"/>
    <s v="Unknown"/>
    <s v="Unknown"/>
    <s v="Invalid - Above Range"/>
    <n v="12968.64"/>
    <s v="Unknown"/>
    <n v="10119.61"/>
    <n v="2849.03"/>
    <s v="Unknown"/>
    <s v="Unknown"/>
    <s v="Paid"/>
    <s v="Paid"/>
    <s v="Completed"/>
    <x v="0"/>
    <s v="Needs Review"/>
  </r>
  <r>
    <s v="ORD-2025-10367"/>
    <n v="1"/>
    <s v="Unique"/>
    <s v="2025-01-16"/>
    <s v="2025-01-22"/>
    <d v="2025-01-16T00:00:00"/>
    <d v="2025-01-22T00:00:00"/>
    <x v="8"/>
    <x v="1"/>
    <s v="Valid"/>
    <s v="Valid"/>
    <n v="6"/>
    <s v="CUST-5397"/>
    <s v="Sneha Kapoor"/>
    <s v="Sneha Kapoor"/>
    <s v="Corporate"/>
    <x v="2"/>
    <s v="North"/>
    <x v="0"/>
    <s v="Rajasthan"/>
    <s v="Rajasthan"/>
    <s v="Jaipur"/>
    <s v="Jaipur"/>
    <s v="Furniture"/>
    <x v="1"/>
    <s v="Tables"/>
    <x v="1"/>
    <s v="Max Tables 478"/>
    <s v="Same Day"/>
    <x v="1"/>
    <n v="2"/>
    <n v="4418.28"/>
    <n v="0"/>
    <n v="0"/>
    <s v="Valid"/>
    <n v="8836.56"/>
    <n v="8836.56"/>
    <n v="5867.75"/>
    <n v="2968.81"/>
    <n v="2968.8099999999995"/>
    <n v="-5867.75"/>
    <s v="Paid"/>
    <s v="Paid"/>
    <s v="Completed"/>
    <x v="0"/>
    <s v="Clean"/>
  </r>
  <r>
    <s v="ORD-2024-10368"/>
    <n v="2"/>
    <s v="Unique"/>
    <s v="2024-03-15"/>
    <s v="03/16/2024"/>
    <d v="2024-03-15T00:00:00"/>
    <d v="2024-03-16T00:00:00"/>
    <x v="11"/>
    <x v="0"/>
    <s v="Valid"/>
    <s v="Valid"/>
    <n v="1"/>
    <s v="CUST-4696"/>
    <s v="Rohan Mehta"/>
    <s v="Rohan Mehta"/>
    <s v="Consumer"/>
    <x v="0"/>
    <s v="North"/>
    <x v="0"/>
    <s v="Delhi"/>
    <s v="Delhi"/>
    <s v="New Delhi"/>
    <s v="New Delhi"/>
    <s v="Office Supplies"/>
    <x v="0"/>
    <s v="Art"/>
    <x v="2"/>
    <s v="Eco Art 646"/>
    <s v="Standard Class"/>
    <x v="3"/>
    <n v="6"/>
    <n v="3815.09"/>
    <n v="0.15"/>
    <n v="0.15"/>
    <s v="Valid"/>
    <n v="19456.96"/>
    <n v="19456.958999999999"/>
    <n v="14520.06"/>
    <n v="4936.8999999999996"/>
    <n v="4936.8989999999994"/>
    <n v="-14520.06"/>
    <s v="Failed"/>
    <s v="Failed"/>
    <s v="Cancelled"/>
    <x v="1"/>
    <s v="Clean"/>
  </r>
  <r>
    <s v="ORD-2025-10369"/>
    <n v="1"/>
    <s v="Unique"/>
    <s v="06-07-2025"/>
    <s v="06-07-2025"/>
    <d v="2025-06-07T00:00:00"/>
    <d v="2025-06-07T00:00:00"/>
    <x v="2"/>
    <x v="1"/>
    <s v="Valid"/>
    <s v="Valid"/>
    <n v="0"/>
    <s v="CUST-8246"/>
    <s v="Aarav Sharma"/>
    <s v="Aarav Sharma"/>
    <s v="Home Office"/>
    <x v="3"/>
    <s v="North"/>
    <x v="0"/>
    <s v="Rajasthan"/>
    <s v="Rajasthan"/>
    <s v="Jaipur"/>
    <s v="Jaipur"/>
    <s v="Technology"/>
    <x v="2"/>
    <s v="Accessories"/>
    <x v="5"/>
    <s v="Prime Accessories 962"/>
    <s v="Same Day"/>
    <x v="1"/>
    <n v="9"/>
    <n v="243.19"/>
    <n v="0.05"/>
    <n v="0.05"/>
    <s v="Valid"/>
    <n v="2079.27"/>
    <n v="2079.2745"/>
    <n v="1512.17"/>
    <n v="567.1"/>
    <n v="567.10449999999992"/>
    <n v="-1512.17"/>
    <s v="Refunded"/>
    <s v="Refunded"/>
    <s v="Returned"/>
    <x v="2"/>
    <s v="Clean"/>
  </r>
  <r>
    <s v="ORD-2025-10370"/>
    <n v="3"/>
    <s v="Unique"/>
    <s v="23-01-2025"/>
    <s v="01/30/2025"/>
    <d v="2025-01-23T00:00:00"/>
    <d v="2025-01-30T00:00:00"/>
    <x v="8"/>
    <x v="1"/>
    <s v="Valid"/>
    <s v="Valid"/>
    <n v="7"/>
    <s v="CUST-5672"/>
    <s v="Priya Menon"/>
    <s v="Priya Menon"/>
    <s v="Consumer"/>
    <x v="0"/>
    <s v="North"/>
    <x v="0"/>
    <s v="Delhi"/>
    <s v="Delhi"/>
    <s v="New Delhi"/>
    <s v="New Delhi"/>
    <s v="Office Supplies"/>
    <x v="0"/>
    <s v="Labels"/>
    <x v="7"/>
    <s v="Eco Labels 646"/>
    <s v="Standard Class"/>
    <x v="3"/>
    <n v="9"/>
    <n v="1169.3699999999999"/>
    <n v="0.15"/>
    <n v="0.15"/>
    <s v="Valid"/>
    <n v="8945.68"/>
    <n v="8945.6804999999986"/>
    <n v="6740.35"/>
    <n v="2205.33"/>
    <n v="2205.3304999999982"/>
    <n v="-6740.35"/>
    <s v="Paid"/>
    <s v="Paid"/>
    <s v="Completed"/>
    <x v="0"/>
    <s v="Clean"/>
  </r>
  <r>
    <s v="ORD-2024-10371"/>
    <n v="1"/>
    <s v="Unique"/>
    <s v="08/15/2024"/>
    <s v="21 Aug 2024"/>
    <d v="2024-08-15T00:00:00"/>
    <d v="2024-08-21T00:00:00"/>
    <x v="1"/>
    <x v="0"/>
    <s v="Valid"/>
    <s v="Valid"/>
    <n v="6"/>
    <s v="CUST-8521"/>
    <s v="Ananya Rao"/>
    <s v="Ananya Rao"/>
    <s v="Small Business"/>
    <x v="1"/>
    <s v="West"/>
    <x v="3"/>
    <s v="Rajasthan"/>
    <s v="Rajasthan"/>
    <s v="Udaipur"/>
    <s v="Udaipur"/>
    <s v="Technology"/>
    <x v="2"/>
    <s v="Copiers"/>
    <x v="6"/>
    <s v="Classic Copiers 505"/>
    <s v="First Class"/>
    <x v="2"/>
    <n v="7"/>
    <n v="2333.81"/>
    <n v="0.2"/>
    <n v="0.2"/>
    <s v="Valid"/>
    <n v="13069.34"/>
    <n v="13069.336000000001"/>
    <n v="8768.59"/>
    <n v="4300.75"/>
    <n v="4300.746000000001"/>
    <n v="-8768.59"/>
    <s v="Paid"/>
    <s v="Paid"/>
    <s v="Completed"/>
    <x v="0"/>
    <s v="Clean"/>
  </r>
  <r>
    <s v="ORD-2024-10372"/>
    <n v="3"/>
    <s v="Unique"/>
    <s v="22-01-2024"/>
    <s v="2024-01-24"/>
    <d v="2024-01-22T00:00:00"/>
    <d v="2024-01-24T00:00:00"/>
    <x v="8"/>
    <x v="0"/>
    <s v="Valid"/>
    <s v="Valid"/>
    <n v="2"/>
    <s v="CUST-2204"/>
    <s v="Diya Patel"/>
    <s v="Diya Patel"/>
    <s v="Home Office"/>
    <x v="3"/>
    <s v="West"/>
    <x v="3"/>
    <s v="Maharashtra"/>
    <s v="Maharashtra"/>
    <s v="Mumbai"/>
    <s v="Mumbai"/>
    <s v="Office Supplies"/>
    <x v="0"/>
    <s v="Art"/>
    <x v="2"/>
    <s v="Pro Art 906"/>
    <s v="Standard Class"/>
    <x v="3"/>
    <n v="6"/>
    <n v="1026.06"/>
    <s v="Unknown"/>
    <s v="Unknown"/>
    <s v="Invalid - Above Range"/>
    <n v="4617.2700000000004"/>
    <s v="Unknown"/>
    <n v="2981.94"/>
    <n v="1635.33"/>
    <s v="Unknown"/>
    <s v="Unknown"/>
    <s v="Refunded"/>
    <s v="Refunded"/>
    <s v="Cancelled"/>
    <x v="1"/>
    <s v="Needs Review"/>
  </r>
  <r>
    <s v="ORD-2025-10373"/>
    <n v="1"/>
    <s v="Unique"/>
    <s v="2025-08-16"/>
    <s v="2025-08-18"/>
    <d v="2025-08-16T00:00:00"/>
    <d v="2025-08-18T00:00:00"/>
    <x v="1"/>
    <x v="1"/>
    <s v="Valid"/>
    <s v="Valid"/>
    <n v="2"/>
    <s v="CUST-4399"/>
    <s v="Kabir Singh"/>
    <s v="Kabir Singh"/>
    <s v="Consumer"/>
    <x v="0"/>
    <s v="East"/>
    <x v="1"/>
    <s v="Jharkhand"/>
    <s v="Jharkhand"/>
    <s v="Ranchi"/>
    <s v="Ranchi"/>
    <s v="Furniture"/>
    <x v="1"/>
    <s v="Chairs"/>
    <x v="4"/>
    <s v="Max Chairs 181"/>
    <s v="Same Day"/>
    <x v="1"/>
    <n v="5"/>
    <n v="1530.36"/>
    <n v="0"/>
    <n v="0"/>
    <s v="Valid"/>
    <n v="7651.8"/>
    <n v="7651.7999999999993"/>
    <n v="5171.78"/>
    <n v="2480.02"/>
    <n v="2480.0199999999995"/>
    <n v="-5171.78"/>
    <s v="Paid"/>
    <s v="Paid"/>
    <s v="Completed"/>
    <x v="0"/>
    <s v="Clean"/>
  </r>
  <r>
    <s v="ORD-2025-10374"/>
    <n v="1"/>
    <s v="Conflicting Duplicate"/>
    <s v="2025-04-13"/>
    <s v="2025-04-13"/>
    <d v="2025-04-13T00:00:00"/>
    <d v="2025-04-13T00:00:00"/>
    <x v="5"/>
    <x v="1"/>
    <s v="Valid"/>
    <s v="Valid"/>
    <n v="0"/>
    <s v="CUST-8566"/>
    <s v="Sneha Kapoor"/>
    <s v="Sneha Kapoor"/>
    <s v="Small Business"/>
    <x v="1"/>
    <s v="North"/>
    <x v="0"/>
    <s v="Uttar Pradesh"/>
    <s v="Uttar Pradesh"/>
    <s v="Noida"/>
    <s v="Noida"/>
    <s v="Office Supplies"/>
    <x v="0"/>
    <s v="Storage"/>
    <x v="8"/>
    <s v="Prime Storage 951"/>
    <s v="Second Class"/>
    <x v="0"/>
    <n v="9"/>
    <n v="1118.68"/>
    <n v="0"/>
    <n v="0"/>
    <s v="Valid"/>
    <n v="10068.120000000001"/>
    <n v="10068.120000000001"/>
    <n v="8595.3700000000008"/>
    <n v="1472.75"/>
    <n v="1472.75"/>
    <n v="-8595.3700000000008"/>
    <s v="Paid"/>
    <s v="Paid"/>
    <s v="Completed"/>
    <x v="0"/>
    <s v="Clean"/>
  </r>
  <r>
    <s v="ORD-2025-10375"/>
    <n v="1"/>
    <s v="Unique"/>
    <s v="2025-02-27"/>
    <s v="28-02-2025"/>
    <d v="2025-02-27T00:00:00"/>
    <d v="2025-02-28T00:00:00"/>
    <x v="6"/>
    <x v="1"/>
    <s v="Valid"/>
    <s v="Valid"/>
    <n v="1"/>
    <s v="CUST-2358"/>
    <s v="Aditi Sen"/>
    <s v="Aditi Sen"/>
    <s v="Small Business"/>
    <x v="1"/>
    <s v="North"/>
    <x v="0"/>
    <s v="Uttar Pradesh"/>
    <s v="Uttar Pradesh"/>
    <s v="Noida"/>
    <s v="Noida"/>
    <s v="Office Supplies"/>
    <x v="0"/>
    <s v="Labels"/>
    <x v="7"/>
    <s v="Smart Labels 668"/>
    <s v="Standard Class"/>
    <x v="3"/>
    <n v="6"/>
    <n v="2393.25"/>
    <n v="0"/>
    <n v="0"/>
    <s v="Valid"/>
    <n v="14359.5"/>
    <n v="14359.5"/>
    <n v="8117.71"/>
    <n v="6241.79"/>
    <n v="6241.79"/>
    <n v="-8117.71"/>
    <s v="Paid"/>
    <s v="Paid"/>
    <s v="Completed"/>
    <x v="0"/>
    <s v="Clean"/>
  </r>
  <r>
    <s v="ORD-2024-10376"/>
    <n v="1"/>
    <s v="Unique"/>
    <s v="31-12-2024"/>
    <s v="04 Jan 2025"/>
    <d v="2024-12-31T00:00:00"/>
    <d v="2025-04-01T00:00:00"/>
    <x v="7"/>
    <x v="0"/>
    <s v="Valid"/>
    <s v="Valid"/>
    <n v="91"/>
    <s v="CUST-2810"/>
    <s v="Vikram Iyer"/>
    <s v="Vikram Iyer"/>
    <s v="Consumer"/>
    <x v="0"/>
    <s v="North"/>
    <x v="0"/>
    <s v="Delhi"/>
    <s v="Delhi"/>
    <s v="New Delhi"/>
    <s v="New Delhi"/>
    <s v="Furniture"/>
    <x v="1"/>
    <s v="Chairs"/>
    <x v="4"/>
    <s v="Pro Chairs 364"/>
    <s v="Same Day"/>
    <x v="1"/>
    <n v="3"/>
    <n v="1166.6099999999999"/>
    <n v="0.25"/>
    <n v="0.25"/>
    <s v="Valid"/>
    <n v="2624.87"/>
    <n v="2624.8724999999999"/>
    <n v="2253.88"/>
    <n v="370.99"/>
    <n v="370.99249999999984"/>
    <n v="-2253.88"/>
    <s v="Paid"/>
    <s v="Paid"/>
    <s v="Completed"/>
    <x v="0"/>
    <s v="Clean"/>
  </r>
  <r>
    <s v="ORD-2024-10377"/>
    <n v="1"/>
    <s v="Unique"/>
    <s v="29-12-2024"/>
    <s v="2024-12-31"/>
    <d v="2024-12-29T00:00:00"/>
    <d v="2024-12-31T00:00:00"/>
    <x v="7"/>
    <x v="0"/>
    <s v="Valid"/>
    <s v="Valid"/>
    <n v="2"/>
    <s v="CUST-5166"/>
    <s v="Isha Nair"/>
    <s v="Isha Nair"/>
    <s v="Small Business"/>
    <x v="1"/>
    <s v="East"/>
    <x v="1"/>
    <s v="Bihar"/>
    <s v="Bihar"/>
    <s v="Patna"/>
    <s v="Patna"/>
    <s v="Furniture"/>
    <x v="1"/>
    <s v="Chairs"/>
    <x v="4"/>
    <s v="Basic Chairs 248"/>
    <s v="First Class"/>
    <x v="2"/>
    <n v="6"/>
    <n v="1844.78"/>
    <n v="0.2"/>
    <n v="0.2"/>
    <s v="Valid"/>
    <n v="8854.94"/>
    <n v="8854.9440000000013"/>
    <n v="7433.95"/>
    <n v="1420.99"/>
    <n v="1420.9940000000015"/>
    <n v="-7433.95"/>
    <s v="Paid"/>
    <s v="Paid"/>
    <s v="Completed"/>
    <x v="0"/>
    <s v="Clean"/>
  </r>
  <r>
    <s v="ORD-2025-10378"/>
    <n v="2"/>
    <s v="Exact Duplicate"/>
    <s v="24 May 2025"/>
    <s v="30-05-2025"/>
    <d v="2025-05-24T00:00:00"/>
    <d v="2025-05-30T00:00:00"/>
    <x v="4"/>
    <x v="1"/>
    <s v="Valid"/>
    <s v="Valid"/>
    <n v="6"/>
    <s v="CUST-4875"/>
    <s v="Kabir Singh"/>
    <s v="Kabir Singh"/>
    <s v="Small Business"/>
    <x v="1"/>
    <s v="East"/>
    <x v="1"/>
    <s v="Odisha"/>
    <s v="Odisha"/>
    <s v="Bhubaneswar"/>
    <s v="Bhubaneswar"/>
    <s v="Office Supplies"/>
    <x v="0"/>
    <s v="Storage"/>
    <x v="8"/>
    <s v="Basic Storage 360"/>
    <s v="Same Day"/>
    <x v="1"/>
    <n v="1"/>
    <n v="2564.7399999999998"/>
    <n v="0"/>
    <n v="0"/>
    <s v="Valid"/>
    <n v="2564.7399999999998"/>
    <n v="2564.7399999999998"/>
    <n v="1754.58"/>
    <n v="810.16"/>
    <n v="810.15999999999985"/>
    <n v="-1754.58"/>
    <s v="Paid"/>
    <s v="Paid"/>
    <s v="Completed"/>
    <x v="0"/>
    <s v="Clean"/>
  </r>
  <r>
    <s v="ORD-2025-10379"/>
    <n v="1"/>
    <s v="Unique"/>
    <s v="22-05-2025"/>
    <s v="22-05-2025"/>
    <d v="2025-05-22T00:00:00"/>
    <d v="2025-05-22T00:00:00"/>
    <x v="4"/>
    <x v="1"/>
    <s v="Valid"/>
    <s v="Valid"/>
    <n v="0"/>
    <s v="CUST-3154"/>
    <s v="Mira Das"/>
    <s v="Mira Das"/>
    <s v="Consumer"/>
    <x v="0"/>
    <s v="West"/>
    <x v="3"/>
    <s v="Goa"/>
    <s v="Goa"/>
    <s v="Panaji"/>
    <s v="Panaji"/>
    <s v="Technology"/>
    <x v="2"/>
    <s v="Accessories"/>
    <x v="5"/>
    <s v="Basic Accessories 988"/>
    <s v="Standard Class"/>
    <x v="3"/>
    <n v="2"/>
    <n v="3910.61"/>
    <n v="0"/>
    <n v="0"/>
    <s v="Valid"/>
    <n v="7821.22"/>
    <n v="7821.22"/>
    <n v="4994.46"/>
    <n v="2826.76"/>
    <n v="2826.76"/>
    <n v="-4994.46"/>
    <s v="Paid"/>
    <s v="Paid"/>
    <s v="Completed"/>
    <x v="0"/>
    <s v="Clean"/>
  </r>
  <r>
    <s v="ORD-2024-10380"/>
    <n v="1"/>
    <s v="Unique"/>
    <s v="09/19/2024"/>
    <s v="23 Sep 2024"/>
    <d v="2024-09-19T00:00:00"/>
    <d v="2024-09-23T00:00:00"/>
    <x v="9"/>
    <x v="0"/>
    <s v="Valid"/>
    <s v="Valid"/>
    <n v="4"/>
    <s v="CUST-6405"/>
    <s v="Mira Das"/>
    <s v="Mira Das"/>
    <s v="Small Business"/>
    <x v="1"/>
    <s v="South"/>
    <x v="2"/>
    <s v="Kerala"/>
    <s v="Kerala"/>
    <s v="Kochi"/>
    <s v="Kochi"/>
    <s v="Office Supplies"/>
    <x v="0"/>
    <s v="Paper"/>
    <x v="0"/>
    <s v="Max Paper 334"/>
    <s v="Standard Class"/>
    <x v="3"/>
    <n v="7"/>
    <n v="1136.68"/>
    <s v="Unknown"/>
    <s v="Unknown"/>
    <s v="Invalid - Above Range"/>
    <n v="7956.76"/>
    <s v="Unknown"/>
    <n v="4799.54"/>
    <n v="3157.22"/>
    <s v="Unknown"/>
    <s v="Unknown"/>
    <s v="Paid"/>
    <s v="Paid"/>
    <s v="Completed"/>
    <x v="0"/>
    <s v="Needs Review"/>
  </r>
  <r>
    <s v="ORD-2024-10381"/>
    <n v="2"/>
    <s v="Unique"/>
    <s v="07 Apr 2024"/>
    <s v="14-04-2024"/>
    <d v="2024-07-04T00:00:00"/>
    <d v="2024-04-14T00:00:00"/>
    <x v="0"/>
    <x v="0"/>
    <s v="Valid"/>
    <s v="Valid"/>
    <n v="-81"/>
    <s v="CUST-5779"/>
    <s v="Vikram Iyer"/>
    <s v="Vikram Iyer"/>
    <s v="Consumer"/>
    <x v="0"/>
    <s v="West"/>
    <x v="3"/>
    <s v="Maharashtra"/>
    <s v="Maharashtra"/>
    <s v="Mumbai"/>
    <s v="Mumbai"/>
    <s v="Furniture"/>
    <x v="1"/>
    <s v="Bookcases"/>
    <x v="10"/>
    <s v="Prime Bookcases 952"/>
    <s v="Same Day"/>
    <x v="1"/>
    <n v="5"/>
    <n v="2235.85"/>
    <n v="0.25"/>
    <n v="0.25"/>
    <s v="Valid"/>
    <n v="8384.44"/>
    <n v="8384.4375"/>
    <n v="4765.96"/>
    <n v="3618.48"/>
    <n v="3618.4775"/>
    <n v="-4765.96"/>
    <s v="Paid"/>
    <s v="Paid"/>
    <s v="Returned"/>
    <x v="2"/>
    <s v="Clean"/>
  </r>
  <r>
    <s v="ORD-2025-10382"/>
    <n v="1"/>
    <s v="Unique"/>
    <s v="2025-09-19"/>
    <s v="23-09-2025"/>
    <d v="2025-09-19T00:00:00"/>
    <d v="2025-09-23T00:00:00"/>
    <x v="9"/>
    <x v="1"/>
    <s v="Valid"/>
    <s v="Valid"/>
    <n v="4"/>
    <s v="CUST-9943"/>
    <s v="Arjun Bose"/>
    <s v="Arjun Bose"/>
    <s v="Home Office"/>
    <x v="3"/>
    <s v="North"/>
    <x v="0"/>
    <s v="Delhi"/>
    <s v="Delhi"/>
    <s v="New Delhi"/>
    <s v="New Delhi"/>
    <s v="Office Supplies"/>
    <x v="0"/>
    <s v="Binders"/>
    <x v="9"/>
    <s v="Prime Binders 523"/>
    <s v="Standard Class"/>
    <x v="3"/>
    <n v="4"/>
    <n v="4387.1499999999996"/>
    <n v="0.05"/>
    <n v="0.05"/>
    <s v="Valid"/>
    <n v="16671.169999999998"/>
    <n v="16671.169999999998"/>
    <n v="10833.19"/>
    <n v="5837.98"/>
    <n v="5837.9799999999977"/>
    <n v="-10833.19"/>
    <s v="Failed"/>
    <s v="Failed"/>
    <s v="Cancelled"/>
    <x v="1"/>
    <s v="Clean"/>
  </r>
  <r>
    <s v="ORD-2025-10383"/>
    <n v="1"/>
    <s v="Unique"/>
    <s v="04 Mar 2025"/>
    <s v="03/08/2025"/>
    <d v="2025-04-03T00:00:00"/>
    <d v="2025-03-08T00:00:00"/>
    <x v="5"/>
    <x v="1"/>
    <s v="Valid"/>
    <s v="Valid"/>
    <n v="-26"/>
    <s v="CUST-7098"/>
    <s v="Arjun Bose"/>
    <s v="Arjun Bose"/>
    <s v="Small Business"/>
    <x v="1"/>
    <s v="East"/>
    <x v="1"/>
    <s v="Bihar"/>
    <s v="Bihar"/>
    <s v="Patna"/>
    <s v="Patna"/>
    <s v="Technology"/>
    <x v="2"/>
    <s v="Phones"/>
    <x v="11"/>
    <s v="Pro Phones 538"/>
    <s v="First Class"/>
    <x v="2"/>
    <n v="3"/>
    <n v="4361.8500000000004"/>
    <n v="0.2"/>
    <n v="0.2"/>
    <s v="Valid"/>
    <n v="10468.44"/>
    <n v="10468.440000000002"/>
    <n v="8399.8700000000008"/>
    <n v="2068.5700000000002"/>
    <n v="2068.5700000000015"/>
    <n v="-8399.8700000000008"/>
    <s v="Paid"/>
    <s v="Paid"/>
    <s v="Completed"/>
    <x v="0"/>
    <s v="Clean"/>
  </r>
  <r>
    <s v="ORD-2025-10384"/>
    <n v="2"/>
    <s v="Unique"/>
    <s v="28 Jun 2025"/>
    <s v="05 Jul 2025"/>
    <d v="2025-06-28T00:00:00"/>
    <d v="2025-05-07T00:00:00"/>
    <x v="2"/>
    <x v="1"/>
    <s v="Valid"/>
    <s v="Valid"/>
    <n v="-52"/>
    <s v="CUST-7438"/>
    <s v="Vikram Iyer"/>
    <s v="Vikram Iyer"/>
    <s v="Corporate"/>
    <x v="2"/>
    <s v="East"/>
    <x v="1"/>
    <s v="West Bengal"/>
    <s v="West Bengal"/>
    <s v="Kolkata"/>
    <s v="Kolkata"/>
    <s v="Office Supplies"/>
    <x v="0"/>
    <s v="Art"/>
    <x v="2"/>
    <s v="Basic Art 608"/>
    <s v="First Class"/>
    <x v="2"/>
    <n v="2"/>
    <n v="2242.75"/>
    <n v="0"/>
    <n v="0"/>
    <s v="Valid"/>
    <n v="4485.5"/>
    <n v="4485.5"/>
    <n v="3131.86"/>
    <n v="1353.64"/>
    <n v="1353.6399999999999"/>
    <n v="-3131.86"/>
    <s v="Paid"/>
    <s v="Paid"/>
    <s v="Cancelled"/>
    <x v="1"/>
    <s v="Clean"/>
  </r>
  <r>
    <s v="ORD-2024-10385"/>
    <n v="3"/>
    <s v="Unique"/>
    <s v="15-03-2024"/>
    <s v="2024-03-20"/>
    <d v="2024-03-15T00:00:00"/>
    <d v="2024-03-20T00:00:00"/>
    <x v="11"/>
    <x v="0"/>
    <s v="Valid"/>
    <s v="Valid"/>
    <n v="5"/>
    <s v="CUST-8432"/>
    <s v="Rohan Mehta"/>
    <s v="Rohan Mehta"/>
    <s v="Consumer"/>
    <x v="0"/>
    <s v="East"/>
    <x v="1"/>
    <s v="Jharkhand"/>
    <s v="Jharkhand"/>
    <s v="Ranchi"/>
    <s v="Ranchi"/>
    <s v="Technology"/>
    <x v="2"/>
    <s v="Copiers"/>
    <x v="6"/>
    <s v="Prime Copiers 820"/>
    <s v="Standard Class"/>
    <x v="3"/>
    <n v="2"/>
    <n v="1881.4"/>
    <n v="0.25"/>
    <n v="0.25"/>
    <s v="Valid"/>
    <n v="2822.1"/>
    <n v="2822.1000000000004"/>
    <n v="1624.57"/>
    <n v="1197.53"/>
    <n v="1197.5300000000004"/>
    <n v="-1624.57"/>
    <s v="Paid"/>
    <s v="Paid"/>
    <s v="Returned"/>
    <x v="2"/>
    <s v="Clean"/>
  </r>
  <r>
    <s v="ORD-2025-10386"/>
    <n v="2"/>
    <s v="Unique"/>
    <s v="2025-06-24"/>
    <s v="30 Jun 2025"/>
    <d v="2025-06-24T00:00:00"/>
    <d v="2025-06-30T00:00:00"/>
    <x v="2"/>
    <x v="1"/>
    <s v="Valid"/>
    <s v="Valid"/>
    <n v="6"/>
    <s v="CUST-2834"/>
    <s v="Arjun Bose"/>
    <s v="Arjun Bose"/>
    <s v="Consumer"/>
    <x v="0"/>
    <s v="North"/>
    <x v="0"/>
    <s v="Haryana"/>
    <s v="Haryana"/>
    <s v="Gurugram"/>
    <s v="Gurugram"/>
    <s v="Office Supplies"/>
    <x v="0"/>
    <s v="Labels"/>
    <x v="7"/>
    <s v="Classic Labels 670"/>
    <s v="Standard Class"/>
    <x v="3"/>
    <n v="6"/>
    <n v="365.76"/>
    <n v="0.1"/>
    <n v="0.1"/>
    <s v="Valid"/>
    <n v="1975.1"/>
    <n v="1975.104"/>
    <n v="1115.3499999999999"/>
    <n v="859.75"/>
    <n v="859.75400000000013"/>
    <n v="-1115.3499999999999"/>
    <s v="Paid"/>
    <s v="Paid"/>
    <s v="Completed"/>
    <x v="0"/>
    <s v="Clean"/>
  </r>
  <r>
    <s v="ORD-2025-10387"/>
    <n v="1"/>
    <s v="Unique"/>
    <s v="02/12/2025"/>
    <s v="14-02-2025"/>
    <d v="2025-02-12T00:00:00"/>
    <d v="2025-02-14T00:00:00"/>
    <x v="6"/>
    <x v="1"/>
    <s v="Valid"/>
    <s v="Valid"/>
    <n v="2"/>
    <s v="CUST-4222"/>
    <s v="Sneha Kapoor"/>
    <s v="Sneha Kapoor"/>
    <s v="Consumer"/>
    <x v="0"/>
    <s v="West"/>
    <x v="3"/>
    <s v="Maharashtra"/>
    <s v="Maharashtra"/>
    <s v="Mumbai"/>
    <s v="Mumbai"/>
    <s v="Furniture"/>
    <x v="1"/>
    <s v="Furnishings"/>
    <x v="3"/>
    <s v="Prime Furnishings 597"/>
    <s v="Second Class"/>
    <x v="0"/>
    <n v="8"/>
    <n v="2786.66"/>
    <n v="0.1"/>
    <n v="0.1"/>
    <s v="Valid"/>
    <n v="20063.95"/>
    <n v="20063.952000000001"/>
    <n v="14363.38"/>
    <n v="5700.57"/>
    <n v="5700.5720000000019"/>
    <n v="-14363.38"/>
    <s v="Paid"/>
    <s v="Paid"/>
    <s v="Completed"/>
    <x v="0"/>
    <s v="Clean"/>
  </r>
  <r>
    <s v="ORD-2025-10388"/>
    <n v="1"/>
    <s v="Unique"/>
    <s v="10-08-2025"/>
    <s v="08/13/2025"/>
    <d v="2025-10-08T00:00:00"/>
    <d v="2025-08-13T00:00:00"/>
    <x v="10"/>
    <x v="1"/>
    <s v="Valid"/>
    <s v="Valid"/>
    <n v="-56"/>
    <s v="CUST-1053"/>
    <s v="Priya Menon"/>
    <s v="Priya Menon"/>
    <s v="Small Business"/>
    <x v="1"/>
    <s v="West"/>
    <x v="3"/>
    <s v="Madhya Pradesh"/>
    <s v="Madhya Pradesh"/>
    <s v="Indore"/>
    <s v="Indore"/>
    <s v="Furniture"/>
    <x v="1"/>
    <s v="Chairs"/>
    <x v="4"/>
    <s v="Prime Chairs 196"/>
    <s v="Standard Class"/>
    <x v="3"/>
    <n v="5"/>
    <n v="352.86"/>
    <n v="0"/>
    <n v="0"/>
    <s v="Valid"/>
    <n v="1764.3"/>
    <n v="1764.3000000000002"/>
    <n v="1332.49"/>
    <n v="431.81"/>
    <n v="431.81000000000017"/>
    <n v="-1332.49"/>
    <s v="Pending"/>
    <s v="Pending"/>
    <s v="Cancelled"/>
    <x v="1"/>
    <s v="Clean"/>
  </r>
  <r>
    <s v="ORD-2024-10389"/>
    <n v="1"/>
    <s v="Unique"/>
    <s v="2024-05-13"/>
    <s v="18 May 2024"/>
    <d v="2024-05-13T00:00:00"/>
    <d v="2024-05-18T00:00:00"/>
    <x v="4"/>
    <x v="0"/>
    <s v="Valid"/>
    <s v="Valid"/>
    <n v="5"/>
    <s v="CUST-1457"/>
    <s v="Isha Nair"/>
    <s v="Isha Nair"/>
    <s v="Small Business"/>
    <x v="1"/>
    <s v="West"/>
    <x v="3"/>
    <s v="Gujarat"/>
    <s v="Gujarat"/>
    <s v="Ahmedabad"/>
    <s v="Ahmedabad"/>
    <s v="Furniture"/>
    <x v="1"/>
    <s v="Chairs"/>
    <x v="4"/>
    <s v="Elite Chairs 639"/>
    <s v="Standard Class"/>
    <x v="3"/>
    <n v="3"/>
    <n v="3128.59"/>
    <n v="0"/>
    <n v="0"/>
    <s v="Valid"/>
    <n v="9385.77"/>
    <n v="9385.77"/>
    <n v="6872.44"/>
    <n v="2783.66"/>
    <n v="2513.3300000000008"/>
    <n v="-6872.44"/>
    <s v="Paid"/>
    <s v="Paid"/>
    <s v="Completed"/>
    <x v="0"/>
    <s v="Clean"/>
  </r>
  <r>
    <s v="ORD-2024-10390"/>
    <n v="1"/>
    <s v="Unique"/>
    <s v="05 Apr 2024"/>
    <s v="13 Apr 2024"/>
    <d v="2024-05-04T00:00:00"/>
    <d v="2024-04-13T00:00:00"/>
    <x v="4"/>
    <x v="0"/>
    <s v="Valid"/>
    <s v="Valid"/>
    <n v="-21"/>
    <s v="CUST-3930"/>
    <s v="Diya Patel"/>
    <s v="Diya Patel"/>
    <s v="Corporate"/>
    <x v="2"/>
    <s v="West"/>
    <x v="3"/>
    <s v="Gujarat"/>
    <s v="Gujarat"/>
    <s v="Ahmedabad"/>
    <s v="Ahmedabad"/>
    <s v="Technology"/>
    <x v="2"/>
    <s v="Machines"/>
    <x v="12"/>
    <s v="Elite Machines 563"/>
    <s v="Second Class"/>
    <x v="0"/>
    <n v="5"/>
    <n v="1937.54"/>
    <n v="0.2"/>
    <n v="0.2"/>
    <s v="Valid"/>
    <n v="7750.16"/>
    <n v="7750.1600000000008"/>
    <n v="5434.3"/>
    <n v="2315.86"/>
    <n v="2315.8600000000006"/>
    <n v="-5434.3"/>
    <s v="Pending"/>
    <s v="Pending"/>
    <s v="Cancelled"/>
    <x v="1"/>
    <s v="Clean"/>
  </r>
  <r>
    <s v="ORD-2024-10391"/>
    <n v="2"/>
    <s v="Unique"/>
    <s v="06 Nov 2024"/>
    <s v="11-11-2024"/>
    <d v="2024-06-11T00:00:00"/>
    <d v="2024-11-11T00:00:00"/>
    <x v="2"/>
    <x v="0"/>
    <s v="Valid"/>
    <s v="Valid"/>
    <n v="153"/>
    <s v="CUST-7853"/>
    <s v="Isha Nair"/>
    <s v="Isha Nair"/>
    <s v="Consumer"/>
    <x v="0"/>
    <s v="West"/>
    <x v="3"/>
    <s v="Gujarat"/>
    <s v="Gujarat"/>
    <s v="Ahmedabad"/>
    <s v="Ahmedabad"/>
    <s v="Furniture"/>
    <x v="1"/>
    <s v="Furnishings"/>
    <x v="3"/>
    <s v="Pro Furnishings 281"/>
    <s v="Standard Class"/>
    <x v="3"/>
    <n v="4"/>
    <n v="1917.26"/>
    <n v="0.2"/>
    <n v="0.2"/>
    <s v="Valid"/>
    <n v="6135.23"/>
    <n v="6135.232"/>
    <n v="3439.79"/>
    <n v="2695.44"/>
    <n v="2695.442"/>
    <n v="-3439.79"/>
    <s v="Paid"/>
    <s v="Paid"/>
    <s v="Completed"/>
    <x v="0"/>
    <s v="Clean"/>
  </r>
  <r>
    <s v="ORD-2025-10392"/>
    <n v="1"/>
    <s v="Unique"/>
    <s v="14-02-2025"/>
    <s v="14 Feb 2025"/>
    <d v="2025-02-14T00:00:00"/>
    <d v="2025-02-14T00:00:00"/>
    <x v="6"/>
    <x v="1"/>
    <s v="Valid"/>
    <s v="Valid"/>
    <n v="0"/>
    <s v="CUST-2267"/>
    <s v="Diya Patel"/>
    <s v="Diya Patel"/>
    <s v="Consumer"/>
    <x v="0"/>
    <s v="South"/>
    <x v="2"/>
    <s v="Karnataka"/>
    <s v="Karnataka"/>
    <s v="Bengaluru"/>
    <s v="Bengaluru"/>
    <s v="Office Supplies"/>
    <x v="0"/>
    <s v="Storage"/>
    <x v="8"/>
    <s v="Eco Storage 285"/>
    <s v="First Class"/>
    <x v="2"/>
    <n v="1"/>
    <n v="714.43"/>
    <n v="0"/>
    <n v="0"/>
    <s v="Valid"/>
    <n v="714.43"/>
    <n v="714.43"/>
    <n v="565.44000000000005"/>
    <n v="148.99"/>
    <n v="148.9899999999999"/>
    <n v="-565.44000000000005"/>
    <s v="Paid"/>
    <s v="Paid"/>
    <s v="Completed"/>
    <x v="0"/>
    <s v="Clean"/>
  </r>
  <r>
    <s v="ORD-2024-10393"/>
    <n v="1"/>
    <s v="Unique"/>
    <s v="02/19/2024"/>
    <s v="22 Feb 2024"/>
    <d v="2024-02-19T00:00:00"/>
    <d v="2024-02-22T00:00:00"/>
    <x v="6"/>
    <x v="0"/>
    <s v="Valid"/>
    <s v="Valid"/>
    <n v="3"/>
    <s v="CUST-6866"/>
    <s v="Aditi Sen"/>
    <s v="Aditi Sen"/>
    <s v="Small Business"/>
    <x v="1"/>
    <s v="South"/>
    <x v="2"/>
    <s v="Kerala"/>
    <s v="Kerala"/>
    <s v="Kochi"/>
    <s v="Kochi"/>
    <s v="Furniture"/>
    <x v="1"/>
    <s v="Furnishings"/>
    <x v="3"/>
    <s v="Classic Furnishings 746"/>
    <s v="Same Day"/>
    <x v="1"/>
    <n v="9"/>
    <n v="4053.01"/>
    <n v="0"/>
    <n v="0"/>
    <s v="Valid"/>
    <n v="36477.089999999997"/>
    <n v="36477.090000000004"/>
    <n v="24525.48"/>
    <n v="11951.61"/>
    <n v="11951.610000000004"/>
    <n v="-24525.48"/>
    <s v="Paid"/>
    <s v="Paid"/>
    <s v="Completed"/>
    <x v="0"/>
    <s v="Clean"/>
  </r>
  <r>
    <s v="ORD-2024-10394"/>
    <n v="2"/>
    <s v="Unique"/>
    <s v="2024-08-23"/>
    <s v="08/29/2024"/>
    <d v="2024-08-23T00:00:00"/>
    <d v="2024-08-29T00:00:00"/>
    <x v="1"/>
    <x v="0"/>
    <s v="Valid"/>
    <s v="Valid"/>
    <n v="6"/>
    <s v="CUST-3160"/>
    <s v="Mira Das"/>
    <s v="Mira Das"/>
    <s v="Corporate"/>
    <x v="2"/>
    <s v="North"/>
    <x v="0"/>
    <s v="Uttar Pradesh"/>
    <s v="Uttar Pradesh"/>
    <s v="Noida"/>
    <s v="Noida"/>
    <s v="Office Supplies"/>
    <x v="0"/>
    <s v="Labels"/>
    <x v="7"/>
    <s v="Eco Labels 815"/>
    <s v="Same Day"/>
    <x v="1"/>
    <n v="2"/>
    <n v="1936.91"/>
    <n v="0.05"/>
    <n v="0.05"/>
    <s v="Valid"/>
    <n v="3680.13"/>
    <n v="3680.1289999999999"/>
    <n v="2967.46"/>
    <n v="712.67"/>
    <n v="712.66899999999987"/>
    <n v="-2967.46"/>
    <s v="Paid"/>
    <s v="Paid"/>
    <s v="Completed"/>
    <x v="0"/>
    <s v="Clean"/>
  </r>
  <r>
    <s v="ORD-2024-10395"/>
    <n v="1"/>
    <s v="Unique"/>
    <s v="03-04-2024"/>
    <s v="04 Apr 2024"/>
    <d v="2024-03-04T00:00:00"/>
    <d v="2024-04-04T00:00:00"/>
    <x v="11"/>
    <x v="0"/>
    <s v="Valid"/>
    <s v="Valid"/>
    <n v="31"/>
    <s v="CUST-8444"/>
    <s v="Kabir Singh"/>
    <s v="Kabir Singh"/>
    <s v="Consumer"/>
    <x v="0"/>
    <s v="West"/>
    <x v="3"/>
    <s v="Maharashtra"/>
    <s v="Maharashtra"/>
    <s v="Mumbai"/>
    <s v="Mumbai"/>
    <s v="Furniture"/>
    <x v="1"/>
    <s v="Furnishings"/>
    <x v="3"/>
    <s v="Prime Furnishings 879"/>
    <s v="First Class"/>
    <x v="2"/>
    <n v="7"/>
    <n v="3945.21"/>
    <n v="0"/>
    <n v="0"/>
    <s v="Valid"/>
    <n v="27616.47"/>
    <n v="27616.47"/>
    <n v="21225.26"/>
    <n v="6391.21"/>
    <n v="6391.2100000000028"/>
    <n v="-21225.26"/>
    <s v="Paid"/>
    <s v="Paid"/>
    <s v="Completed"/>
    <x v="0"/>
    <s v="Clean"/>
  </r>
  <r>
    <s v="ORD-2024-10396"/>
    <n v="1"/>
    <s v="Unique"/>
    <s v="06/06/2024"/>
    <s v="06/07/2024"/>
    <d v="2024-06-06T00:00:00"/>
    <d v="2024-06-07T00:00:00"/>
    <x v="2"/>
    <x v="0"/>
    <s v="Valid"/>
    <s v="Valid"/>
    <n v="1"/>
    <s v="CUST-4765"/>
    <s v="Rahul Verma"/>
    <s v="Rahul Verma"/>
    <s v="Home Office"/>
    <x v="3"/>
    <s v="South"/>
    <x v="2"/>
    <s v="Tamil Nadu"/>
    <s v="Tamil Nadu"/>
    <s v="Chennai"/>
    <s v="Chennai"/>
    <s v="Furniture"/>
    <x v="1"/>
    <s v="Tables"/>
    <x v="1"/>
    <s v="Pro Tables 142"/>
    <s v="Same Day"/>
    <x v="1"/>
    <n v="7"/>
    <n v="861.91"/>
    <n v="0.05"/>
    <n v="0.05"/>
    <s v="Valid"/>
    <n v="5731.7"/>
    <n v="5731.7014999999992"/>
    <n v="4115.5600000000004"/>
    <n v="1616.14"/>
    <n v="1616.1414999999988"/>
    <n v="-4115.5600000000004"/>
    <s v="Paid"/>
    <s v="Paid"/>
    <s v="Completed"/>
    <x v="0"/>
    <s v="Clean"/>
  </r>
  <r>
    <s v="ORD-2025-10397"/>
    <n v="1"/>
    <s v="Unique"/>
    <s v="2025-04-14"/>
    <s v="22 Apr 2025"/>
    <d v="2025-04-14T00:00:00"/>
    <d v="2025-04-22T00:00:00"/>
    <x v="5"/>
    <x v="1"/>
    <s v="Valid"/>
    <s v="Valid"/>
    <n v="8"/>
    <s v="CUST-2280"/>
    <s v="Aditi Sen"/>
    <s v="Aditi Sen"/>
    <s v="Small Business"/>
    <x v="1"/>
    <s v="South"/>
    <x v="2"/>
    <s v="Karnataka"/>
    <s v="Karnataka"/>
    <s v="Bengaluru"/>
    <s v="Bengaluru"/>
    <s v="Technology"/>
    <x v="2"/>
    <s v="Machines"/>
    <x v="12"/>
    <s v="Prime Machines 267"/>
    <s v="Standard Class"/>
    <x v="3"/>
    <n v="2"/>
    <n v="638.73"/>
    <n v="0.05"/>
    <n v="0.05"/>
    <s v="Valid"/>
    <n v="1213.5899999999999"/>
    <n v="1213.587"/>
    <n v="956.22"/>
    <n v="257.37"/>
    <n v="257.36699999999996"/>
    <n v="-956.22"/>
    <s v="Paid"/>
    <s v="Paid"/>
    <s v="Completed"/>
    <x v="0"/>
    <s v="Clean"/>
  </r>
  <r>
    <s v="ORD-2025-10398"/>
    <n v="1"/>
    <s v="Unique"/>
    <s v="09 Jun 2025"/>
    <s v="10 Jun 2025"/>
    <d v="2025-09-06T00:00:00"/>
    <d v="2025-10-06T00:00:00"/>
    <x v="9"/>
    <x v="1"/>
    <s v="Valid"/>
    <s v="Valid"/>
    <n v="30"/>
    <s v="CUST-3177"/>
    <s v="Sneha Kapoor"/>
    <s v="Sneha Kapoor"/>
    <s v="Small Business"/>
    <x v="1"/>
    <s v="North"/>
    <x v="0"/>
    <s v="Uttar Pradesh"/>
    <s v="Uttar Pradesh"/>
    <s v="Noida"/>
    <s v="Noida"/>
    <s v="Furniture"/>
    <x v="1"/>
    <s v="Tables"/>
    <x v="1"/>
    <s v="Eco Tables 378"/>
    <s v="Second Class"/>
    <x v="0"/>
    <n v="2"/>
    <n v="1731.88"/>
    <n v="0"/>
    <n v="0"/>
    <s v="Valid"/>
    <n v="3463.76"/>
    <n v="3463.76"/>
    <n v="2143.7399999999998"/>
    <n v="1320.02"/>
    <n v="1320.0200000000004"/>
    <n v="-2143.7399999999998"/>
    <s v="Paid"/>
    <s v="Paid"/>
    <s v="Completed"/>
    <x v="0"/>
    <s v="Clean"/>
  </r>
  <r>
    <s v="ORD-2024-10399"/>
    <n v="4"/>
    <s v="Unique"/>
    <s v="19 Jul 2024"/>
    <s v="2024-07-26"/>
    <d v="2024-07-19T00:00:00"/>
    <d v="2024-07-26T00:00:00"/>
    <x v="0"/>
    <x v="0"/>
    <s v="Valid"/>
    <s v="Valid"/>
    <n v="7"/>
    <s v="CUST-4718"/>
    <s v="Vikram Iyer"/>
    <s v="Vikram Iyer"/>
    <s v="Corporate"/>
    <x v="2"/>
    <s v="North"/>
    <x v="0"/>
    <s v="Punjab"/>
    <s v="Punjab"/>
    <s v="Ludhiana"/>
    <s v="Ludhiana"/>
    <s v="Technology"/>
    <x v="2"/>
    <s v="Machines"/>
    <x v="12"/>
    <s v="Elite Machines 523"/>
    <s v="Same Day"/>
    <x v="1"/>
    <n v="2"/>
    <n v="1263.6500000000001"/>
    <n v="0.2"/>
    <n v="0.2"/>
    <s v="Valid"/>
    <n v="2021.84"/>
    <n v="2021.8400000000001"/>
    <n v="1355.22"/>
    <n v="666.62"/>
    <n v="666.62000000000012"/>
    <n v="-1355.22"/>
    <s v="Paid"/>
    <s v="Paid"/>
    <s v="Completed"/>
    <x v="0"/>
    <s v="Clean"/>
  </r>
  <r>
    <s v="ORD-2025-10400"/>
    <n v="1"/>
    <s v="Exact Duplicate"/>
    <s v="04/24/2025"/>
    <s v="2025-04-29"/>
    <d v="2025-04-24T00:00:00"/>
    <d v="2025-04-29T00:00:00"/>
    <x v="5"/>
    <x v="1"/>
    <s v="Valid"/>
    <s v="Valid"/>
    <n v="5"/>
    <s v="CUST-5647"/>
    <s v="Diya Patel"/>
    <s v="Diya Patel"/>
    <s v="Small Business"/>
    <x v="1"/>
    <s v="South"/>
    <x v="2"/>
    <s v="Andhra Pradesh"/>
    <s v="Andhra Pradesh"/>
    <s v="Vijayawada"/>
    <s v="Vijayawada"/>
    <s v="Office Supplies"/>
    <x v="0"/>
    <s v="Paper"/>
    <x v="0"/>
    <s v="Elite Paper 308"/>
    <s v="Same Day"/>
    <x v="1"/>
    <n v="1"/>
    <n v="4358.5"/>
    <n v="0.25"/>
    <n v="0.25"/>
    <s v="Valid"/>
    <n v="3268.88"/>
    <n v="3268.875"/>
    <n v="1993.74"/>
    <n v="1275.1400000000001"/>
    <n v="1275.135"/>
    <n v="-1993.74"/>
    <s v="Paid"/>
    <s v="Paid"/>
    <s v="Completed"/>
    <x v="0"/>
    <s v="Clean"/>
  </r>
  <r>
    <s v="ORD-2025-10401"/>
    <n v="1"/>
    <s v="Unique"/>
    <s v="06-06-2025"/>
    <s v="2025-06-11"/>
    <d v="2025-06-06T00:00:00"/>
    <d v="2025-11-06T00:00:00"/>
    <x v="2"/>
    <x v="1"/>
    <s v="Valid"/>
    <s v="Valid"/>
    <n v="153"/>
    <s v="CUST-7150"/>
    <s v="Sneha Kapoor"/>
    <s v="Sneha Kapoor"/>
    <s v="Small Business"/>
    <x v="1"/>
    <s v="North"/>
    <x v="0"/>
    <s v="Uttar Pradesh"/>
    <s v="Uttar Pradesh"/>
    <s v="Noida"/>
    <s v="Noida"/>
    <s v="Office Supplies"/>
    <x v="0"/>
    <s v="Paper"/>
    <x v="0"/>
    <s v="Prime Paper 851"/>
    <s v="Same Day"/>
    <x v="1"/>
    <n v="7"/>
    <n v="878.09"/>
    <n v="-0.1"/>
    <n v="-0.1"/>
    <s v="Invalid - Negative Discount"/>
    <n v="5839.3"/>
    <n v="6761.2930000000006"/>
    <n v="4877.38"/>
    <n v="961.92"/>
    <n v="1883.9130000000005"/>
    <n v="-4877.38"/>
    <s v="Paid"/>
    <s v="Paid"/>
    <s v="Completed"/>
    <x v="0"/>
    <s v="Clean"/>
  </r>
  <r>
    <s v="ORD-2025-10402"/>
    <n v="1"/>
    <s v="Unique"/>
    <s v="09 Mar 2025"/>
    <s v="16-03-2025"/>
    <d v="2025-09-03T00:00:00"/>
    <d v="2025-03-16T00:00:00"/>
    <x v="9"/>
    <x v="1"/>
    <s v="Valid"/>
    <s v="Valid"/>
    <n v="-171"/>
    <s v="CUST-6694"/>
    <s v="Arjun Bose"/>
    <s v="Arjun Bose"/>
    <s v="Small Business"/>
    <x v="1"/>
    <s v="East"/>
    <x v="1"/>
    <s v="Jharkhand"/>
    <s v="Jharkhand"/>
    <s v="Ranchi"/>
    <s v="Ranchi"/>
    <s v="Furniture"/>
    <x v="1"/>
    <s v="Tables"/>
    <x v="1"/>
    <s v="Classic Tables 151"/>
    <s v="Same Day"/>
    <x v="1"/>
    <n v="3"/>
    <n v="2625.85"/>
    <n v="0"/>
    <n v="0"/>
    <s v="Valid"/>
    <n v="7877.55"/>
    <n v="7877.5499999999993"/>
    <n v="5562.77"/>
    <n v="2314.7800000000002"/>
    <n v="2314.7799999999988"/>
    <n v="-5562.77"/>
    <s v="Paid"/>
    <s v="Paid"/>
    <s v="Completed"/>
    <x v="0"/>
    <s v="Clean"/>
  </r>
  <r>
    <s v="ORD-2024-10403"/>
    <n v="1"/>
    <s v="Unique"/>
    <s v="22 Mar 2024"/>
    <s v="03/22/2024"/>
    <d v="2024-03-22T00:00:00"/>
    <d v="2024-03-22T00:00:00"/>
    <x v="11"/>
    <x v="0"/>
    <s v="Valid"/>
    <s v="Valid"/>
    <n v="0"/>
    <s v="CUST-7680"/>
    <s v="Priya Menon"/>
    <s v="Priya Menon"/>
    <s v="Small Business"/>
    <x v="1"/>
    <s v="South"/>
    <x v="2"/>
    <s v="Karnataka"/>
    <s v="Karnataka"/>
    <s v="Bengaluru"/>
    <s v="Bengaluru"/>
    <s v="Furniture"/>
    <x v="1"/>
    <s v="Tables"/>
    <x v="1"/>
    <s v="Smart Tables 829"/>
    <s v="Unknown"/>
    <x v="4"/>
    <n v="3"/>
    <n v="1365.26"/>
    <n v="0"/>
    <n v="0"/>
    <s v="Valid"/>
    <n v="4095.78"/>
    <n v="4095.7799999999997"/>
    <n v="2807.77"/>
    <n v="1288.01"/>
    <n v="1288.0099999999998"/>
    <n v="-2807.77"/>
    <s v="Paid"/>
    <s v="Paid"/>
    <s v="Completed"/>
    <x v="0"/>
    <s v="Clean"/>
  </r>
  <r>
    <s v="ORD-2024-10404"/>
    <n v="1"/>
    <s v="Unique"/>
    <s v="09/30/2024"/>
    <s v="04-10-2024"/>
    <d v="2024-09-30T00:00:00"/>
    <d v="2024-04-10T00:00:00"/>
    <x v="9"/>
    <x v="0"/>
    <s v="Valid"/>
    <s v="Valid"/>
    <n v="-173"/>
    <s v="CUST-2700"/>
    <s v="Arjun Bose"/>
    <s v="Arjun Bose"/>
    <s v="Small Business"/>
    <x v="1"/>
    <s v="South"/>
    <x v="2"/>
    <s v="Kerala"/>
    <s v="Kerala"/>
    <s v="Kochi"/>
    <s v="Kochi"/>
    <s v="Office Supplies"/>
    <x v="0"/>
    <s v="Paper"/>
    <x v="0"/>
    <s v="Classic Paper 237"/>
    <s v="Same Day"/>
    <x v="1"/>
    <n v="5"/>
    <n v="3512.25"/>
    <n v="0.05"/>
    <n v="0.05"/>
    <s v="Valid"/>
    <n v="16683.189999999999"/>
    <n v="16683.1875"/>
    <n v="10301.16"/>
    <n v="6382.03"/>
    <n v="6382.0275000000001"/>
    <n v="-10301.16"/>
    <s v="Paid"/>
    <s v="Paid"/>
    <s v="Returned"/>
    <x v="2"/>
    <s v="Clean"/>
  </r>
  <r>
    <s v="ORD-2024-10405"/>
    <n v="3"/>
    <s v="Unique"/>
    <s v="27 Jan 2024"/>
    <s v="02/03/2024"/>
    <d v="2024-01-27T00:00:00"/>
    <d v="2024-02-03T00:00:00"/>
    <x v="8"/>
    <x v="0"/>
    <s v="Valid"/>
    <s v="Valid"/>
    <n v="7"/>
    <s v="CUST-2904"/>
    <s v="Aditi Sen"/>
    <s v="Aditi Sen"/>
    <s v="Corporate"/>
    <x v="2"/>
    <s v="West"/>
    <x v="3"/>
    <s v="Rajasthan"/>
    <s v="Rajasthan"/>
    <s v="Udaipur"/>
    <s v="Udaipur"/>
    <s v="Furniture"/>
    <x v="1"/>
    <s v="Chairs"/>
    <x v="4"/>
    <s v="Prime Chairs 891"/>
    <s v="Same Day"/>
    <x v="1"/>
    <n v="3"/>
    <n v="359.61"/>
    <n v="0"/>
    <n v="0"/>
    <s v="Valid"/>
    <n v="1078.83"/>
    <n v="1078.83"/>
    <n v="926.35"/>
    <n v="152.47999999999999"/>
    <n v="152.4799999999999"/>
    <n v="-926.35"/>
    <s v="Paid"/>
    <s v="Paid"/>
    <s v="Completed"/>
    <x v="0"/>
    <s v="Clean"/>
  </r>
  <r>
    <s v="ORD-2024-10406"/>
    <n v="1"/>
    <s v="Unique"/>
    <s v="09/23/2024"/>
    <s v="24 Sep 2024"/>
    <d v="2024-09-23T00:00:00"/>
    <d v="2024-09-24T00:00:00"/>
    <x v="9"/>
    <x v="0"/>
    <s v="Valid"/>
    <s v="Valid"/>
    <n v="1"/>
    <s v="CUST-9961"/>
    <s v="Aditi Sen"/>
    <s v="Aditi Sen"/>
    <s v="Home Office"/>
    <x v="3"/>
    <s v="West"/>
    <x v="3"/>
    <s v="Gujarat"/>
    <s v="Gujarat"/>
    <s v="Ahmedabad"/>
    <s v="Ahmedabad"/>
    <s v="Furniture"/>
    <x v="1"/>
    <s v="Bookcases"/>
    <x v="10"/>
    <s v="Max Bookcases 812"/>
    <s v="Unknown"/>
    <x v="4"/>
    <n v="7"/>
    <n v="3878.01"/>
    <n v="0.1"/>
    <n v="0.1"/>
    <s v="Valid"/>
    <n v="24431.46"/>
    <n v="24431.463"/>
    <n v="18202.36"/>
    <n v="6229.1"/>
    <n v="6229.1029999999992"/>
    <n v="-18202.36"/>
    <s v="Paid"/>
    <s v="Paid"/>
    <s v="Completed"/>
    <x v="0"/>
    <s v="Clean"/>
  </r>
  <r>
    <s v="ORD-2025-10407"/>
    <n v="1"/>
    <s v="Unique"/>
    <s v="25 Feb 2025"/>
    <s v="25 Feb 2025"/>
    <d v="2025-02-25T00:00:00"/>
    <d v="2025-02-25T00:00:00"/>
    <x v="6"/>
    <x v="1"/>
    <s v="Valid"/>
    <s v="Valid"/>
    <n v="0"/>
    <s v="CUST-9909"/>
    <s v="Kabir Singh"/>
    <s v="Kabir Singh"/>
    <s v="Small Business"/>
    <x v="1"/>
    <s v="West"/>
    <x v="3"/>
    <s v="Goa"/>
    <s v="Goa"/>
    <s v="Panaji"/>
    <s v="Panaji"/>
    <s v="Furniture"/>
    <x v="1"/>
    <s v="Furnishings"/>
    <x v="3"/>
    <s v="Basic Furnishings 164"/>
    <s v="Standard Class"/>
    <x v="3"/>
    <n v="2"/>
    <n v="3924.2"/>
    <n v="0.25"/>
    <n v="0.25"/>
    <s v="Valid"/>
    <n v="5886.3"/>
    <n v="5886.2999999999993"/>
    <n v="3621.76"/>
    <n v="2264.54"/>
    <n v="2264.5399999999991"/>
    <n v="-3621.76"/>
    <s v="Pending"/>
    <s v="Pending"/>
    <s v="Returned"/>
    <x v="2"/>
    <s v="Clean"/>
  </r>
  <r>
    <s v="ORD-2024-10408"/>
    <n v="2"/>
    <s v="Unique"/>
    <s v="12 May 2024"/>
    <s v="13 May 2024"/>
    <d v="2024-12-05T00:00:00"/>
    <d v="2024-05-13T00:00:00"/>
    <x v="7"/>
    <x v="0"/>
    <s v="Valid"/>
    <s v="Valid"/>
    <n v="-206"/>
    <s v="CUST-8520"/>
    <s v="Rahul Verma"/>
    <s v="Rahul Verma"/>
    <s v="Corporate"/>
    <x v="2"/>
    <s v="West"/>
    <x v="3"/>
    <s v="Goa"/>
    <s v="Goa"/>
    <s v="Panaji"/>
    <s v="Panaji"/>
    <s v="Office Supplies"/>
    <x v="0"/>
    <s v="Labels"/>
    <x v="7"/>
    <s v="Smart Labels 261"/>
    <s v="Second Class"/>
    <x v="0"/>
    <n v="3"/>
    <n v="2644.55"/>
    <n v="0"/>
    <n v="0"/>
    <s v="Valid"/>
    <n v="7933.65"/>
    <n v="7933.6500000000005"/>
    <n v="5698.42"/>
    <n v="2235.23"/>
    <n v="2235.2300000000005"/>
    <n v="-5698.42"/>
    <s v="Paid"/>
    <s v="Paid"/>
    <s v="Completed"/>
    <x v="0"/>
    <s v="Clean"/>
  </r>
  <r>
    <s v="ORD-2025-10409"/>
    <n v="2"/>
    <s v="Unique"/>
    <s v="08/01/2025"/>
    <s v="08/03/2025"/>
    <d v="2025-08-01T00:00:00"/>
    <d v="2025-08-03T00:00:00"/>
    <x v="1"/>
    <x v="1"/>
    <s v="Valid"/>
    <s v="Valid"/>
    <n v="2"/>
    <s v="CUST-5036"/>
    <s v="Sneha Kapoor"/>
    <s v="Sneha Kapoor"/>
    <s v="Consumer"/>
    <x v="0"/>
    <s v="West"/>
    <x v="3"/>
    <s v="Maharashtra"/>
    <s v="Maharashtra"/>
    <s v="Mumbai"/>
    <s v="Mumbai"/>
    <s v="Furniture"/>
    <x v="1"/>
    <s v="Chairs"/>
    <x v="4"/>
    <s v="Max Chairs 765"/>
    <s v="First Class"/>
    <x v="2"/>
    <n v="4"/>
    <n v="1773.46"/>
    <n v="0"/>
    <n v="0"/>
    <s v="Valid"/>
    <n v="7093.84"/>
    <n v="7093.84"/>
    <n v="4587.49"/>
    <n v="2506.35"/>
    <n v="2506.3500000000004"/>
    <n v="-4587.49"/>
    <s v="Failed"/>
    <s v="Failed"/>
    <s v="Returned"/>
    <x v="2"/>
    <s v="Clean"/>
  </r>
  <r>
    <s v="ORD-2025-10410"/>
    <n v="1"/>
    <s v="Unique"/>
    <s v="13-02-2025"/>
    <s v="15-02-2025"/>
    <d v="2025-02-13T00:00:00"/>
    <d v="2025-02-15T00:00:00"/>
    <x v="6"/>
    <x v="1"/>
    <s v="Valid"/>
    <s v="Valid"/>
    <n v="2"/>
    <s v="CUST-7721"/>
    <s v="Karan Malhotra"/>
    <s v="Karan Malhotra"/>
    <s v="Consumer"/>
    <x v="0"/>
    <s v="East"/>
    <x v="1"/>
    <s v="Assam"/>
    <s v="Assam"/>
    <s v="Guwahati"/>
    <s v="Guwahati"/>
    <s v="Technology"/>
    <x v="2"/>
    <s v="Accessories"/>
    <x v="5"/>
    <s v="Pro Accessories 686"/>
    <s v="Same Day"/>
    <x v="1"/>
    <n v="1"/>
    <n v="3025.46"/>
    <n v="0.25"/>
    <n v="0.25"/>
    <s v="Valid"/>
    <n v="2269.1"/>
    <n v="2269.0950000000003"/>
    <n v="1593.59"/>
    <n v="675.51"/>
    <n v="675.50500000000034"/>
    <n v="-1593.59"/>
    <s v="Refunded"/>
    <s v="Refunded"/>
    <s v="Returned"/>
    <x v="2"/>
    <s v="Clean"/>
  </r>
  <r>
    <s v="ORD-2024-10411"/>
    <n v="2"/>
    <s v="Unique"/>
    <s v="2024-04-12"/>
    <s v="20 Apr 2024"/>
    <d v="2024-12-04T00:00:00"/>
    <d v="2024-04-20T00:00:00"/>
    <x v="7"/>
    <x v="0"/>
    <s v="Valid"/>
    <s v="Valid"/>
    <n v="-228"/>
    <s v="CUST-9495"/>
    <s v="Diya Patel"/>
    <s v="Diya Patel"/>
    <s v="Consumer"/>
    <x v="0"/>
    <s v="West"/>
    <x v="3"/>
    <s v="Goa"/>
    <s v="Goa"/>
    <s v="Panaji"/>
    <s v="Panaji"/>
    <s v="Furniture"/>
    <x v="1"/>
    <s v="Tables"/>
    <x v="1"/>
    <s v="Smart Tables 100"/>
    <s v="First Class"/>
    <x v="2"/>
    <n v="9"/>
    <n v="1302.6099999999999"/>
    <n v="0.2"/>
    <n v="0.2"/>
    <s v="Valid"/>
    <n v="9378.7900000000009"/>
    <n v="9378.7919999999995"/>
    <n v="6774.48"/>
    <n v="2604.31"/>
    <n v="2604.3119999999999"/>
    <n v="-6774.48"/>
    <s v="Paid"/>
    <s v="Paid"/>
    <s v="Completed"/>
    <x v="0"/>
    <s v="Clean"/>
  </r>
  <r>
    <s v="ORD-2025-10412"/>
    <n v="2"/>
    <s v="Unique"/>
    <s v="2025-08-23"/>
    <s v="2025-08-28"/>
    <d v="2025-08-23T00:00:00"/>
    <d v="2025-08-28T00:00:00"/>
    <x v="1"/>
    <x v="1"/>
    <s v="Valid"/>
    <s v="Valid"/>
    <n v="5"/>
    <s v="CUST-2855"/>
    <s v="Arjun Bose"/>
    <s v="Arjun Bose"/>
    <s v="Home Office"/>
    <x v="3"/>
    <s v="West"/>
    <x v="3"/>
    <s v="Rajasthan"/>
    <s v="Rajasthan"/>
    <s v="Udaipur"/>
    <s v="Udaipur"/>
    <s v="Furniture"/>
    <x v="1"/>
    <s v="Tables"/>
    <x v="1"/>
    <s v="Basic Tables 615"/>
    <s v="First Class"/>
    <x v="2"/>
    <n v="1"/>
    <n v="4167.8100000000004"/>
    <n v="0.2"/>
    <n v="0.2"/>
    <s v="Valid"/>
    <n v="3334.25"/>
    <n v="3334.2480000000005"/>
    <n v="2768.77"/>
    <n v="565.48"/>
    <n v="565.47800000000052"/>
    <n v="-2768.77"/>
    <s v="Failed"/>
    <s v="Failed"/>
    <s v="Returned"/>
    <x v="2"/>
    <s v="Clean"/>
  </r>
  <r>
    <s v="ORD-2024-10413"/>
    <n v="4"/>
    <s v="Unique"/>
    <s v="2024-01-22"/>
    <s v="30-01-2024"/>
    <d v="2024-01-22T00:00:00"/>
    <d v="2024-01-30T00:00:00"/>
    <x v="8"/>
    <x v="0"/>
    <s v="Valid"/>
    <s v="Valid"/>
    <n v="8"/>
    <s v="CUST-4329"/>
    <s v="Isha Nair"/>
    <s v="Isha Nair"/>
    <s v="Corporate"/>
    <x v="2"/>
    <s v="South"/>
    <x v="2"/>
    <s v="Karnataka"/>
    <s v="Karnataka"/>
    <s v="Bengaluru"/>
    <s v="Bengaluru"/>
    <s v="Furniture"/>
    <x v="1"/>
    <s v="Chairs"/>
    <x v="4"/>
    <s v="Basic Chairs 790"/>
    <s v="Same Day"/>
    <x v="1"/>
    <n v="1"/>
    <n v="2111.39"/>
    <n v="0.25"/>
    <n v="0.25"/>
    <s v="Valid"/>
    <n v="1583.54"/>
    <n v="1583.5425"/>
    <n v="1014.19"/>
    <n v="569.35"/>
    <n v="569.35249999999996"/>
    <n v="-1014.19"/>
    <s v="Paid"/>
    <s v="Paid"/>
    <s v="Completed"/>
    <x v="0"/>
    <s v="Clean"/>
  </r>
  <r>
    <s v="ORD-2025-10414"/>
    <n v="2"/>
    <s v="Unique"/>
    <s v="13-08-2025"/>
    <s v="17-08-2025"/>
    <d v="2025-08-13T00:00:00"/>
    <d v="2025-08-17T00:00:00"/>
    <x v="1"/>
    <x v="1"/>
    <s v="Valid"/>
    <s v="Valid"/>
    <n v="4"/>
    <s v="CUST-5094"/>
    <s v="Neha Gupta"/>
    <s v="Neha Gupta"/>
    <s v="Home Office"/>
    <x v="3"/>
    <s v="West"/>
    <x v="3"/>
    <s v="Madhya Pradesh"/>
    <s v="Madhya Pradesh"/>
    <s v="Indore"/>
    <s v="Indore"/>
    <s v="Technology"/>
    <x v="2"/>
    <s v="Accessories"/>
    <x v="5"/>
    <s v="Smart Accessories 226"/>
    <s v="Second Class"/>
    <x v="0"/>
    <n v="8"/>
    <n v="1918.23"/>
    <n v="0"/>
    <n v="0"/>
    <s v="Valid"/>
    <n v="15345.84"/>
    <n v="15345.84"/>
    <n v="10735.33"/>
    <n v="4610.51"/>
    <n v="4610.51"/>
    <n v="-10735.33"/>
    <s v="Pending"/>
    <s v="Pending"/>
    <s v="Cancelled"/>
    <x v="1"/>
    <s v="Clean"/>
  </r>
  <r>
    <s v="ORD-2024-10415"/>
    <n v="1"/>
    <s v="Unique"/>
    <s v="2024-08-29"/>
    <s v="08/30/2024"/>
    <d v="2024-08-29T00:00:00"/>
    <d v="2024-08-30T00:00:00"/>
    <x v="1"/>
    <x v="0"/>
    <s v="Valid"/>
    <s v="Valid"/>
    <n v="1"/>
    <s v="CUST-4194"/>
    <s v="Arjun Bose"/>
    <s v="Arjun Bose"/>
    <s v="Home Office"/>
    <x v="3"/>
    <s v="East"/>
    <x v="1"/>
    <s v="Assam"/>
    <s v="Assam"/>
    <s v="Guwahati"/>
    <s v="Guwahati"/>
    <s v="Office Supplies"/>
    <x v="0"/>
    <s v="Storage"/>
    <x v="8"/>
    <s v="Max Storage 692"/>
    <s v="First Class"/>
    <x v="2"/>
    <n v="4"/>
    <n v="2484.08"/>
    <n v="0.05"/>
    <n v="0.05"/>
    <s v="Valid"/>
    <n v="9439.5"/>
    <n v="9439.503999999999"/>
    <n v="5519.39"/>
    <n v="3920.11"/>
    <n v="3920.1139999999987"/>
    <n v="-5519.39"/>
    <s v="Paid"/>
    <s v="Paid"/>
    <s v="Completed"/>
    <x v="0"/>
    <s v="Clean"/>
  </r>
  <r>
    <s v="ORD-2024-10416"/>
    <n v="1"/>
    <s v="Unique"/>
    <s v="01/25/2024"/>
    <s v="27 Jan 2024"/>
    <d v="2024-01-25T00:00:00"/>
    <d v="2024-01-27T00:00:00"/>
    <x v="8"/>
    <x v="0"/>
    <s v="Valid"/>
    <s v="Valid"/>
    <n v="2"/>
    <s v="CUST-7087"/>
    <s v="Aarav Sharma"/>
    <s v="Aarav Sharma"/>
    <s v="Corporate"/>
    <x v="2"/>
    <s v="South"/>
    <x v="2"/>
    <s v="Karnataka"/>
    <s v="Karnataka"/>
    <s v="Bengaluru"/>
    <s v="Bengaluru"/>
    <s v="Office Supplies"/>
    <x v="0"/>
    <s v="Storage"/>
    <x v="8"/>
    <s v="Basic Storage 684"/>
    <s v="Same Day"/>
    <x v="1"/>
    <n v="7"/>
    <n v="1727.26"/>
    <n v="0.15"/>
    <n v="0.15"/>
    <s v="Valid"/>
    <n v="10277.200000000001"/>
    <n v="10277.197"/>
    <n v="7906.5"/>
    <n v="2370.6999999999998"/>
    <n v="2370.6970000000001"/>
    <n v="-7906.5"/>
    <s v="Paid"/>
    <s v="Paid"/>
    <s v="Returned"/>
    <x v="2"/>
    <s v="Clean"/>
  </r>
  <r>
    <s v="ORD-2025-10417"/>
    <n v="3"/>
    <s v="Unique"/>
    <s v="2025-01-08"/>
    <s v="16-01-2025"/>
    <d v="2025-08-01T00:00:00"/>
    <d v="2025-01-16T00:00:00"/>
    <x v="1"/>
    <x v="1"/>
    <s v="Valid"/>
    <s v="Valid"/>
    <n v="-197"/>
    <s v="CUST-7608"/>
    <s v="Neha Gupta"/>
    <s v="Neha Gupta"/>
    <s v="Consumer"/>
    <x v="0"/>
    <s v="South"/>
    <x v="2"/>
    <s v="Telangana"/>
    <s v="Telangana"/>
    <s v="Hyderabad"/>
    <s v="Hyderabad"/>
    <s v="Furniture"/>
    <x v="1"/>
    <s v="Furnishings"/>
    <x v="3"/>
    <s v="Smart Furnishings 152"/>
    <s v="First Class"/>
    <x v="2"/>
    <n v="8"/>
    <n v="638.95000000000005"/>
    <n v="0.25"/>
    <n v="0.25"/>
    <s v="Valid"/>
    <n v="3833.7"/>
    <n v="3833.7000000000003"/>
    <n v="2886.35"/>
    <n v="947.35"/>
    <n v="947.35000000000036"/>
    <n v="-2886.35"/>
    <s v="Paid"/>
    <s v="Paid"/>
    <s v="Completed"/>
    <x v="0"/>
    <s v="Clean"/>
  </r>
  <r>
    <s v="ORD-2025-10418"/>
    <n v="1"/>
    <s v="Unique"/>
    <s v="01/29/2025"/>
    <s v="02/05/2025"/>
    <d v="2025-01-29T00:00:00"/>
    <d v="2025-02-05T00:00:00"/>
    <x v="8"/>
    <x v="1"/>
    <s v="Valid"/>
    <s v="Valid"/>
    <n v="7"/>
    <s v="CUST-5269"/>
    <s v="Mira Das"/>
    <s v="Mira Das"/>
    <s v="Consumer"/>
    <x v="0"/>
    <s v="West"/>
    <x v="3"/>
    <s v="Gujarat"/>
    <s v="Gujarat"/>
    <s v="Ahmedabad"/>
    <s v="Ahmedabad"/>
    <s v="Office Supplies"/>
    <x v="0"/>
    <s v="Art"/>
    <x v="2"/>
    <s v="Max Art 736"/>
    <s v="First Class"/>
    <x v="2"/>
    <n v="6"/>
    <n v="3863"/>
    <n v="0.2"/>
    <n v="0.2"/>
    <s v="Valid"/>
    <n v="18542.400000000001"/>
    <n v="18542.400000000001"/>
    <n v="11193.75"/>
    <n v="7348.65"/>
    <n v="7348.6500000000015"/>
    <n v="-11193.75"/>
    <s v="Paid"/>
    <s v="Paid"/>
    <s v="Completed"/>
    <x v="0"/>
    <s v="Clean"/>
  </r>
  <r>
    <s v="ORD-2024-10419"/>
    <n v="1"/>
    <s v="Unique"/>
    <s v="11/09/2024"/>
    <s v="11/17/2024"/>
    <d v="2024-11-09T00:00:00"/>
    <d v="2024-11-17T00:00:00"/>
    <x v="3"/>
    <x v="0"/>
    <s v="Valid"/>
    <s v="Valid"/>
    <n v="8"/>
    <s v="CUST-7925"/>
    <s v="Sneha Kapoor"/>
    <s v="Sneha Kapoor"/>
    <s v="Corporate"/>
    <x v="2"/>
    <s v="East"/>
    <x v="1"/>
    <s v="Odisha"/>
    <s v="Odisha"/>
    <s v="Bhubaneswar"/>
    <s v="Bhubaneswar"/>
    <s v="Technology"/>
    <x v="2"/>
    <s v="Copiers"/>
    <x v="6"/>
    <s v="Elite Copiers 971"/>
    <s v="Standard Class"/>
    <x v="3"/>
    <n v="6"/>
    <n v="3660.4"/>
    <n v="0"/>
    <n v="0"/>
    <s v="Valid"/>
    <n v="21962.400000000001"/>
    <n v="21962.400000000001"/>
    <n v="15331.99"/>
    <n v="6630.41"/>
    <n v="6630.4100000000017"/>
    <n v="-15331.99"/>
    <s v="Failed"/>
    <s v="Failed"/>
    <s v="Cancelled"/>
    <x v="1"/>
    <s v="Clean"/>
  </r>
  <r>
    <s v="ORD-2025-10420"/>
    <n v="1"/>
    <s v="Unique"/>
    <s v="26-09-2025"/>
    <s v="09/30/2025"/>
    <d v="2025-09-26T00:00:00"/>
    <d v="2025-09-30T00:00:00"/>
    <x v="9"/>
    <x v="1"/>
    <s v="Valid"/>
    <s v="Valid"/>
    <n v="4"/>
    <s v="CUST-6552"/>
    <s v="Sneha Kapoor"/>
    <s v="Sneha Kapoor"/>
    <s v="Home Office"/>
    <x v="3"/>
    <s v="North"/>
    <x v="0"/>
    <s v="Haryana"/>
    <s v="Haryana"/>
    <s v="Gurugram"/>
    <s v="Gurugram"/>
    <s v="Technology"/>
    <x v="2"/>
    <s v="Phones"/>
    <x v="11"/>
    <s v="Classic Phones 940"/>
    <s v="Same Day"/>
    <x v="1"/>
    <n v="2"/>
    <n v="688.83"/>
    <n v="0.05"/>
    <n v="0.05"/>
    <s v="Valid"/>
    <n v="1308.78"/>
    <n v="1308.777"/>
    <n v="843"/>
    <n v="465.78"/>
    <n v="465.77700000000004"/>
    <n v="-843"/>
    <s v="Paid"/>
    <s v="Paid"/>
    <s v="Completed"/>
    <x v="0"/>
    <s v="Clean"/>
  </r>
  <r>
    <s v="ORD-2025-10421"/>
    <n v="2"/>
    <s v="Unique"/>
    <s v="18-03-2025"/>
    <s v="2025-03-19"/>
    <d v="2025-03-18T00:00:00"/>
    <d v="2025-03-19T00:00:00"/>
    <x v="11"/>
    <x v="1"/>
    <s v="Valid"/>
    <s v="Valid"/>
    <n v="1"/>
    <s v="CUST-7131"/>
    <s v="Isha Nair"/>
    <s v="Isha Nair"/>
    <s v="Corporate"/>
    <x v="2"/>
    <s v="South"/>
    <x v="2"/>
    <s v="Tamil Nadu"/>
    <s v="Tamil Nadu"/>
    <s v="Chennai"/>
    <s v="Chennai"/>
    <s v="Technology"/>
    <x v="2"/>
    <s v="Machines"/>
    <x v="12"/>
    <s v="Pro Machines 579"/>
    <s v="Standard Class"/>
    <x v="3"/>
    <n v="2"/>
    <n v="1209.99"/>
    <n v="0.25"/>
    <n v="0.25"/>
    <s v="Valid"/>
    <n v="1814.99"/>
    <n v="1814.9850000000001"/>
    <n v="1120.06"/>
    <n v="694.93"/>
    <n v="694.92500000000018"/>
    <n v="-1120.06"/>
    <s v="Pending"/>
    <s v="Pending"/>
    <s v="Cancelled"/>
    <x v="1"/>
    <s v="Clean"/>
  </r>
  <r>
    <s v="ORD-2025-10422"/>
    <n v="1"/>
    <s v="Unique"/>
    <s v="06/14/2025"/>
    <s v="19 Jun 2025"/>
    <d v="2025-06-14T00:00:00"/>
    <d v="2025-06-19T00:00:00"/>
    <x v="2"/>
    <x v="1"/>
    <s v="Valid"/>
    <s v="Valid"/>
    <n v="5"/>
    <s v="CUST-2779"/>
    <s v="Rohan Mehta"/>
    <s v="Rohan Mehta"/>
    <s v="Small Business"/>
    <x v="1"/>
    <s v="North"/>
    <x v="0"/>
    <s v="Delhi"/>
    <s v="Delhi"/>
    <s v="New Delhi"/>
    <s v="New Delhi"/>
    <s v="Office Supplies"/>
    <x v="0"/>
    <s v="Binders"/>
    <x v="9"/>
    <s v="Elite Binders 943"/>
    <s v="Same Day"/>
    <x v="1"/>
    <n v="3"/>
    <n v="1037.45"/>
    <n v="0.2"/>
    <n v="0.2"/>
    <s v="Valid"/>
    <n v="2489.88"/>
    <n v="2489.8800000000006"/>
    <n v="1707.52"/>
    <n v="782.36"/>
    <n v="782.36000000000058"/>
    <n v="-1707.52"/>
    <s v="Pending"/>
    <s v="Pending"/>
    <s v="Returned"/>
    <x v="2"/>
    <s v="Clean"/>
  </r>
  <r>
    <s v="ORD-2025-10423"/>
    <n v="2"/>
    <s v="Unique"/>
    <s v="09/03/2025"/>
    <s v="06 Sep 2025"/>
    <d v="2025-09-03T00:00:00"/>
    <d v="2025-06-09T00:00:00"/>
    <x v="9"/>
    <x v="1"/>
    <s v="Valid"/>
    <s v="Valid"/>
    <n v="-86"/>
    <s v="CUST-6077"/>
    <s v="Kabir Singh"/>
    <s v="Kabir Singh"/>
    <s v="Consumer"/>
    <x v="0"/>
    <s v="West"/>
    <x v="3"/>
    <s v="Madhya Pradesh"/>
    <s v="Madhya Pradesh"/>
    <s v="Indore"/>
    <s v="Indore"/>
    <s v="Technology"/>
    <x v="2"/>
    <s v="Copiers"/>
    <x v="6"/>
    <s v="Elite Copiers 474"/>
    <s v="Same Day"/>
    <x v="1"/>
    <n v="7"/>
    <n v="688.85"/>
    <n v="0.15"/>
    <n v="0.15"/>
    <s v="Valid"/>
    <n v="4098.66"/>
    <n v="4098.6574999999993"/>
    <n v="2678.06"/>
    <n v="1420.6"/>
    <n v="1420.5974999999994"/>
    <n v="-2678.06"/>
    <s v="Paid"/>
    <s v="Paid"/>
    <s v="Completed"/>
    <x v="0"/>
    <s v="Clean"/>
  </r>
  <r>
    <s v="ORD-2024-10424"/>
    <n v="2"/>
    <s v="Conflicting Duplicate"/>
    <s v="2024-02-20"/>
    <s v="27-02-2024"/>
    <d v="2024-02-20T00:00:00"/>
    <d v="2024-02-27T00:00:00"/>
    <x v="6"/>
    <x v="0"/>
    <s v="Valid"/>
    <s v="Valid"/>
    <n v="7"/>
    <s v="CUST-6169"/>
    <s v="Diya Patel"/>
    <s v="Diya Patel"/>
    <s v="Consumer"/>
    <x v="0"/>
    <s v="South"/>
    <x v="2"/>
    <s v="Kerala"/>
    <s v="Kerala"/>
    <s v="Kochi"/>
    <s v="Kochi"/>
    <s v="Technology"/>
    <x v="2"/>
    <s v="Accessories"/>
    <x v="5"/>
    <s v="Prime Accessories 236"/>
    <s v="First Class"/>
    <x v="2"/>
    <n v="9"/>
    <n v="3779.31"/>
    <n v="0.2"/>
    <n v="0.2"/>
    <s v="Valid"/>
    <n v="27211.03"/>
    <n v="27211.032000000003"/>
    <n v="17940.43"/>
    <n v="9270.6"/>
    <n v="9270.6020000000026"/>
    <n v="-17940.43"/>
    <s v="Paid"/>
    <s v="Paid"/>
    <s v="Completed"/>
    <x v="0"/>
    <s v="Clean"/>
  </r>
  <r>
    <s v="ORD-2024-10425"/>
    <n v="1"/>
    <s v="Unique"/>
    <s v="06/26/2024"/>
    <s v="2024-06-29"/>
    <d v="2024-06-26T00:00:00"/>
    <d v="2024-06-29T00:00:00"/>
    <x v="2"/>
    <x v="0"/>
    <s v="Valid"/>
    <s v="Valid"/>
    <n v="3"/>
    <s v="CUST-8904"/>
    <s v="Neha Gupta"/>
    <s v="Neha Gupta"/>
    <s v="Corporate"/>
    <x v="2"/>
    <s v="North"/>
    <x v="0"/>
    <s v="Punjab"/>
    <s v="Punjab"/>
    <s v="Ludhiana"/>
    <s v="Ludhiana"/>
    <s v="Technology"/>
    <x v="2"/>
    <s v="Phones"/>
    <x v="11"/>
    <s v="Prime Phones 881"/>
    <s v="Standard Class"/>
    <x v="3"/>
    <n v="8"/>
    <n v="804.52"/>
    <n v="0"/>
    <n v="0"/>
    <s v="Valid"/>
    <n v="6436.16"/>
    <n v="6436.16"/>
    <n v="4263.83"/>
    <n v="2172.33"/>
    <n v="2172.33"/>
    <n v="-4263.83"/>
    <s v="Paid"/>
    <s v="Paid"/>
    <s v="Completed"/>
    <x v="0"/>
    <s v="Clean"/>
  </r>
  <r>
    <s v="ORD-2024-10426"/>
    <n v="1"/>
    <s v="Unique"/>
    <s v="26-09-2024"/>
    <s v="09/27/2024"/>
    <d v="2024-09-26T00:00:00"/>
    <d v="2024-09-27T00:00:00"/>
    <x v="9"/>
    <x v="0"/>
    <s v="Valid"/>
    <s v="Valid"/>
    <n v="1"/>
    <s v="CUST-9586"/>
    <s v="Isha Nair"/>
    <s v="Isha Nair"/>
    <s v="Home Office"/>
    <x v="3"/>
    <s v="North"/>
    <x v="0"/>
    <s v="Delhi"/>
    <s v="Delhi"/>
    <s v="New Delhi"/>
    <s v="New Delhi"/>
    <s v="Office Supplies"/>
    <x v="0"/>
    <s v="Labels"/>
    <x v="7"/>
    <s v="Pro Labels 903"/>
    <s v="First Class"/>
    <x v="2"/>
    <n v="2"/>
    <n v="1065.69"/>
    <n v="0.1"/>
    <n v="0.1"/>
    <s v="Valid"/>
    <n v="1918.24"/>
    <n v="1918.2420000000002"/>
    <n v="1373.52"/>
    <n v="544.72"/>
    <n v="544.72200000000021"/>
    <n v="-1373.52"/>
    <s v="Refunded"/>
    <s v="Refunded"/>
    <s v="Cancelled"/>
    <x v="1"/>
    <s v="Clean"/>
  </r>
  <r>
    <s v="ORD-2024-10427"/>
    <n v="1"/>
    <s v="Unique"/>
    <s v="30-06-2024"/>
    <s v="01-07-2024"/>
    <d v="2024-06-30T00:00:00"/>
    <d v="2024-01-07T00:00:00"/>
    <x v="2"/>
    <x v="0"/>
    <s v="Valid"/>
    <s v="Valid"/>
    <n v="-175"/>
    <s v="CUST-5431"/>
    <s v="Aditi Sen"/>
    <s v="Aditi Sen"/>
    <s v="Consumer"/>
    <x v="0"/>
    <s v="North"/>
    <x v="0"/>
    <s v="Haryana"/>
    <s v="Haryana"/>
    <s v="Gurugram"/>
    <s v="Gurugram"/>
    <s v="Technology"/>
    <x v="2"/>
    <s v="Copiers"/>
    <x v="6"/>
    <s v="Max Copiers 402"/>
    <s v="Same Day"/>
    <x v="1"/>
    <n v="8"/>
    <n v="3756.66"/>
    <n v="0.1"/>
    <n v="0.1"/>
    <s v="Valid"/>
    <n v="27047.95"/>
    <n v="27047.952000000001"/>
    <n v="18431.330000000002"/>
    <n v="8616.6200000000008"/>
    <n v="8616.6219999999994"/>
    <n v="-18431.330000000002"/>
    <s v="Paid"/>
    <s v="Paid"/>
    <s v="Completed"/>
    <x v="0"/>
    <s v="Clean"/>
  </r>
  <r>
    <s v="ORD-2025-10428"/>
    <n v="1"/>
    <s v="Unique"/>
    <s v="2025-04-22"/>
    <s v="24-04-2025"/>
    <d v="2025-04-22T00:00:00"/>
    <d v="2025-04-24T00:00:00"/>
    <x v="5"/>
    <x v="1"/>
    <s v="Valid"/>
    <s v="Valid"/>
    <n v="2"/>
    <s v="CUST-8843"/>
    <s v="Isha Nair"/>
    <s v="Isha Nair"/>
    <s v="Corporate"/>
    <x v="2"/>
    <s v="Unknown"/>
    <x v="4"/>
    <s v="Jharkhand"/>
    <s v="Jharkhand"/>
    <s v="Ranchi"/>
    <s v="Ranchi"/>
    <s v="Technology"/>
    <x v="2"/>
    <s v="Accessories"/>
    <x v="5"/>
    <s v="Prime Accessories 419"/>
    <s v="Standard Class"/>
    <x v="3"/>
    <n v="9"/>
    <n v="2939.44"/>
    <n v="0"/>
    <n v="0"/>
    <s v="Valid"/>
    <n v="26454.959999999999"/>
    <n v="26454.959999999999"/>
    <n v="17630.25"/>
    <n v="8824.7099999999991"/>
    <n v="8824.7099999999991"/>
    <n v="-17630.25"/>
    <s v="Paid"/>
    <s v="Paid"/>
    <s v="Completed"/>
    <x v="0"/>
    <s v="Clean"/>
  </r>
  <r>
    <s v="ORD-2025-10429"/>
    <n v="1"/>
    <s v="Unique"/>
    <s v="2025-03-15"/>
    <s v="22 Mar 2025"/>
    <d v="2025-03-15T00:00:00"/>
    <d v="2025-03-22T00:00:00"/>
    <x v="11"/>
    <x v="1"/>
    <s v="Valid"/>
    <s v="Valid"/>
    <n v="7"/>
    <s v="CUST-7626"/>
    <s v="Karan Malhotra"/>
    <s v="Karan Malhotra"/>
    <s v="Small Business"/>
    <x v="1"/>
    <s v="East"/>
    <x v="1"/>
    <s v="West Bengal"/>
    <s v="West Bengal"/>
    <s v="Kolkata"/>
    <s v="Kolkata"/>
    <s v="Technology"/>
    <x v="2"/>
    <s v="Phones"/>
    <x v="11"/>
    <s v="Elite Phones 488"/>
    <s v="Same Day"/>
    <x v="1"/>
    <n v="2"/>
    <n v="1235.93"/>
    <n v="0.25"/>
    <n v="0.25"/>
    <s v="Valid"/>
    <n v="1853.89"/>
    <n v="1853.895"/>
    <n v="1101.23"/>
    <n v="752.66"/>
    <n v="752.66499999999996"/>
    <n v="-1101.23"/>
    <s v="Pending"/>
    <s v="Pending"/>
    <s v="Cancelled"/>
    <x v="1"/>
    <s v="Clean"/>
  </r>
  <r>
    <s v="ORD-2025-10430"/>
    <n v="1"/>
    <s v="Unique"/>
    <s v="01 Mar 2025"/>
    <s v="08-03-2025"/>
    <d v="2025-01-03T00:00:00"/>
    <d v="2025-08-03T00:00:00"/>
    <x v="8"/>
    <x v="1"/>
    <s v="Valid"/>
    <s v="Valid"/>
    <n v="212"/>
    <s v="CUST-8562"/>
    <s v="Neha Gupta"/>
    <s v="Neha Gupta"/>
    <s v="Home Office"/>
    <x v="3"/>
    <s v="North"/>
    <x v="0"/>
    <s v="Rajasthan"/>
    <s v="Rajasthan"/>
    <s v="Jaipur"/>
    <s v="Jaipur"/>
    <s v="Technology"/>
    <x v="2"/>
    <s v="Copiers"/>
    <x v="6"/>
    <s v="Prime Copiers 109"/>
    <s v="Same Day"/>
    <x v="1"/>
    <n v="8"/>
    <n v="2943.1"/>
    <n v="0.25"/>
    <n v="0.25"/>
    <s v="Valid"/>
    <n v="17658.599999999999"/>
    <n v="17658.599999999999"/>
    <n v="13842.48"/>
    <n v="3816.12"/>
    <n v="3816.119999999999"/>
    <n v="-13842.48"/>
    <s v="Paid"/>
    <s v="Paid"/>
    <s v="Completed"/>
    <x v="0"/>
    <s v="Clean"/>
  </r>
  <r>
    <s v="ORD-2024-10431"/>
    <n v="1"/>
    <s v="Unique"/>
    <s v="30 Aug 2024"/>
    <s v="02-09-2024"/>
    <d v="2024-08-30T00:00:00"/>
    <d v="2024-02-09T00:00:00"/>
    <x v="1"/>
    <x v="0"/>
    <s v="Valid"/>
    <s v="Valid"/>
    <n v="-203"/>
    <s v="CUST-2732"/>
    <s v="Neha Gupta"/>
    <s v="Neha Gupta"/>
    <s v="Small Business"/>
    <x v="1"/>
    <s v="North"/>
    <x v="0"/>
    <s v="Haryana"/>
    <s v="Haryana"/>
    <s v="Gurugram"/>
    <s v="Gurugram"/>
    <s v="Office Supplies"/>
    <x v="0"/>
    <s v="Paper"/>
    <x v="0"/>
    <s v="Max Paper 576"/>
    <s v="Second Class"/>
    <x v="0"/>
    <n v="1"/>
    <n v="4320.84"/>
    <n v="0.15"/>
    <n v="0.15"/>
    <s v="Valid"/>
    <n v="3672.71"/>
    <n v="3672.7139999999999"/>
    <n v="2714.23"/>
    <n v="763.38"/>
    <n v="958.48399999999992"/>
    <n v="-2714.23"/>
    <s v="Paid"/>
    <s v="Paid"/>
    <s v="Completed"/>
    <x v="0"/>
    <s v="Clean"/>
  </r>
  <r>
    <s v="ORD-2024-10432"/>
    <n v="1"/>
    <s v="Unique"/>
    <s v="10 Feb 2024"/>
    <s v="02/13/2024"/>
    <d v="2024-10-02T00:00:00"/>
    <d v="2024-02-13T00:00:00"/>
    <x v="10"/>
    <x v="0"/>
    <s v="Valid"/>
    <s v="Valid"/>
    <n v="-232"/>
    <s v="CUST-3989"/>
    <s v="Karan Malhotra"/>
    <s v="Karan Malhotra"/>
    <s v="Home Office"/>
    <x v="3"/>
    <s v="West"/>
    <x v="3"/>
    <s v="Goa"/>
    <s v="Goa"/>
    <s v="Panaji"/>
    <s v="Panaji"/>
    <s v="Technology"/>
    <x v="2"/>
    <s v="Machines"/>
    <x v="12"/>
    <s v="Max Machines 412"/>
    <s v="Same Day"/>
    <x v="1"/>
    <n v="2"/>
    <n v="4118.45"/>
    <n v="0.25"/>
    <n v="0.25"/>
    <s v="Valid"/>
    <n v="6177.67"/>
    <n v="6177.6749999999993"/>
    <n v="4520.75"/>
    <n v="1656.92"/>
    <n v="1656.9249999999993"/>
    <n v="-4520.75"/>
    <s v="Paid"/>
    <s v="Paid"/>
    <s v="Completed"/>
    <x v="0"/>
    <s v="Clean"/>
  </r>
  <r>
    <s v="ORD-2024-10433"/>
    <n v="1"/>
    <s v="Unique"/>
    <s v="08/29/2024"/>
    <s v="02-09-2024"/>
    <d v="2024-08-29T00:00:00"/>
    <d v="2024-02-09T00:00:00"/>
    <x v="1"/>
    <x v="0"/>
    <s v="Valid"/>
    <s v="Valid"/>
    <n v="-202"/>
    <s v="CUST-3522"/>
    <s v="Priya Menon"/>
    <s v="Priya Menon"/>
    <s v="Small Business"/>
    <x v="1"/>
    <s v="West"/>
    <x v="3"/>
    <s v="Maharashtra"/>
    <s v="Maharashtra"/>
    <s v="Mumbai"/>
    <s v="Mumbai"/>
    <s v="Furniture"/>
    <x v="1"/>
    <s v="Bookcases"/>
    <x v="10"/>
    <s v="Classic Bookcases 291"/>
    <s v="Standard Class"/>
    <x v="3"/>
    <n v="6"/>
    <n v="172.82"/>
    <n v="0.05"/>
    <n v="0.05"/>
    <s v="Valid"/>
    <n v="985.07"/>
    <n v="985.07400000000007"/>
    <n v="844.48"/>
    <n v="140.59"/>
    <n v="140.59400000000005"/>
    <n v="-844.48"/>
    <s v="Paid"/>
    <s v="Paid"/>
    <s v="Completed"/>
    <x v="0"/>
    <s v="Clean"/>
  </r>
  <r>
    <s v="ORD-2024-10434"/>
    <n v="1"/>
    <s v="Unique"/>
    <s v="04/19/2024"/>
    <s v="20-04-2024"/>
    <d v="2024-04-19T00:00:00"/>
    <d v="2024-04-20T00:00:00"/>
    <x v="5"/>
    <x v="0"/>
    <s v="Valid"/>
    <s v="Valid"/>
    <n v="1"/>
    <s v="CUST-7066"/>
    <s v="Priya Menon"/>
    <s v="Priya Menon"/>
    <s v="Corporate"/>
    <x v="2"/>
    <s v="South"/>
    <x v="2"/>
    <s v="Kerala"/>
    <s v="Kerala"/>
    <s v="Kochi"/>
    <s v="Kochi"/>
    <s v="Office Supplies"/>
    <x v="0"/>
    <s v="Art"/>
    <x v="2"/>
    <s v="Elite Art 946"/>
    <s v="Second Class"/>
    <x v="0"/>
    <n v="4"/>
    <n v="1540.22"/>
    <n v="0"/>
    <n v="0"/>
    <s v="Valid"/>
    <n v="6160.88"/>
    <n v="6160.88"/>
    <n v="4938.7"/>
    <n v="1222.18"/>
    <n v="1222.1800000000003"/>
    <n v="-4938.7"/>
    <s v="Refunded"/>
    <s v="Refunded"/>
    <s v="Returned"/>
    <x v="2"/>
    <s v="Clean"/>
  </r>
  <r>
    <s v="ORD-2025-10435"/>
    <n v="1"/>
    <s v="Unique"/>
    <s v="04/11/2025"/>
    <s v="2025-04-15"/>
    <d v="2025-04-11T00:00:00"/>
    <d v="2025-04-15T00:00:00"/>
    <x v="5"/>
    <x v="1"/>
    <s v="Valid"/>
    <s v="Valid"/>
    <n v="4"/>
    <s v="CUST-2351"/>
    <s v="Mira Das"/>
    <s v="Mira Das"/>
    <s v="Home Office"/>
    <x v="3"/>
    <s v="North"/>
    <x v="0"/>
    <s v="Uttar Pradesh"/>
    <s v="Uttar Pradesh"/>
    <s v="Noida"/>
    <s v="Noida"/>
    <s v="Technology"/>
    <x v="2"/>
    <s v="Accessories"/>
    <x v="5"/>
    <s v="Eco Accessories 705"/>
    <s v="Second Class"/>
    <x v="0"/>
    <n v="5"/>
    <n v="652.78"/>
    <n v="0"/>
    <n v="0"/>
    <s v="Valid"/>
    <n v="3263.9"/>
    <n v="3263.8999999999996"/>
    <n v="2068.44"/>
    <n v="1195.46"/>
    <n v="1195.4599999999996"/>
    <n v="-2068.44"/>
    <s v="Paid"/>
    <s v="Paid"/>
    <s v="Completed"/>
    <x v="0"/>
    <s v="Clean"/>
  </r>
  <r>
    <s v="ORD-2025-10436"/>
    <n v="1"/>
    <s v="Unique"/>
    <s v="2025-04-12"/>
    <s v="20-04-2025"/>
    <d v="2025-12-04T00:00:00"/>
    <d v="2025-04-20T00:00:00"/>
    <x v="7"/>
    <x v="1"/>
    <s v="Valid"/>
    <s v="Valid"/>
    <n v="-228"/>
    <s v="CUST-7291"/>
    <s v="Kabir Singh"/>
    <s v="Kabir Singh"/>
    <s v="Home Office"/>
    <x v="3"/>
    <s v="North"/>
    <x v="0"/>
    <s v="Delhi"/>
    <s v="Delhi"/>
    <s v="New Delhi"/>
    <s v="New Delhi"/>
    <s v="Technology"/>
    <x v="2"/>
    <s v="Machines"/>
    <x v="12"/>
    <s v="Max Machines 151"/>
    <s v="Standard Class"/>
    <x v="3"/>
    <n v="1"/>
    <n v="2737.71"/>
    <n v="0.15"/>
    <n v="0.15"/>
    <s v="Valid"/>
    <n v="2327.0500000000002"/>
    <n v="2327.0535"/>
    <n v="1919.42"/>
    <n v="407.63"/>
    <n v="407.63349999999991"/>
    <n v="-1919.42"/>
    <s v="Paid"/>
    <s v="Paid"/>
    <s v="Cancelled"/>
    <x v="1"/>
    <s v="Clean"/>
  </r>
  <r>
    <s v="ORD-2024-10437"/>
    <n v="1"/>
    <s v="Unique"/>
    <s v="16 Jun 2024"/>
    <s v="21 Jun 2024"/>
    <d v="2024-06-16T00:00:00"/>
    <d v="2024-06-21T00:00:00"/>
    <x v="2"/>
    <x v="0"/>
    <s v="Valid"/>
    <s v="Valid"/>
    <n v="5"/>
    <s v="CUST-4492"/>
    <s v="Neha Gupta"/>
    <s v="Neha Gupta"/>
    <s v="Consumer"/>
    <x v="0"/>
    <s v="South"/>
    <x v="2"/>
    <s v="Kerala"/>
    <s v="Kerala"/>
    <s v="Kochi"/>
    <s v="Kochi"/>
    <s v="Furniture"/>
    <x v="1"/>
    <s v="Furnishings"/>
    <x v="3"/>
    <s v="Max Furnishings 803"/>
    <s v="Same Day"/>
    <x v="1"/>
    <n v="6"/>
    <n v="1156.78"/>
    <n v="0.05"/>
    <n v="0.05"/>
    <s v="Valid"/>
    <n v="6593.65"/>
    <n v="6593.6459999999997"/>
    <n v="4359.3900000000003"/>
    <n v="2234.2600000000002"/>
    <n v="2234.2559999999994"/>
    <n v="-4359.3900000000003"/>
    <s v="Paid"/>
    <s v="Paid"/>
    <s v="Returned"/>
    <x v="2"/>
    <s v="Clean"/>
  </r>
  <r>
    <s v="ORD-2024-10438"/>
    <n v="3"/>
    <s v="Unique"/>
    <s v="15-02-2024"/>
    <s v="2024-02-18"/>
    <d v="2024-02-15T00:00:00"/>
    <d v="2024-02-18T00:00:00"/>
    <x v="6"/>
    <x v="0"/>
    <s v="Valid"/>
    <s v="Valid"/>
    <n v="3"/>
    <s v="CUST-5029"/>
    <s v="Aditi Sen"/>
    <s v="Aditi Sen"/>
    <s v="Small Business"/>
    <x v="1"/>
    <s v="South"/>
    <x v="2"/>
    <s v="Kerala"/>
    <s v="Kerala"/>
    <s v="Kochi"/>
    <s v="Kochi"/>
    <s v="Technology"/>
    <x v="2"/>
    <s v="Accessories"/>
    <x v="5"/>
    <s v="Max Accessories 423"/>
    <s v="Same Day"/>
    <x v="1"/>
    <n v="8"/>
    <n v="379.82"/>
    <n v="0.05"/>
    <n v="0.05"/>
    <s v="Valid"/>
    <n v="2886.63"/>
    <n v="2886.6319999999996"/>
    <n v="1588.23"/>
    <n v="1298.4000000000001"/>
    <n v="1298.4019999999996"/>
    <n v="-1588.23"/>
    <s v="Failed"/>
    <s v="Failed"/>
    <s v="Returned"/>
    <x v="2"/>
    <s v="Clean"/>
  </r>
  <r>
    <s v="ORD-2025-10439"/>
    <n v="1"/>
    <s v="Unique"/>
    <s v="07 May 2025"/>
    <s v="05/05/2025"/>
    <d v="2025-07-05T00:00:00"/>
    <d v="2025-05-05T00:00:00"/>
    <x v="0"/>
    <x v="1"/>
    <s v="Valid"/>
    <s v="Valid"/>
    <n v="-61"/>
    <s v="CUST-7252"/>
    <s v="Neha Gupta"/>
    <s v="Neha Gupta"/>
    <s v="Corporate"/>
    <x v="2"/>
    <s v="East"/>
    <x v="1"/>
    <s v="Jharkhand"/>
    <s v="Jharkhand"/>
    <s v="Ranchi"/>
    <s v="Ranchi"/>
    <s v="Technology"/>
    <x v="2"/>
    <s v="Phones"/>
    <x v="11"/>
    <s v="Elite Phones 276"/>
    <s v="Standard Class"/>
    <x v="3"/>
    <n v="1"/>
    <n v="2266.4699999999998"/>
    <n v="0.2"/>
    <n v="0.2"/>
    <s v="Valid"/>
    <n v="1813.18"/>
    <n v="1813.1759999999999"/>
    <n v="1363.64"/>
    <n v="449.54"/>
    <n v="449.53599999999983"/>
    <n v="-1363.64"/>
    <s v="Paid"/>
    <s v="Paid"/>
    <s v="Completed"/>
    <x v="0"/>
    <s v="Clean"/>
  </r>
  <r>
    <s v="ORD-2025-10440"/>
    <n v="1"/>
    <s v="Unique"/>
    <s v="30-06-2025"/>
    <s v="03 Jul 2025"/>
    <d v="2025-06-30T00:00:00"/>
    <d v="2025-03-07T00:00:00"/>
    <x v="2"/>
    <x v="1"/>
    <s v="Valid"/>
    <s v="Valid"/>
    <n v="-115"/>
    <s v="CUST-7346"/>
    <s v="Aarav Sharma"/>
    <s v="Aarav Sharma"/>
    <s v="Home Office"/>
    <x v="3"/>
    <s v="West"/>
    <x v="3"/>
    <s v="Goa"/>
    <s v="Goa"/>
    <s v="Panaji"/>
    <s v="Panaji"/>
    <s v="Office Supplies"/>
    <x v="0"/>
    <s v="Storage"/>
    <x v="8"/>
    <s v="Smart Storage 287"/>
    <s v="Same Day"/>
    <x v="1"/>
    <n v="5"/>
    <n v="665.25"/>
    <n v="0"/>
    <n v="0"/>
    <s v="Valid"/>
    <n v="3326.25"/>
    <n v="3326.25"/>
    <n v="2689.36"/>
    <n v="636.89"/>
    <n v="636.88999999999987"/>
    <n v="-2689.36"/>
    <s v="Refunded"/>
    <s v="Refunded"/>
    <s v="Returned"/>
    <x v="2"/>
    <s v="Clean"/>
  </r>
  <r>
    <s v="ORD-2024-10441"/>
    <n v="1"/>
    <s v="Unique"/>
    <s v="04/02/2024"/>
    <s v="04/08/2024"/>
    <d v="2024-04-02T00:00:00"/>
    <d v="2024-04-08T00:00:00"/>
    <x v="5"/>
    <x v="0"/>
    <s v="Valid"/>
    <s v="Valid"/>
    <n v="6"/>
    <s v="CUST-9039"/>
    <s v="Vikram Iyer"/>
    <s v="Vikram Iyer"/>
    <s v="Corporate"/>
    <x v="2"/>
    <s v="East"/>
    <x v="1"/>
    <s v="Odisha"/>
    <s v="Odisha"/>
    <s v="Bhubaneswar"/>
    <s v="Bhubaneswar"/>
    <s v="Technology"/>
    <x v="2"/>
    <s v="Machines"/>
    <x v="12"/>
    <s v="Basic Machines 610"/>
    <s v="Second Class"/>
    <x v="0"/>
    <n v="6"/>
    <n v="3722.84"/>
    <n v="0.2"/>
    <n v="0.2"/>
    <s v="Valid"/>
    <n v="17869.63"/>
    <n v="17869.632000000001"/>
    <n v="12163.8"/>
    <n v="5705.83"/>
    <n v="5705.8320000000022"/>
    <n v="-12163.8"/>
    <s v="Paid"/>
    <s v="Paid"/>
    <s v="Completed"/>
    <x v="0"/>
    <s v="Clean"/>
  </r>
  <r>
    <s v="ORD-2024-10442"/>
    <n v="1"/>
    <s v="Unique"/>
    <s v="03-10-2024"/>
    <s v="2024-10-03"/>
    <d v="2024-03-10T00:00:00"/>
    <d v="2024-03-10T00:00:00"/>
    <x v="11"/>
    <x v="0"/>
    <s v="Valid"/>
    <s v="Valid"/>
    <n v="0"/>
    <s v="CUST-3975"/>
    <s v="Karan Malhotra"/>
    <s v="Karan Malhotra"/>
    <s v="Consumer"/>
    <x v="0"/>
    <s v="East"/>
    <x v="1"/>
    <s v="Bihar"/>
    <s v="Bihar"/>
    <s v="Patna"/>
    <s v="Patna"/>
    <s v="Furniture"/>
    <x v="1"/>
    <s v="Bookcases"/>
    <x v="10"/>
    <s v="Elite Bookcases 393"/>
    <s v="Standard Class"/>
    <x v="3"/>
    <n v="6"/>
    <n v="4217.49"/>
    <n v="0"/>
    <n v="0"/>
    <s v="Valid"/>
    <n v="25304.94"/>
    <n v="25304.94"/>
    <n v="20771.95"/>
    <n v="4532.99"/>
    <n v="4532.989999999998"/>
    <n v="-20771.95"/>
    <s v="Paid"/>
    <s v="Paid"/>
    <s v="Cancelled"/>
    <x v="1"/>
    <s v="Clean"/>
  </r>
  <r>
    <s v="ORD-2025-10443"/>
    <n v="2"/>
    <s v="Unique"/>
    <s v="12 Jan 2025"/>
    <s v="2025-01-19"/>
    <d v="2025-12-01T00:00:00"/>
    <d v="2025-01-19T00:00:00"/>
    <x v="7"/>
    <x v="1"/>
    <s v="Valid"/>
    <s v="Valid"/>
    <n v="-316"/>
    <s v="CUST-6588"/>
    <s v="Aarav Sharma"/>
    <s v="Aarav Sharma"/>
    <s v="Consumer"/>
    <x v="0"/>
    <s v="East"/>
    <x v="1"/>
    <s v="Jharkhand"/>
    <s v="Jharkhand"/>
    <s v="Ranchi"/>
    <s v="Ranchi"/>
    <s v="Furniture"/>
    <x v="1"/>
    <s v="Tables"/>
    <x v="1"/>
    <s v="Prime Tables 242"/>
    <s v="First Class"/>
    <x v="2"/>
    <n v="1"/>
    <n v="1842.31"/>
    <n v="0"/>
    <n v="0"/>
    <s v="Valid"/>
    <n v="1842.31"/>
    <n v="1842.31"/>
    <n v="1019.17"/>
    <n v="823.14"/>
    <n v="823.14"/>
    <n v="-1019.17"/>
    <s v="Paid"/>
    <s v="Paid"/>
    <s v="Completed"/>
    <x v="0"/>
    <s v="Clean"/>
  </r>
  <r>
    <s v="ORD-2024-10444"/>
    <n v="1"/>
    <s v="Unique"/>
    <s v="04-04-2024"/>
    <s v="07 Apr 2024"/>
    <d v="2024-04-04T00:00:00"/>
    <d v="2024-07-04T00:00:00"/>
    <x v="5"/>
    <x v="0"/>
    <s v="Valid"/>
    <s v="Valid"/>
    <n v="91"/>
    <s v="CUST-2207"/>
    <s v="Rohan Mehta"/>
    <s v="Rohan Mehta"/>
    <s v="Home Office"/>
    <x v="3"/>
    <s v="East"/>
    <x v="1"/>
    <s v="Odisha"/>
    <s v="Odisha"/>
    <s v="Bhubaneswar"/>
    <s v="Bhubaneswar"/>
    <s v="Furniture"/>
    <x v="1"/>
    <s v="Furnishings"/>
    <x v="3"/>
    <s v="Basic Furnishings 563"/>
    <s v="First Class"/>
    <x v="2"/>
    <n v="1"/>
    <n v="3683.75"/>
    <n v="0.1"/>
    <n v="0.1"/>
    <s v="Valid"/>
    <n v="3315.38"/>
    <n v="3315.375"/>
    <n v="2347.6799999999998"/>
    <n v="967.7"/>
    <n v="967.69500000000016"/>
    <n v="-2347.6799999999998"/>
    <s v="Paid"/>
    <s v="Paid"/>
    <s v="Completed"/>
    <x v="0"/>
    <s v="Clean"/>
  </r>
  <r>
    <s v="ORD-2025-10445"/>
    <n v="1"/>
    <s v="Unique"/>
    <s v="12 Aug 2025"/>
    <s v="2025-08-16"/>
    <d v="2025-12-08T00:00:00"/>
    <d v="2025-08-16T00:00:00"/>
    <x v="7"/>
    <x v="1"/>
    <s v="Valid"/>
    <s v="Valid"/>
    <n v="-114"/>
    <s v="CUST-4475"/>
    <s v="Ananya Rao"/>
    <s v="Ananya Rao"/>
    <s v="Consumer"/>
    <x v="0"/>
    <s v="East"/>
    <x v="1"/>
    <s v="Assam"/>
    <s v="Assam"/>
    <s v="Guwahati"/>
    <s v="Guwahati"/>
    <s v="Technology"/>
    <x v="2"/>
    <s v="Accessories"/>
    <x v="5"/>
    <s v="Prime Accessories 482"/>
    <s v="Same Day"/>
    <x v="1"/>
    <n v="9"/>
    <n v="2379.2399999999998"/>
    <n v="0.05"/>
    <n v="0.05"/>
    <s v="Valid"/>
    <n v="20342.5"/>
    <n v="20342.501999999997"/>
    <n v="12407.51"/>
    <n v="7934.99"/>
    <n v="7934.9919999999966"/>
    <n v="-12407.51"/>
    <s v="Paid"/>
    <s v="Paid"/>
    <s v="Completed"/>
    <x v="0"/>
    <s v="Clean"/>
  </r>
  <r>
    <s v="ORD-2024-10446"/>
    <n v="2"/>
    <s v="Unique"/>
    <s v="05/09/2024"/>
    <s v="05-05-2024"/>
    <d v="2024-05-09T00:00:00"/>
    <d v="2024-05-05T00:00:00"/>
    <x v="4"/>
    <x v="0"/>
    <s v="Valid"/>
    <s v="Valid"/>
    <n v="-4"/>
    <s v="CUST-1351"/>
    <s v="Arjun Bose"/>
    <s v="Arjun Bose"/>
    <s v="Consumer"/>
    <x v="0"/>
    <s v="East"/>
    <x v="1"/>
    <s v="Assam"/>
    <s v="Assam"/>
    <s v="Guwahati"/>
    <s v="Guwahati"/>
    <s v="Furniture"/>
    <x v="1"/>
    <s v="Bookcases"/>
    <x v="10"/>
    <s v="Eco Bookcases 215"/>
    <s v="Same Day"/>
    <x v="1"/>
    <n v="2"/>
    <n v="2111.23"/>
    <n v="0.2"/>
    <n v="0.2"/>
    <s v="Valid"/>
    <n v="3377.97"/>
    <n v="3377.9680000000003"/>
    <n v="2496.29"/>
    <n v="881.68"/>
    <n v="881.67800000000034"/>
    <n v="-2496.29"/>
    <s v="Paid"/>
    <s v="Paid"/>
    <s v="Completed"/>
    <x v="0"/>
    <s v="Clean"/>
  </r>
  <r>
    <s v="ORD-2025-10447"/>
    <n v="1"/>
    <s v="Unique"/>
    <s v="18-09-2025"/>
    <s v="19-09-2025"/>
    <d v="2025-09-18T00:00:00"/>
    <d v="2025-09-19T00:00:00"/>
    <x v="9"/>
    <x v="1"/>
    <s v="Valid"/>
    <s v="Valid"/>
    <n v="1"/>
    <s v="CUST-9295"/>
    <s v="Sneha Kapoor"/>
    <s v="Sneha Kapoor"/>
    <s v="Home Office"/>
    <x v="3"/>
    <s v="South"/>
    <x v="2"/>
    <s v="Andhra Pradesh"/>
    <s v="Andhra Pradesh"/>
    <s v="Vijayawada"/>
    <s v="Vijayawada"/>
    <s v="Office Supplies"/>
    <x v="0"/>
    <s v="Storage"/>
    <x v="8"/>
    <s v="Eco Storage 793"/>
    <s v="Same Day"/>
    <x v="1"/>
    <n v="8"/>
    <n v="4242.51"/>
    <n v="0"/>
    <n v="0"/>
    <s v="Valid"/>
    <n v="33940.080000000002"/>
    <n v="33940.080000000002"/>
    <n v="23754.19"/>
    <n v="10185.89"/>
    <n v="10185.890000000003"/>
    <n v="-23754.19"/>
    <s v="Paid"/>
    <s v="Paid"/>
    <s v="Completed"/>
    <x v="0"/>
    <s v="Clean"/>
  </r>
  <r>
    <s v="ORD-2025-10448"/>
    <n v="2"/>
    <s v="Unique"/>
    <s v="10-08-2025"/>
    <s v="10 Aug 2025"/>
    <d v="2025-10-08T00:00:00"/>
    <d v="2025-10-08T00:00:00"/>
    <x v="10"/>
    <x v="1"/>
    <s v="Valid"/>
    <s v="Valid"/>
    <n v="0"/>
    <s v="CUST-3614"/>
    <s v="Rohan Mehta"/>
    <s v="Rohan Mehta"/>
    <s v="Home Office"/>
    <x v="3"/>
    <s v="South"/>
    <x v="2"/>
    <s v="Telangana"/>
    <s v="Telangana"/>
    <s v="Hyderabad"/>
    <s v="Hyderabad"/>
    <s v="Furniture"/>
    <x v="1"/>
    <s v="Bookcases"/>
    <x v="10"/>
    <s v="Basic Bookcases 182"/>
    <s v="Standard Class"/>
    <x v="3"/>
    <n v="6"/>
    <n v="4288.7"/>
    <n v="0.15"/>
    <n v="0.15"/>
    <s v="Valid"/>
    <n v="21872.37"/>
    <n v="21872.369999999995"/>
    <n v="13829.5"/>
    <n v="8042.87"/>
    <n v="8042.8699999999953"/>
    <n v="-13829.5"/>
    <s v="Pending"/>
    <s v="Pending"/>
    <s v="Returned"/>
    <x v="2"/>
    <s v="Clean"/>
  </r>
  <r>
    <s v="ORD-2024-10449"/>
    <n v="1"/>
    <s v="Unique"/>
    <s v="01/15/2024"/>
    <s v="18 Jan 2024"/>
    <d v="2024-01-15T00:00:00"/>
    <d v="2024-01-18T00:00:00"/>
    <x v="8"/>
    <x v="0"/>
    <s v="Valid"/>
    <s v="Valid"/>
    <n v="3"/>
    <s v="CUST-1932"/>
    <s v="Mira Das"/>
    <s v="Mira Das"/>
    <s v="Small Business"/>
    <x v="1"/>
    <s v="South"/>
    <x v="2"/>
    <s v="Andhra Pradesh"/>
    <s v="Andhra Pradesh"/>
    <s v="Vijayawada"/>
    <s v="Vijayawada"/>
    <s v="Furniture"/>
    <x v="1"/>
    <s v="Chairs"/>
    <x v="4"/>
    <s v="Prime Chairs 631"/>
    <s v="First Class"/>
    <x v="2"/>
    <n v="2"/>
    <n v="201.21"/>
    <n v="0.15"/>
    <n v="0.15"/>
    <s v="Valid"/>
    <n v="342.06"/>
    <n v="342.05700000000002"/>
    <n v="244.57"/>
    <n v="97.49"/>
    <n v="97.487000000000023"/>
    <n v="-244.57"/>
    <s v="Paid"/>
    <s v="Paid"/>
    <s v="Completed"/>
    <x v="0"/>
    <s v="Clean"/>
  </r>
  <r>
    <s v="ORD-2024-10450"/>
    <n v="2"/>
    <s v="Unique"/>
    <s v="06-06-2024"/>
    <s v="13 Jun 2024"/>
    <d v="2024-06-06T00:00:00"/>
    <d v="2024-06-13T00:00:00"/>
    <x v="2"/>
    <x v="0"/>
    <s v="Valid"/>
    <s v="Valid"/>
    <n v="7"/>
    <s v="CUST-5094"/>
    <s v="Aditi Sen"/>
    <s v="Aditi Sen"/>
    <s v="Corporate"/>
    <x v="2"/>
    <s v="East"/>
    <x v="1"/>
    <s v="Assam"/>
    <s v="Assam"/>
    <s v="Guwahati"/>
    <s v="Guwahati"/>
    <s v="Technology"/>
    <x v="2"/>
    <s v="Machines"/>
    <x v="12"/>
    <s v="Basic Machines 808"/>
    <s v="Second Class"/>
    <x v="0"/>
    <n v="6"/>
    <n v="3270.36"/>
    <n v="0"/>
    <n v="0"/>
    <s v="Valid"/>
    <n v="19622.16"/>
    <n v="19622.16"/>
    <n v="14271.27"/>
    <n v="5350.89"/>
    <n v="5350.8899999999994"/>
    <n v="-14271.27"/>
    <s v="Paid"/>
    <s v="Paid"/>
    <s v="Completed"/>
    <x v="0"/>
    <s v="Clean"/>
  </r>
  <r>
    <s v="ORD-2025-10451"/>
    <n v="1"/>
    <s v="Unique"/>
    <s v="06/12/2025"/>
    <s v="2025-06-19"/>
    <d v="2025-06-12T00:00:00"/>
    <d v="2025-06-19T00:00:00"/>
    <x v="2"/>
    <x v="1"/>
    <s v="Valid"/>
    <s v="Valid"/>
    <n v="7"/>
    <s v="CUST-8672"/>
    <s v="Ananya Rao"/>
    <s v="Ananya Rao"/>
    <s v="Corporate"/>
    <x v="2"/>
    <s v="North"/>
    <x v="0"/>
    <s v="Delhi"/>
    <s v="Delhi"/>
    <s v="New Delhi"/>
    <s v="New Delhi"/>
    <s v="Furniture"/>
    <x v="1"/>
    <s v="Chairs"/>
    <x v="4"/>
    <s v="Pro Chairs 302"/>
    <s v="Standard Class"/>
    <x v="3"/>
    <n v="9"/>
    <n v="2278.5700000000002"/>
    <n v="0.25"/>
    <n v="0.25"/>
    <s v="Valid"/>
    <n v="15380.35"/>
    <n v="15380.3475"/>
    <n v="9907.3700000000008"/>
    <n v="5472.98"/>
    <n v="5472.9774999999991"/>
    <n v="-9907.3700000000008"/>
    <s v="Paid"/>
    <s v="Paid"/>
    <s v="Completed"/>
    <x v="0"/>
    <s v="Clean"/>
  </r>
  <r>
    <s v="ORD-2024-10452"/>
    <n v="1"/>
    <s v="Unique"/>
    <s v="24-03-2024"/>
    <s v="26-03-2024"/>
    <d v="2024-03-24T00:00:00"/>
    <d v="2024-03-26T00:00:00"/>
    <x v="11"/>
    <x v="0"/>
    <s v="Valid"/>
    <s v="Valid"/>
    <n v="2"/>
    <s v="CUST-3907"/>
    <s v="Rohan Mehta"/>
    <s v="Rohan Mehta"/>
    <s v="Small Business"/>
    <x v="1"/>
    <s v="North"/>
    <x v="0"/>
    <s v="Haryana"/>
    <s v="Haryana"/>
    <s v="Gurugram"/>
    <s v="Gurugram"/>
    <s v="Office Supplies"/>
    <x v="0"/>
    <s v="Paper"/>
    <x v="0"/>
    <s v="Classic Paper 272"/>
    <s v="Second Class"/>
    <x v="0"/>
    <n v="8"/>
    <n v="1917.64"/>
    <n v="0.15"/>
    <n v="0.15"/>
    <s v="Valid"/>
    <n v="13039.95"/>
    <n v="13039.952000000001"/>
    <n v="11127.82"/>
    <n v="1912.13"/>
    <n v="1912.1320000000014"/>
    <n v="-11127.82"/>
    <s v="Paid"/>
    <s v="Paid"/>
    <s v="Cancelled"/>
    <x v="1"/>
    <s v="Clean"/>
  </r>
  <r>
    <s v="ORD-2024-10453"/>
    <n v="1"/>
    <s v="Unique"/>
    <s v="10-05-2024"/>
    <s v="16-05-2024"/>
    <d v="2024-10-05T00:00:00"/>
    <d v="2024-05-16T00:00:00"/>
    <x v="10"/>
    <x v="0"/>
    <s v="Valid"/>
    <s v="Valid"/>
    <n v="-142"/>
    <s v="CUST-8796"/>
    <s v="Diya Patel"/>
    <s v="Diya Patel"/>
    <s v="Home Office"/>
    <x v="3"/>
    <s v="East"/>
    <x v="1"/>
    <s v="Jharkhand"/>
    <s v="Jharkhand"/>
    <s v="Ranchi"/>
    <s v="Ranchi"/>
    <s v="Technology"/>
    <x v="2"/>
    <s v="Accessories"/>
    <x v="5"/>
    <s v="Smart Accessories 149"/>
    <s v="Second Class"/>
    <x v="0"/>
    <n v="6"/>
    <n v="2013.33"/>
    <n v="0.2"/>
    <n v="0.2"/>
    <s v="Valid"/>
    <n v="9663.98"/>
    <n v="9663.9840000000004"/>
    <n v="5628.93"/>
    <n v="4035.05"/>
    <n v="4035.0540000000001"/>
    <n v="-5628.93"/>
    <s v="Paid"/>
    <s v="Paid"/>
    <s v="Completed"/>
    <x v="0"/>
    <s v="Clean"/>
  </r>
  <r>
    <s v="ORD-2025-10454"/>
    <n v="1"/>
    <s v="Unique"/>
    <s v="05/03/2025"/>
    <s v="2025-05-11"/>
    <d v="2025-05-03T00:00:00"/>
    <d v="2025-11-05T00:00:00"/>
    <x v="4"/>
    <x v="1"/>
    <s v="Valid"/>
    <s v="Valid"/>
    <n v="186"/>
    <s v="CUST-2317"/>
    <s v="Rohan Mehta"/>
    <s v="Rohan Mehta"/>
    <s v="Small Business"/>
    <x v="1"/>
    <s v="West"/>
    <x v="3"/>
    <s v="Madhya Pradesh"/>
    <s v="Madhya Pradesh"/>
    <s v="Indore"/>
    <s v="Indore"/>
    <s v="Office Supplies"/>
    <x v="0"/>
    <s v="Labels"/>
    <x v="7"/>
    <s v="Elite Labels 322"/>
    <s v="Same Day"/>
    <x v="1"/>
    <n v="5"/>
    <n v="1483.52"/>
    <n v="0"/>
    <n v="0"/>
    <s v="Valid"/>
    <n v="7417.6"/>
    <n v="7417.6"/>
    <n v="4955.8599999999997"/>
    <n v="2461.7399999999998"/>
    <n v="2461.7400000000007"/>
    <n v="-4955.8599999999997"/>
    <s v="Paid"/>
    <s v="Paid"/>
    <s v="Completed"/>
    <x v="0"/>
    <s v="Clean"/>
  </r>
  <r>
    <s v="ORD-2025-10455"/>
    <n v="1"/>
    <s v="Unique"/>
    <s v="2025-03-23"/>
    <s v="28-03-2025"/>
    <d v="2025-03-23T00:00:00"/>
    <d v="2025-03-28T00:00:00"/>
    <x v="11"/>
    <x v="1"/>
    <s v="Valid"/>
    <s v="Valid"/>
    <n v="5"/>
    <s v="CUST-8643"/>
    <s v="Vikram Iyer"/>
    <s v="Vikram Iyer"/>
    <s v="Small Business"/>
    <x v="1"/>
    <s v="North"/>
    <x v="0"/>
    <s v="Rajasthan"/>
    <s v="Rajasthan"/>
    <s v="Jaipur"/>
    <s v="Jaipur"/>
    <s v="Furniture"/>
    <x v="1"/>
    <s v="Furnishings"/>
    <x v="3"/>
    <s v="Max Furnishings 821"/>
    <s v="Standard Class"/>
    <x v="3"/>
    <n v="9"/>
    <n v="3298"/>
    <n v="0.15"/>
    <n v="0.15"/>
    <s v="Valid"/>
    <n v="25229.7"/>
    <n v="25229.7"/>
    <n v="20170.43"/>
    <n v="5059.2700000000004"/>
    <n v="5059.2700000000004"/>
    <n v="-20170.43"/>
    <s v="Paid"/>
    <s v="Paid"/>
    <s v="Completed"/>
    <x v="0"/>
    <s v="Clean"/>
  </r>
  <r>
    <s v="ORD-2024-10456"/>
    <n v="1"/>
    <s v="Unique"/>
    <s v="18 Jul 2024"/>
    <s v="22-07-2024"/>
    <d v="2024-07-18T00:00:00"/>
    <d v="2024-07-22T00:00:00"/>
    <x v="0"/>
    <x v="0"/>
    <s v="Valid"/>
    <s v="Valid"/>
    <n v="4"/>
    <s v="CUST-1800"/>
    <s v="Neha Gupta"/>
    <s v="Neha Gupta"/>
    <s v="Small Business"/>
    <x v="1"/>
    <s v="South"/>
    <x v="2"/>
    <s v="Telangana"/>
    <s v="Telangana"/>
    <s v="Hyderabad"/>
    <s v="Hyderabad"/>
    <s v="Office Supplies"/>
    <x v="0"/>
    <s v="Art"/>
    <x v="2"/>
    <s v="Basic Art 556"/>
    <s v="Standard Class"/>
    <x v="3"/>
    <n v="4"/>
    <n v="808.77"/>
    <n v="0"/>
    <n v="0"/>
    <s v="Valid"/>
    <n v="3235.08"/>
    <n v="3235.08"/>
    <n v="1848.6"/>
    <n v="1386.48"/>
    <n v="1386.48"/>
    <n v="-1848.6"/>
    <s v="Paid"/>
    <s v="Paid"/>
    <s v="Completed"/>
    <x v="0"/>
    <s v="Clean"/>
  </r>
  <r>
    <s v="ORD-2024-10457"/>
    <n v="3"/>
    <s v="Unique"/>
    <s v="2024-02-20"/>
    <s v="2024-02-20"/>
    <d v="2024-02-20T00:00:00"/>
    <d v="2024-02-20T00:00:00"/>
    <x v="6"/>
    <x v="0"/>
    <s v="Valid"/>
    <s v="Valid"/>
    <n v="0"/>
    <s v="CUST-7688"/>
    <s v="Neha Gupta"/>
    <s v="Neha Gupta"/>
    <s v="Corporate"/>
    <x v="2"/>
    <s v="North"/>
    <x v="0"/>
    <s v="Uttar Pradesh"/>
    <s v="Uttar Pradesh"/>
    <s v="Noida"/>
    <s v="Noida"/>
    <s v="Technology"/>
    <x v="2"/>
    <s v="Accessories"/>
    <x v="5"/>
    <s v="Smart Accessories 265"/>
    <s v="Same Day"/>
    <x v="1"/>
    <n v="5"/>
    <n v="2604.91"/>
    <n v="0.15"/>
    <n v="0.15"/>
    <s v="Valid"/>
    <n v="11070.87"/>
    <n v="11070.867499999998"/>
    <n v="6623.61"/>
    <n v="4447.26"/>
    <n v="4447.2574999999988"/>
    <n v="-6623.61"/>
    <s v="Paid"/>
    <s v="Paid"/>
    <s v="Returned"/>
    <x v="2"/>
    <s v="Clean"/>
  </r>
  <r>
    <s v="ORD-2024-10458"/>
    <n v="2"/>
    <s v="Unique"/>
    <s v="05/04/2024"/>
    <s v="2024-05-04"/>
    <d v="2024-05-04T00:00:00"/>
    <d v="2024-04-05T00:00:00"/>
    <x v="4"/>
    <x v="0"/>
    <s v="Valid"/>
    <s v="Valid"/>
    <n v="-29"/>
    <s v="CUST-4957"/>
    <s v="Mira Das"/>
    <s v="Mira Das"/>
    <s v="Small Business"/>
    <x v="1"/>
    <s v="West"/>
    <x v="3"/>
    <s v="Goa"/>
    <s v="Goa"/>
    <s v="Panaji"/>
    <s v="Panaji"/>
    <s v="Furniture"/>
    <x v="1"/>
    <s v="Tables"/>
    <x v="1"/>
    <s v="Elite Tables 418"/>
    <s v="Standard Class"/>
    <x v="3"/>
    <n v="7"/>
    <n v="2851.51"/>
    <n v="0"/>
    <n v="0"/>
    <s v="Valid"/>
    <n v="19960.57"/>
    <n v="19960.57"/>
    <n v="16603.599999999999"/>
    <n v="3356.97"/>
    <n v="3356.9700000000012"/>
    <n v="-16603.599999999999"/>
    <s v="Paid"/>
    <s v="Paid"/>
    <s v="Completed"/>
    <x v="0"/>
    <s v="Clean"/>
  </r>
  <r>
    <s v="ORD-2024-10459"/>
    <n v="2"/>
    <s v="Unique"/>
    <s v="2024-02-10"/>
    <s v="02/11/2024"/>
    <d v="2024-10-02T00:00:00"/>
    <d v="2024-02-11T00:00:00"/>
    <x v="10"/>
    <x v="0"/>
    <s v="Valid"/>
    <s v="Valid"/>
    <n v="-234"/>
    <s v="CUST-1263"/>
    <s v="Karan Malhotra"/>
    <s v="Karan Malhotra"/>
    <s v="Corporate"/>
    <x v="2"/>
    <s v="North"/>
    <x v="0"/>
    <s v="Rajasthan"/>
    <s v="Rajasthan"/>
    <s v="Jaipur"/>
    <s v="Jaipur"/>
    <s v="Technology"/>
    <x v="2"/>
    <s v="Phones"/>
    <x v="11"/>
    <s v="Pro Phones 907"/>
    <s v="Second Class"/>
    <x v="0"/>
    <n v="3"/>
    <n v="3183.72"/>
    <n v="0.1"/>
    <n v="0.1"/>
    <s v="Valid"/>
    <n v="8596.0400000000009"/>
    <n v="8596.0439999999999"/>
    <n v="5378.16"/>
    <n v="3217.88"/>
    <n v="3217.884"/>
    <n v="-5378.16"/>
    <s v="Paid"/>
    <s v="Paid"/>
    <s v="Completed"/>
    <x v="0"/>
    <s v="Clean"/>
  </r>
  <r>
    <s v="ORD-2024-10460"/>
    <n v="1"/>
    <s v="Unique"/>
    <s v="03/28/2024"/>
    <s v="04-04-2024"/>
    <d v="2024-03-28T00:00:00"/>
    <d v="2024-04-04T00:00:00"/>
    <x v="11"/>
    <x v="0"/>
    <s v="Valid"/>
    <s v="Valid"/>
    <n v="7"/>
    <s v="CUST-4745"/>
    <s v="Ananya Rao"/>
    <s v="Ananya Rao"/>
    <s v="Home Office"/>
    <x v="3"/>
    <s v="West"/>
    <x v="3"/>
    <s v="Goa"/>
    <s v="Goa"/>
    <s v="Panaji"/>
    <s v="Panaji"/>
    <s v="Office Supplies"/>
    <x v="0"/>
    <s v="Paper"/>
    <x v="0"/>
    <s v="Basic Paper 233"/>
    <s v="First Class"/>
    <x v="2"/>
    <n v="3"/>
    <n v="1150.92"/>
    <n v="0"/>
    <n v="0"/>
    <s v="Valid"/>
    <n v="3452.76"/>
    <n v="3452.76"/>
    <n v="2077.96"/>
    <n v="1374.8"/>
    <n v="1374.8000000000002"/>
    <n v="-2077.96"/>
    <s v="Paid"/>
    <s v="Paid"/>
    <s v="Completed"/>
    <x v="0"/>
    <s v="Clean"/>
  </r>
  <r>
    <s v="ORD-2025-10461"/>
    <n v="1"/>
    <s v="Unique"/>
    <s v="30 Sep 2025"/>
    <s v="06 Oct 2025"/>
    <d v="2025-09-30T00:00:00"/>
    <d v="2025-06-10T00:00:00"/>
    <x v="9"/>
    <x v="1"/>
    <s v="Valid"/>
    <s v="Valid"/>
    <n v="-112"/>
    <s v="CUST-5551"/>
    <s v="Aarav Sharma"/>
    <s v="Aarav Sharma"/>
    <s v="Corporate"/>
    <x v="2"/>
    <s v="Unknown"/>
    <x v="4"/>
    <s v="Rajasthan"/>
    <s v="Rajasthan"/>
    <s v="Jaipur"/>
    <s v="Jaipur"/>
    <s v="Technology"/>
    <x v="2"/>
    <s v="Copiers"/>
    <x v="6"/>
    <s v="Eco Copiers 603"/>
    <s v="Second Class"/>
    <x v="0"/>
    <n v="9"/>
    <n v="1359.88"/>
    <n v="0.05"/>
    <n v="0.05"/>
    <s v="Valid"/>
    <n v="11626.97"/>
    <n v="11626.974000000002"/>
    <n v="7394.07"/>
    <n v="4232.8999999999996"/>
    <n v="4232.9040000000023"/>
    <n v="-7394.07"/>
    <s v="Paid"/>
    <s v="Paid"/>
    <s v="Completed"/>
    <x v="0"/>
    <s v="Clean"/>
  </r>
  <r>
    <s v="ORD-2025-10462"/>
    <n v="1"/>
    <s v="Unique"/>
    <s v="05/25/2025"/>
    <s v="05/26/2025"/>
    <d v="2025-05-25T00:00:00"/>
    <d v="2025-05-26T00:00:00"/>
    <x v="4"/>
    <x v="1"/>
    <s v="Valid"/>
    <s v="Valid"/>
    <n v="1"/>
    <s v="CUST-3659"/>
    <s v="Neha Gupta"/>
    <s v="Neha Gupta"/>
    <s v="Corporate"/>
    <x v="2"/>
    <s v="South"/>
    <x v="2"/>
    <s v="Andhra Pradesh"/>
    <s v="Andhra Pradesh"/>
    <s v="Vijayawada"/>
    <s v="Vijayawada"/>
    <s v="Office Supplies"/>
    <x v="0"/>
    <s v="Paper"/>
    <x v="0"/>
    <s v="Max Paper 700"/>
    <s v="Standard Class"/>
    <x v="3"/>
    <n v="3"/>
    <n v="3378.15"/>
    <n v="0.15"/>
    <n v="0.15"/>
    <s v="Valid"/>
    <n v="8614.2800000000007"/>
    <n v="8614.2825000000012"/>
    <n v="7052.08"/>
    <n v="1562.2"/>
    <n v="1562.2025000000012"/>
    <n v="-7052.08"/>
    <s v="Paid"/>
    <s v="Paid"/>
    <s v="Completed"/>
    <x v="0"/>
    <s v="Clean"/>
  </r>
  <r>
    <s v="ORD-2024-10463"/>
    <n v="2"/>
    <s v="Unique"/>
    <s v="09/23/2024"/>
    <s v="25-09-2024"/>
    <d v="2024-09-23T00:00:00"/>
    <d v="2024-09-25T00:00:00"/>
    <x v="9"/>
    <x v="0"/>
    <s v="Valid"/>
    <s v="Valid"/>
    <n v="2"/>
    <s v="CUST-6594"/>
    <s v="Aarav Sharma"/>
    <s v="Aarav Sharma"/>
    <s v="Home Office"/>
    <x v="3"/>
    <s v="North"/>
    <x v="0"/>
    <s v="Delhi"/>
    <s v="Delhi"/>
    <s v="New Delhi"/>
    <s v="New Delhi"/>
    <s v="Office Supplies"/>
    <x v="0"/>
    <s v="Binders"/>
    <x v="9"/>
    <s v="Pro Binders 404"/>
    <s v="First Class"/>
    <x v="2"/>
    <n v="2"/>
    <n v="1275.1400000000001"/>
    <n v="0.2"/>
    <n v="0.2"/>
    <s v="Valid"/>
    <n v="2040.22"/>
    <n v="2040.2240000000002"/>
    <n v="1395.71"/>
    <n v="644.51"/>
    <n v="644.51400000000012"/>
    <n v="-1395.71"/>
    <s v="Paid"/>
    <s v="Paid"/>
    <s v="Completed"/>
    <x v="0"/>
    <s v="Clean"/>
  </r>
  <r>
    <s v="ORD-2025-10464"/>
    <n v="2"/>
    <s v="Unique"/>
    <s v="07-02-2025"/>
    <s v="2025-02-08"/>
    <d v="2025-07-02T00:00:00"/>
    <d v="2025-08-02T00:00:00"/>
    <x v="0"/>
    <x v="1"/>
    <s v="Valid"/>
    <s v="Valid"/>
    <n v="31"/>
    <s v="CUST-2626"/>
    <s v="Arjun Bose"/>
    <s v="Arjun Bose"/>
    <s v="Corporate"/>
    <x v="2"/>
    <s v="West"/>
    <x v="3"/>
    <s v="Madhya Pradesh"/>
    <s v="Madhya Pradesh"/>
    <s v="Indore"/>
    <s v="Indore"/>
    <s v="Technology"/>
    <x v="2"/>
    <s v="Phones"/>
    <x v="11"/>
    <s v="Eco Phones 208"/>
    <s v="Standard Class"/>
    <x v="3"/>
    <n v="4"/>
    <n v="889.5"/>
    <n v="0.2"/>
    <n v="0.2"/>
    <s v="Valid"/>
    <n v="2846.4"/>
    <n v="2846.4"/>
    <n v="2132.37"/>
    <n v="714.03"/>
    <n v="714.0300000000002"/>
    <n v="-2132.37"/>
    <s v="Paid"/>
    <s v="Paid"/>
    <s v="Completed"/>
    <x v="0"/>
    <s v="Clean"/>
  </r>
  <r>
    <s v="ORD-2025-10465"/>
    <n v="1"/>
    <s v="Unique"/>
    <s v="11-03-2025"/>
    <s v="03/15/2025"/>
    <d v="2025-11-03T00:00:00"/>
    <d v="2025-03-15T00:00:00"/>
    <x v="3"/>
    <x v="1"/>
    <s v="Valid"/>
    <s v="Valid"/>
    <n v="-233"/>
    <s v="CUST-7362"/>
    <s v="Arjun Bose"/>
    <s v="Arjun Bose"/>
    <s v="Corporate"/>
    <x v="2"/>
    <s v="East"/>
    <x v="1"/>
    <s v="Bihar"/>
    <s v="Bihar"/>
    <s v="Patna"/>
    <s v="Patna"/>
    <s v="Office Supplies"/>
    <x v="0"/>
    <s v="Paper"/>
    <x v="0"/>
    <s v="Elite Paper 106"/>
    <s v="Same Day"/>
    <x v="1"/>
    <n v="3"/>
    <n v="3625.08"/>
    <n v="0.05"/>
    <n v="0.05"/>
    <s v="Valid"/>
    <n v="10331.48"/>
    <n v="10331.477999999999"/>
    <n v="7131.91"/>
    <n v="3199.57"/>
    <n v="3199.5679999999993"/>
    <n v="-7131.91"/>
    <s v="Pending"/>
    <s v="Pending"/>
    <s v="Cancelled"/>
    <x v="1"/>
    <s v="Clean"/>
  </r>
  <r>
    <s v="ORD-2024-10466"/>
    <n v="1"/>
    <s v="Unique"/>
    <s v="29-01-2024"/>
    <s v="2024-02-06"/>
    <d v="2024-01-29T00:00:00"/>
    <d v="2024-06-02T00:00:00"/>
    <x v="8"/>
    <x v="0"/>
    <s v="Valid"/>
    <s v="Valid"/>
    <n v="125"/>
    <s v="CUST-1748"/>
    <s v="Aarav Sharma"/>
    <s v="Aarav Sharma"/>
    <s v="Small Business"/>
    <x v="1"/>
    <s v="West"/>
    <x v="3"/>
    <s v="Madhya Pradesh"/>
    <s v="Madhya Pradesh"/>
    <s v="Indore"/>
    <s v="Indore"/>
    <s v="Office Supplies"/>
    <x v="0"/>
    <s v="Labels"/>
    <x v="7"/>
    <s v="Eco Labels 914"/>
    <s v="Standard Class"/>
    <x v="3"/>
    <n v="2"/>
    <n v="1258.9000000000001"/>
    <n v="0"/>
    <n v="0"/>
    <s v="Valid"/>
    <n v="2517.8000000000002"/>
    <n v="2517.8000000000002"/>
    <n v="1478.54"/>
    <n v="1039.26"/>
    <n v="1039.2600000000002"/>
    <n v="-1478.54"/>
    <s v="Paid"/>
    <s v="Paid"/>
    <s v="Completed"/>
    <x v="0"/>
    <s v="Clean"/>
  </r>
  <r>
    <s v="ORD-2024-10467"/>
    <n v="1"/>
    <s v="Unique"/>
    <s v="04-01-2024"/>
    <s v="01/08/2024"/>
    <d v="2024-04-01T00:00:00"/>
    <d v="2024-01-08T00:00:00"/>
    <x v="5"/>
    <x v="0"/>
    <s v="Valid"/>
    <s v="Valid"/>
    <n v="-84"/>
    <s v="CUST-2725"/>
    <s v="Mira Das"/>
    <s v="Mira Das"/>
    <s v="Small Business"/>
    <x v="1"/>
    <s v="East"/>
    <x v="1"/>
    <s v="Bihar"/>
    <s v="Bihar"/>
    <s v="Patna"/>
    <s v="Patna"/>
    <s v="Technology"/>
    <x v="2"/>
    <s v="Accessories"/>
    <x v="5"/>
    <s v="Max Accessories 486"/>
    <s v="Same Day"/>
    <x v="1"/>
    <n v="9"/>
    <n v="1591.96"/>
    <n v="0.2"/>
    <n v="0.2"/>
    <s v="Valid"/>
    <n v="11462.11"/>
    <n v="11462.112000000001"/>
    <n v="7105.48"/>
    <n v="4356.63"/>
    <n v="4356.6320000000014"/>
    <n v="-7105.48"/>
    <s v="Paid"/>
    <s v="Paid"/>
    <s v="Completed"/>
    <x v="0"/>
    <s v="Clean"/>
  </r>
  <r>
    <s v="ORD-2024-10468"/>
    <n v="1"/>
    <s v="Unique"/>
    <s v="20-08-2024"/>
    <s v="21 Aug 2024"/>
    <d v="2024-08-20T00:00:00"/>
    <d v="2024-08-21T00:00:00"/>
    <x v="1"/>
    <x v="0"/>
    <s v="Valid"/>
    <s v="Valid"/>
    <n v="1"/>
    <s v="CUST-9470"/>
    <s v="Aditi Sen"/>
    <s v="Aditi Sen"/>
    <s v="Corporate"/>
    <x v="2"/>
    <s v="East"/>
    <x v="1"/>
    <s v="Odisha"/>
    <s v="Odisha"/>
    <s v="Bhubaneswar"/>
    <s v="Bhubaneswar"/>
    <s v="Technology"/>
    <x v="2"/>
    <s v="Copiers"/>
    <x v="6"/>
    <s v="Max Copiers 867"/>
    <s v="First Class"/>
    <x v="2"/>
    <n v="5"/>
    <n v="4288.33"/>
    <n v="0.1"/>
    <n v="0.1"/>
    <s v="Valid"/>
    <n v="19297.490000000002"/>
    <n v="19297.485000000001"/>
    <n v="15451.66"/>
    <n v="3845.83"/>
    <n v="3845.8250000000007"/>
    <n v="-15451.66"/>
    <s v="Refunded"/>
    <s v="Refunded"/>
    <s v="Cancelled"/>
    <x v="1"/>
    <s v="Clean"/>
  </r>
  <r>
    <s v="ORD-2025-10469"/>
    <n v="1"/>
    <s v="Unique"/>
    <s v="09 Jan 2025"/>
    <s v="07 Jan 2025"/>
    <d v="2025-09-01T00:00:00"/>
    <d v="2025-07-01T00:00:00"/>
    <x v="9"/>
    <x v="1"/>
    <s v="Valid"/>
    <s v="Valid"/>
    <n v="-62"/>
    <s v="CUST-4176"/>
    <s v="Aarav Sharma"/>
    <s v="Aarav Sharma"/>
    <s v="Home Office"/>
    <x v="3"/>
    <s v="East"/>
    <x v="1"/>
    <s v="West Bengal"/>
    <s v="West Bengal"/>
    <s v="Kolkata"/>
    <s v="Kolkata"/>
    <s v="Office Supplies"/>
    <x v="0"/>
    <s v="Binders"/>
    <x v="9"/>
    <s v="Pro Binders 555"/>
    <s v="Second Class"/>
    <x v="0"/>
    <n v="3"/>
    <n v="2188.33"/>
    <n v="0"/>
    <n v="0"/>
    <s v="Valid"/>
    <n v="6564.99"/>
    <n v="6564.99"/>
    <n v="5407.24"/>
    <n v="1157.75"/>
    <n v="1157.75"/>
    <n v="-5407.24"/>
    <s v="Paid"/>
    <s v="Paid"/>
    <s v="Completed"/>
    <x v="0"/>
    <s v="Clean"/>
  </r>
  <r>
    <s v="ORD-2024-10470"/>
    <n v="1"/>
    <s v="Unique"/>
    <s v="2024-01-19"/>
    <s v="01/25/2024"/>
    <d v="2024-01-19T00:00:00"/>
    <d v="2024-01-25T00:00:00"/>
    <x v="8"/>
    <x v="0"/>
    <s v="Valid"/>
    <s v="Valid"/>
    <n v="6"/>
    <s v="CUST-3448"/>
    <s v="Aditi Sen"/>
    <s v="Aditi Sen"/>
    <s v="Corporate"/>
    <x v="2"/>
    <s v="West"/>
    <x v="3"/>
    <s v="Goa"/>
    <s v="Goa"/>
    <s v="Panaji"/>
    <s v="Panaji"/>
    <s v="Technology"/>
    <x v="2"/>
    <s v="Copiers"/>
    <x v="6"/>
    <s v="Pro Copiers 971"/>
    <s v="First Class"/>
    <x v="2"/>
    <n v="3"/>
    <n v="1041.6600000000001"/>
    <n v="0.1"/>
    <n v="0.1"/>
    <s v="Valid"/>
    <n v="2812.48"/>
    <n v="2812.4820000000004"/>
    <n v="2282.12"/>
    <n v="530.36"/>
    <n v="530.36200000000053"/>
    <n v="-2282.12"/>
    <s v="Paid"/>
    <s v="Paid"/>
    <s v="Completed"/>
    <x v="0"/>
    <s v="Clean"/>
  </r>
  <r>
    <s v="ORD-2024-10471"/>
    <n v="1"/>
    <s v="Unique"/>
    <s v="28-07-2024"/>
    <s v="07/31/2024"/>
    <d v="2024-07-28T00:00:00"/>
    <d v="2024-07-31T00:00:00"/>
    <x v="0"/>
    <x v="0"/>
    <s v="Valid"/>
    <s v="Valid"/>
    <n v="3"/>
    <s v="CUST-4970"/>
    <s v="Aditi Sen"/>
    <s v="Aditi Sen"/>
    <s v="Consumer"/>
    <x v="0"/>
    <s v="North"/>
    <x v="0"/>
    <s v="Rajasthan"/>
    <s v="Rajasthan"/>
    <s v="Jaipur"/>
    <s v="Jaipur"/>
    <s v="Furniture"/>
    <x v="1"/>
    <s v="Tables"/>
    <x v="1"/>
    <s v="Pro Tables 833"/>
    <s v="Same Day"/>
    <x v="1"/>
    <n v="2"/>
    <n v="4424.78"/>
    <n v="0.2"/>
    <n v="0.2"/>
    <s v="Valid"/>
    <n v="7079.65"/>
    <n v="7079.6480000000001"/>
    <n v="4465.91"/>
    <n v="2613.7399999999998"/>
    <n v="2613.7380000000003"/>
    <n v="-4465.91"/>
    <s v="Paid"/>
    <s v="Paid"/>
    <s v="Completed"/>
    <x v="0"/>
    <s v="Clean"/>
  </r>
  <r>
    <s v="ORD-2024-10472"/>
    <n v="3"/>
    <s v="Unique"/>
    <s v="11-02-2024"/>
    <s v="02/15/2024"/>
    <d v="2024-11-02T00:00:00"/>
    <d v="2024-02-15T00:00:00"/>
    <x v="3"/>
    <x v="0"/>
    <s v="Valid"/>
    <s v="Valid"/>
    <n v="-261"/>
    <s v="CUST-6147"/>
    <s v="Kabir Singh"/>
    <s v="Kabir Singh"/>
    <s v="Consumer"/>
    <x v="0"/>
    <s v="South"/>
    <x v="2"/>
    <s v="Telangana"/>
    <s v="Telangana"/>
    <s v="Hyderabad"/>
    <s v="Hyderabad"/>
    <s v="Office Supplies"/>
    <x v="0"/>
    <s v="Binders"/>
    <x v="9"/>
    <s v="Prime Binders 497"/>
    <s v="Standard Class"/>
    <x v="3"/>
    <n v="3"/>
    <n v="3019.14"/>
    <n v="0.25"/>
    <n v="0.25"/>
    <s v="Valid"/>
    <n v="6793.07"/>
    <n v="6793.0650000000005"/>
    <n v="4985.22"/>
    <n v="1807.85"/>
    <n v="1807.8450000000003"/>
    <n v="-4985.22"/>
    <s v="Paid"/>
    <s v="Paid"/>
    <s v="Completed"/>
    <x v="0"/>
    <s v="Clean"/>
  </r>
  <r>
    <s v="ORD-2024-10473"/>
    <n v="1"/>
    <s v="Unique"/>
    <s v="02-03-2024"/>
    <s v="03/07/2024"/>
    <d v="2024-02-03T00:00:00"/>
    <d v="2024-03-07T00:00:00"/>
    <x v="6"/>
    <x v="0"/>
    <s v="Valid"/>
    <s v="Valid"/>
    <n v="33"/>
    <s v="CUST-7208"/>
    <s v="Rohan Mehta"/>
    <s v="Rohan Mehta"/>
    <s v="Corporate"/>
    <x v="2"/>
    <s v="East"/>
    <x v="1"/>
    <s v="Odisha"/>
    <s v="Odisha"/>
    <s v="Bhubaneswar"/>
    <s v="Bhubaneswar"/>
    <s v="Office Supplies"/>
    <x v="0"/>
    <s v="Storage"/>
    <x v="8"/>
    <s v="Pro Storage 756"/>
    <s v="Standard Class"/>
    <x v="3"/>
    <n v="7"/>
    <n v="263.45999999999998"/>
    <n v="0"/>
    <n v="0"/>
    <s v="Valid"/>
    <n v="1844.22"/>
    <n v="1844.2199999999998"/>
    <n v="1094.21"/>
    <n v="750.01"/>
    <n v="750.00999999999976"/>
    <n v="-1094.21"/>
    <s v="Paid"/>
    <s v="Paid"/>
    <s v="Completed"/>
    <x v="0"/>
    <s v="Clean"/>
  </r>
  <r>
    <s v="ORD-2024-10474"/>
    <n v="1"/>
    <s v="Unique"/>
    <s v="13-11-2024"/>
    <s v="13 Nov 2024"/>
    <d v="2024-11-13T00:00:00"/>
    <d v="2024-11-13T00:00:00"/>
    <x v="3"/>
    <x v="0"/>
    <s v="Valid"/>
    <s v="Valid"/>
    <n v="0"/>
    <s v="CUST-2794"/>
    <s v="Priya Menon"/>
    <s v="Priya Menon"/>
    <s v="Consumer"/>
    <x v="0"/>
    <s v="West"/>
    <x v="3"/>
    <s v="Goa"/>
    <s v="Goa"/>
    <s v="Panaji"/>
    <s v="Panaji"/>
    <s v="Technology"/>
    <x v="2"/>
    <s v="Copiers"/>
    <x v="6"/>
    <s v="Max Copiers 829"/>
    <s v="Standard Class"/>
    <x v="3"/>
    <n v="6"/>
    <n v="191.45"/>
    <n v="0.2"/>
    <n v="0.2"/>
    <s v="Valid"/>
    <n v="918.96"/>
    <n v="918.95999999999992"/>
    <n v="554.17999999999995"/>
    <n v="364.78"/>
    <n v="364.78"/>
    <n v="-554.17999999999995"/>
    <s v="Paid"/>
    <s v="Paid"/>
    <s v="Completed"/>
    <x v="0"/>
    <s v="Clean"/>
  </r>
  <r>
    <s v="ORD-2024-10475"/>
    <n v="2"/>
    <s v="Unique"/>
    <s v="03-06-2024"/>
    <s v="2024-06-10"/>
    <d v="2024-03-06T00:00:00"/>
    <d v="2024-10-06T00:00:00"/>
    <x v="11"/>
    <x v="0"/>
    <s v="Valid"/>
    <s v="Valid"/>
    <n v="214"/>
    <s v="CUST-6249"/>
    <s v="Diya Patel"/>
    <s v="Diya Patel"/>
    <s v="Corporate"/>
    <x v="2"/>
    <s v="North"/>
    <x v="0"/>
    <s v="Punjab"/>
    <s v="Punjab"/>
    <s v="Ludhiana"/>
    <s v="Ludhiana"/>
    <s v="Furniture"/>
    <x v="1"/>
    <s v="Furnishings"/>
    <x v="3"/>
    <s v="Prime Furnishings 827"/>
    <s v="Standard Class"/>
    <x v="3"/>
    <n v="3"/>
    <n v="1633.57"/>
    <n v="0"/>
    <n v="0"/>
    <s v="Valid"/>
    <n v="4900.71"/>
    <n v="4900.71"/>
    <n v="2713.9"/>
    <n v="2186.81"/>
    <n v="2186.81"/>
    <n v="-2713.9"/>
    <s v="Paid"/>
    <s v="Paid"/>
    <s v="Completed"/>
    <x v="0"/>
    <s v="Clean"/>
  </r>
  <r>
    <s v="ORD-2025-10476"/>
    <n v="1"/>
    <s v="Unique"/>
    <s v="03/01/2025"/>
    <s v="08 Mar 2025"/>
    <d v="2025-03-01T00:00:00"/>
    <d v="2025-08-03T00:00:00"/>
    <x v="11"/>
    <x v="1"/>
    <s v="Valid"/>
    <s v="Valid"/>
    <n v="155"/>
    <s v="CUST-5712"/>
    <s v="Vikram Iyer"/>
    <s v="Vikram Iyer"/>
    <s v="Consumer"/>
    <x v="0"/>
    <s v="East"/>
    <x v="1"/>
    <s v="West Bengal"/>
    <s v="West Bengal"/>
    <s v="Kolkata"/>
    <s v="Kolkata"/>
    <s v="Furniture"/>
    <x v="1"/>
    <s v="Chairs"/>
    <x v="4"/>
    <s v="Eco Chairs 365"/>
    <s v="Same Day"/>
    <x v="1"/>
    <n v="8"/>
    <n v="3378.82"/>
    <n v="0.25"/>
    <n v="0.25"/>
    <s v="Valid"/>
    <n v="20272.919999999998"/>
    <n v="20272.920000000002"/>
    <n v="15873.38"/>
    <n v="4399.54"/>
    <n v="4399.5400000000027"/>
    <n v="-15873.38"/>
    <s v="Pending"/>
    <s v="Pending"/>
    <s v="Returned"/>
    <x v="2"/>
    <s v="Clean"/>
  </r>
  <r>
    <s v="ORD-2024-10477"/>
    <n v="2"/>
    <s v="Unique"/>
    <s v="05/07/2024"/>
    <s v="05/14/2024"/>
    <d v="2024-05-07T00:00:00"/>
    <d v="2024-05-14T00:00:00"/>
    <x v="4"/>
    <x v="0"/>
    <s v="Valid"/>
    <s v="Valid"/>
    <n v="7"/>
    <s v="CUST-3004"/>
    <s v="Sneha Kapoor"/>
    <s v="Sneha Kapoor"/>
    <s v="Small Business"/>
    <x v="1"/>
    <s v="North"/>
    <x v="0"/>
    <s v="Rajasthan"/>
    <s v="Rajasthan"/>
    <s v="Jaipur"/>
    <s v="Jaipur"/>
    <s v="Office Supplies"/>
    <x v="0"/>
    <s v="Storage"/>
    <x v="8"/>
    <s v="Classic Storage 545"/>
    <s v="First Class"/>
    <x v="2"/>
    <n v="3"/>
    <n v="383.58"/>
    <n v="0.1"/>
    <n v="0.1"/>
    <s v="Valid"/>
    <n v="1035.67"/>
    <n v="1035.6659999999999"/>
    <n v="595.41999999999996"/>
    <n v="440.25"/>
    <n v="440.24599999999998"/>
    <n v="-595.41999999999996"/>
    <s v="Paid"/>
    <s v="Paid"/>
    <s v="Completed"/>
    <x v="0"/>
    <s v="Clean"/>
  </r>
  <r>
    <s v="ORD-2025-10478"/>
    <n v="1"/>
    <s v="Unique"/>
    <s v="08/23/2025"/>
    <s v="28-08-2025"/>
    <d v="2025-08-23T00:00:00"/>
    <d v="2025-08-28T00:00:00"/>
    <x v="1"/>
    <x v="1"/>
    <s v="Valid"/>
    <s v="Valid"/>
    <n v="5"/>
    <s v="CUST-6920"/>
    <s v="Vikram Iyer"/>
    <s v="Vikram Iyer"/>
    <s v="Corporate"/>
    <x v="2"/>
    <s v="West"/>
    <x v="3"/>
    <s v="Gujarat"/>
    <s v="Gujarat"/>
    <s v="Ahmedabad"/>
    <s v="Ahmedabad"/>
    <s v="Furniture"/>
    <x v="1"/>
    <s v="Chairs"/>
    <x v="4"/>
    <s v="Pro Chairs 186"/>
    <s v="Standard Class"/>
    <x v="3"/>
    <n v="6"/>
    <n v="2193.23"/>
    <n v="0.1"/>
    <n v="0.1"/>
    <s v="Valid"/>
    <n v="11843.44"/>
    <n v="11843.442000000001"/>
    <n v="9356.8799999999992"/>
    <n v="2486.56"/>
    <n v="2486.5620000000017"/>
    <n v="-9356.8799999999992"/>
    <s v="Paid"/>
    <s v="Paid"/>
    <s v="Cancelled"/>
    <x v="1"/>
    <s v="Clean"/>
  </r>
  <r>
    <s v="ORD-2024-10479"/>
    <n v="1"/>
    <s v="Unique"/>
    <s v="06/09/2024"/>
    <s v="2024-06-13"/>
    <d v="2024-06-09T00:00:00"/>
    <d v="2024-06-13T00:00:00"/>
    <x v="2"/>
    <x v="0"/>
    <s v="Valid"/>
    <s v="Valid"/>
    <n v="4"/>
    <s v="CUST-4838"/>
    <s v="Mira Das"/>
    <s v="Mira Das"/>
    <s v="Home Office"/>
    <x v="3"/>
    <s v="Unknown"/>
    <x v="4"/>
    <s v="Uttar Pradesh"/>
    <s v="Uttar Pradesh"/>
    <s v="Noida"/>
    <s v="Noida"/>
    <s v="Technology"/>
    <x v="2"/>
    <s v="Machines"/>
    <x v="12"/>
    <s v="Classic Machines 561"/>
    <s v="Same Day"/>
    <x v="1"/>
    <n v="7"/>
    <n v="4079.71"/>
    <n v="0.1"/>
    <n v="0.1"/>
    <s v="Valid"/>
    <n v="25702.17"/>
    <n v="25702.173000000003"/>
    <n v="14571.48"/>
    <n v="11130.69"/>
    <n v="11130.693000000003"/>
    <n v="-14571.48"/>
    <s v="Refunded"/>
    <s v="Refunded"/>
    <s v="Returned"/>
    <x v="2"/>
    <s v="Clean"/>
  </r>
  <r>
    <s v="ORD-2024-10480"/>
    <n v="1"/>
    <s v="Unique"/>
    <s v="23 Feb 2024"/>
    <s v="2024-02-20"/>
    <d v="2024-02-23T00:00:00"/>
    <d v="2024-02-20T00:00:00"/>
    <x v="6"/>
    <x v="0"/>
    <s v="Valid"/>
    <s v="Valid"/>
    <n v="-3"/>
    <s v="CUST-7520"/>
    <s v="Arjun Bose"/>
    <s v="Arjun Bose"/>
    <s v="Corporate"/>
    <x v="2"/>
    <s v="East"/>
    <x v="1"/>
    <s v="Odisha"/>
    <s v="Odisha"/>
    <s v="Bhubaneswar"/>
    <s v="Bhubaneswar"/>
    <s v="Furniture"/>
    <x v="1"/>
    <s v="Chairs"/>
    <x v="4"/>
    <s v="Max Chairs 594"/>
    <s v="Second Class"/>
    <x v="0"/>
    <n v="1"/>
    <n v="2202.5500000000002"/>
    <s v="Unknown"/>
    <s v="Unknown"/>
    <s v="Invalid - Above Range"/>
    <n v="1651.91"/>
    <s v="Unknown"/>
    <n v="1034.57"/>
    <n v="617.34"/>
    <s v="Unknown"/>
    <s v="Unknown"/>
    <s v="Paid"/>
    <s v="Paid"/>
    <s v="Completed"/>
    <x v="0"/>
    <s v="Needs Review"/>
  </r>
  <r>
    <s v="ORD-2025-10481"/>
    <n v="2"/>
    <s v="Unique"/>
    <s v="2025-01-05"/>
    <s v="09 Jan 2025"/>
    <d v="2025-05-01T00:00:00"/>
    <d v="2025-09-01T00:00:00"/>
    <x v="4"/>
    <x v="1"/>
    <s v="Valid"/>
    <s v="Valid"/>
    <n v="123"/>
    <s v="CUST-9947"/>
    <s v="Neha Gupta"/>
    <s v="Neha Gupta"/>
    <s v="Small Business"/>
    <x v="1"/>
    <s v="South"/>
    <x v="2"/>
    <s v="Tamil Nadu"/>
    <s v="Tamil Nadu"/>
    <s v="Chennai"/>
    <s v="Chennai"/>
    <s v="Office Supplies"/>
    <x v="0"/>
    <s v="Storage"/>
    <x v="8"/>
    <s v="Eco Storage 923"/>
    <s v="Unknown"/>
    <x v="4"/>
    <n v="5"/>
    <n v="905.16"/>
    <n v="0"/>
    <n v="0"/>
    <s v="Valid"/>
    <n v="4525.8"/>
    <n v="4525.8"/>
    <n v="2714.51"/>
    <n v="1811.29"/>
    <n v="1811.29"/>
    <n v="-2714.51"/>
    <s v="Paid"/>
    <s v="Paid"/>
    <s v="Completed"/>
    <x v="0"/>
    <s v="Clean"/>
  </r>
  <r>
    <s v="ORD-2025-10482"/>
    <n v="1"/>
    <s v="Unique"/>
    <s v="2025-06-05"/>
    <s v="06/13/2025"/>
    <d v="2025-05-06T00:00:00"/>
    <d v="2025-06-13T00:00:00"/>
    <x v="4"/>
    <x v="1"/>
    <s v="Valid"/>
    <s v="Valid"/>
    <n v="38"/>
    <s v="CUST-4403"/>
    <s v="Isha Nair"/>
    <s v="Isha Nair"/>
    <s v="Consumer"/>
    <x v="0"/>
    <s v="North"/>
    <x v="0"/>
    <s v="Uttar Pradesh"/>
    <s v="Uttar Pradesh"/>
    <s v="Noida"/>
    <s v="Noida"/>
    <s v="Technology"/>
    <x v="2"/>
    <s v="Machines"/>
    <x v="12"/>
    <s v="Classic Machines 287"/>
    <s v="Same Day"/>
    <x v="1"/>
    <n v="4"/>
    <n v="2793.88"/>
    <s v="85%"/>
    <n v="0.85"/>
    <s v="Invalid - Above Range"/>
    <n v="10616.74"/>
    <n v="1676.3280000000002"/>
    <n v="6353.59"/>
    <n v="4263.1499999999996"/>
    <n v="-4677.2619999999997"/>
    <n v="-6353.59"/>
    <s v="Paid"/>
    <s v="Paid"/>
    <s v="Completed"/>
    <x v="0"/>
    <s v="Clean"/>
  </r>
  <r>
    <s v="ORD-2024-10483"/>
    <n v="2"/>
    <s v="Unique"/>
    <s v="07/22/2024"/>
    <s v="07/22/2024"/>
    <d v="2024-07-22T00:00:00"/>
    <d v="2024-07-22T00:00:00"/>
    <x v="0"/>
    <x v="0"/>
    <s v="Valid"/>
    <s v="Valid"/>
    <n v="0"/>
    <s v="CUST-3583"/>
    <s v="Priya Menon"/>
    <s v="Priya Menon"/>
    <s v="Consumer"/>
    <x v="0"/>
    <s v="South"/>
    <x v="2"/>
    <s v="Karnataka"/>
    <s v="Karnataka"/>
    <s v="Bengaluru"/>
    <s v="Bengaluru"/>
    <s v="Technology"/>
    <x v="2"/>
    <s v="Accessories"/>
    <x v="5"/>
    <s v="Basic Accessories 518"/>
    <s v="Second Class"/>
    <x v="0"/>
    <n v="3"/>
    <n v="1286.22"/>
    <n v="0.25"/>
    <n v="0.25"/>
    <s v="Valid"/>
    <n v="2893.99"/>
    <n v="2893.9949999999999"/>
    <n v="1856.03"/>
    <n v="1037.96"/>
    <n v="1037.9649999999999"/>
    <n v="-1856.03"/>
    <s v="Paid"/>
    <s v="Paid"/>
    <s v="Completed"/>
    <x v="0"/>
    <s v="Clean"/>
  </r>
  <r>
    <s v="ORD-2024-10484"/>
    <n v="1"/>
    <s v="Unique"/>
    <s v="25 Dec 2024"/>
    <s v="25-12-2024"/>
    <d v="2024-12-25T00:00:00"/>
    <d v="2024-12-25T00:00:00"/>
    <x v="7"/>
    <x v="0"/>
    <s v="Valid"/>
    <s v="Valid"/>
    <n v="0"/>
    <s v="CUST-9432"/>
    <s v="Mira Das"/>
    <s v="Mira Das"/>
    <s v="Corporate"/>
    <x v="2"/>
    <s v="East"/>
    <x v="1"/>
    <s v="Bihar"/>
    <s v="Bihar"/>
    <s v="Patna"/>
    <s v="Patna"/>
    <s v="Technology"/>
    <x v="2"/>
    <s v="Copiers"/>
    <x v="6"/>
    <s v="Pro Copiers 984"/>
    <s v="Standard Class"/>
    <x v="3"/>
    <n v="1"/>
    <n v="829.66"/>
    <n v="0.15"/>
    <n v="0.15"/>
    <s v="Valid"/>
    <n v="705.21"/>
    <n v="705.2109999999999"/>
    <n v="438.32"/>
    <n v="266.89"/>
    <n v="266.89099999999991"/>
    <n v="-438.32"/>
    <s v="Paid"/>
    <s v="Paid"/>
    <s v="Completed"/>
    <x v="0"/>
    <s v="Clean"/>
  </r>
  <r>
    <s v="ORD-2024-10485"/>
    <n v="1"/>
    <s v="Unique"/>
    <s v="2024-12-28"/>
    <s v="12/31/2024"/>
    <d v="2024-12-28T00:00:00"/>
    <d v="2024-12-31T00:00:00"/>
    <x v="7"/>
    <x v="0"/>
    <s v="Valid"/>
    <s v="Valid"/>
    <n v="3"/>
    <s v="CUST-1801"/>
    <s v="Mira Das"/>
    <s v="Mira Das"/>
    <s v="Small Business"/>
    <x v="1"/>
    <s v="South"/>
    <x v="2"/>
    <s v="Andhra Pradesh"/>
    <s v="Andhra Pradesh"/>
    <s v="Vijayawada"/>
    <s v="Vijayawada"/>
    <s v="Furniture"/>
    <x v="1"/>
    <s v="Furnishings"/>
    <x v="3"/>
    <s v="Max Furnishings 297"/>
    <s v="First Class"/>
    <x v="2"/>
    <n v="6"/>
    <n v="3641.22"/>
    <n v="0.25"/>
    <n v="0.25"/>
    <s v="Valid"/>
    <n v="16385.490000000002"/>
    <n v="16385.489999999998"/>
    <n v="13679.24"/>
    <n v="2706.25"/>
    <n v="2706.2499999999982"/>
    <n v="-13679.24"/>
    <s v="Paid"/>
    <s v="Paid"/>
    <s v="Completed"/>
    <x v="0"/>
    <s v="Clean"/>
  </r>
  <r>
    <s v="ORD-2025-10486"/>
    <n v="1"/>
    <s v="Unique"/>
    <s v="2025-01-22"/>
    <s v="23 Jan 2025"/>
    <d v="2025-01-22T00:00:00"/>
    <d v="2025-01-23T00:00:00"/>
    <x v="8"/>
    <x v="1"/>
    <s v="Valid"/>
    <s v="Valid"/>
    <n v="1"/>
    <s v="CUST-1594"/>
    <s v="Rahul Verma"/>
    <s v="Rahul Verma"/>
    <s v="Corporate"/>
    <x v="2"/>
    <s v="West"/>
    <x v="3"/>
    <s v="Goa"/>
    <s v="Goa"/>
    <s v="Panaji"/>
    <s v="Panaji"/>
    <s v="Furniture"/>
    <x v="1"/>
    <s v="Bookcases"/>
    <x v="10"/>
    <s v="Elite Bookcases 802"/>
    <s v="Standard Class"/>
    <x v="3"/>
    <n v="4"/>
    <n v="2555.19"/>
    <n v="0.25"/>
    <n v="0.25"/>
    <s v="Valid"/>
    <n v="7665.57"/>
    <n v="7665.57"/>
    <n v="5595.6"/>
    <n v="2069.9699999999998"/>
    <n v="2069.9699999999993"/>
    <n v="-5595.6"/>
    <s v="Paid"/>
    <s v="Paid"/>
    <s v="Completed"/>
    <x v="0"/>
    <s v="Clean"/>
  </r>
  <r>
    <s v="ORD-2025-10487"/>
    <n v="2"/>
    <s v="Unique"/>
    <s v="22-06-2025"/>
    <s v="06/26/2025"/>
    <d v="2025-06-22T00:00:00"/>
    <d v="2025-06-26T00:00:00"/>
    <x v="2"/>
    <x v="1"/>
    <s v="Valid"/>
    <s v="Valid"/>
    <n v="4"/>
    <s v="CUST-8132"/>
    <s v="Rahul Verma"/>
    <s v="Rahul Verma"/>
    <s v="Corporate"/>
    <x v="2"/>
    <s v="West"/>
    <x v="3"/>
    <s v="Goa"/>
    <s v="Goa"/>
    <s v="Panaji"/>
    <s v="Panaji"/>
    <s v="Furniture"/>
    <x v="1"/>
    <s v="Tables"/>
    <x v="1"/>
    <s v="Pro Tables 257"/>
    <s v="Standard Class"/>
    <x v="3"/>
    <n v="3"/>
    <n v="1946.18"/>
    <n v="0.2"/>
    <n v="0.2"/>
    <s v="Valid"/>
    <n v="4670.83"/>
    <n v="4670.8320000000003"/>
    <n v="3166.49"/>
    <n v="1504.34"/>
    <n v="1504.3420000000006"/>
    <n v="-3166.49"/>
    <s v="Paid"/>
    <s v="Paid"/>
    <s v="Completed"/>
    <x v="0"/>
    <s v="Clean"/>
  </r>
  <r>
    <s v="ORD-2025-10488"/>
    <n v="1"/>
    <s v="Unique"/>
    <s v="10 Jun 2025"/>
    <s v="06/17/2025"/>
    <d v="2025-10-06T00:00:00"/>
    <d v="2025-06-17T00:00:00"/>
    <x v="10"/>
    <x v="1"/>
    <s v="Valid"/>
    <s v="Valid"/>
    <n v="-111"/>
    <s v="CUST-7685"/>
    <s v="Rahul Verma"/>
    <s v="Rahul Verma"/>
    <s v="Corporate"/>
    <x v="2"/>
    <s v="South"/>
    <x v="2"/>
    <s v="Telangana"/>
    <s v="Telangana"/>
    <s v="Hyderabad"/>
    <s v="Hyderabad"/>
    <s v="Furniture"/>
    <x v="1"/>
    <s v="Furnishings"/>
    <x v="3"/>
    <s v="Prime Furnishings 299"/>
    <s v="Standard Class"/>
    <x v="3"/>
    <n v="5"/>
    <n v="1231.0999999999999"/>
    <n v="0"/>
    <n v="0"/>
    <s v="Valid"/>
    <n v="6155.5"/>
    <n v="6155.5"/>
    <n v="4282.09"/>
    <n v="1873.41"/>
    <n v="1873.4099999999999"/>
    <n v="-4282.09"/>
    <s v="Refunded"/>
    <s v="Refunded"/>
    <s v="Returned"/>
    <x v="2"/>
    <s v="Clean"/>
  </r>
  <r>
    <s v="ORD-2024-10489"/>
    <n v="2"/>
    <s v="Unique"/>
    <s v="14 Oct 2024"/>
    <s v="2024-10-20"/>
    <d v="2024-10-14T00:00:00"/>
    <d v="2024-10-20T00:00:00"/>
    <x v="10"/>
    <x v="0"/>
    <s v="Valid"/>
    <s v="Valid"/>
    <n v="6"/>
    <s v="CUST-2183"/>
    <s v="Aditi Sen"/>
    <s v="Aditi Sen"/>
    <s v="Small Business"/>
    <x v="1"/>
    <s v="North"/>
    <x v="0"/>
    <s v="Rajasthan"/>
    <s v="Rajasthan"/>
    <s v="Jaipur"/>
    <s v="Jaipur"/>
    <s v="Furniture"/>
    <x v="1"/>
    <s v="Tables"/>
    <x v="1"/>
    <s v="Eco Tables 487"/>
    <s v="Same Day"/>
    <x v="1"/>
    <n v="7"/>
    <n v="1547.6"/>
    <n v="0.2"/>
    <n v="0.2"/>
    <s v="Valid"/>
    <n v="8666.56"/>
    <n v="8666.56"/>
    <n v="5967.44"/>
    <n v="2699.12"/>
    <n v="2699.12"/>
    <n v="-5967.44"/>
    <s v="Paid"/>
    <s v="Paid"/>
    <s v="Completed"/>
    <x v="0"/>
    <s v="Clean"/>
  </r>
  <r>
    <s v="ORD-2024-10490"/>
    <n v="2"/>
    <s v="Unique"/>
    <s v="2024-02-07"/>
    <s v="2024-02-12"/>
    <d v="2024-07-02T00:00:00"/>
    <d v="2024-12-02T00:00:00"/>
    <x v="0"/>
    <x v="0"/>
    <s v="Valid"/>
    <s v="Valid"/>
    <n v="153"/>
    <s v="CUST-1636"/>
    <s v="Arjun Bose"/>
    <s v="Arjun Bose"/>
    <s v="Home Office"/>
    <x v="3"/>
    <s v="East"/>
    <x v="1"/>
    <s v="West Bengal"/>
    <s v="West Bengal"/>
    <s v="Kolkata"/>
    <s v="Kolkata"/>
    <s v="Technology"/>
    <x v="2"/>
    <s v="Accessories"/>
    <x v="5"/>
    <s v="Prime Accessories 960"/>
    <s v="Second Class"/>
    <x v="0"/>
    <n v="1"/>
    <n v="452.19"/>
    <n v="0.2"/>
    <n v="0.2"/>
    <s v="Valid"/>
    <n v="361.75"/>
    <n v="361.75200000000001"/>
    <n v="262.52999999999997"/>
    <n v="99.22"/>
    <n v="99.222000000000037"/>
    <n v="-262.52999999999997"/>
    <s v="Paid"/>
    <s v="Paid"/>
    <s v="Completed"/>
    <x v="0"/>
    <s v="Clean"/>
  </r>
  <r>
    <s v="ORD-2024-10491"/>
    <n v="1"/>
    <s v="Unique"/>
    <s v="2024-09-16"/>
    <s v="09/19/2024"/>
    <d v="2024-09-16T00:00:00"/>
    <d v="2024-09-19T00:00:00"/>
    <x v="9"/>
    <x v="0"/>
    <s v="Valid"/>
    <s v="Valid"/>
    <n v="3"/>
    <s v="CUST-1350"/>
    <s v="Aditi Sen"/>
    <s v="Aditi Sen"/>
    <s v="Consumer"/>
    <x v="0"/>
    <s v="West"/>
    <x v="3"/>
    <s v="Rajasthan"/>
    <s v="Rajasthan"/>
    <s v="Udaipur"/>
    <s v="Udaipur"/>
    <s v="Office Supplies"/>
    <x v="0"/>
    <s v="Binders"/>
    <x v="9"/>
    <s v="Smart Binders 191"/>
    <s v="First Class"/>
    <x v="2"/>
    <n v="7"/>
    <n v="406.42"/>
    <n v="0.15"/>
    <n v="0.15"/>
    <s v="Valid"/>
    <n v="2418.1999999999998"/>
    <n v="2418.1990000000001"/>
    <n v="1613.82"/>
    <n v="804.38"/>
    <n v="804.37900000000013"/>
    <n v="-1613.82"/>
    <s v="Paid"/>
    <s v="Paid"/>
    <s v="Completed"/>
    <x v="0"/>
    <s v="Clean"/>
  </r>
  <r>
    <s v="ORD-2025-10492"/>
    <n v="1"/>
    <s v="Unique"/>
    <s v="2025-04-29"/>
    <s v="30-04-2025"/>
    <d v="2025-04-29T00:00:00"/>
    <d v="2025-04-30T00:00:00"/>
    <x v="5"/>
    <x v="1"/>
    <s v="Valid"/>
    <s v="Valid"/>
    <n v="1"/>
    <s v="CUST-4101"/>
    <s v="Mira Das"/>
    <s v="Mira Das"/>
    <s v="Corporate"/>
    <x v="2"/>
    <s v="South"/>
    <x v="2"/>
    <s v="Kerala"/>
    <s v="Kerala"/>
    <s v="Kochi"/>
    <s v="Kochi"/>
    <s v="Technology"/>
    <x v="2"/>
    <s v="Accessories"/>
    <x v="5"/>
    <s v="Prime Accessories 118"/>
    <s v="Standard Class"/>
    <x v="3"/>
    <n v="4"/>
    <n v="606.58000000000004"/>
    <n v="0.2"/>
    <n v="0.2"/>
    <s v="Valid"/>
    <n v="1941.06"/>
    <n v="1941.0560000000003"/>
    <n v="1207.42"/>
    <n v="733.64"/>
    <n v="733.63600000000019"/>
    <n v="-1207.42"/>
    <s v="Paid"/>
    <s v="Paid"/>
    <s v="Completed"/>
    <x v="0"/>
    <s v="Clean"/>
  </r>
  <r>
    <s v="ORD-2025-10493"/>
    <n v="3"/>
    <s v="Unique"/>
    <s v="28-06-2025"/>
    <s v="07/02/2025"/>
    <d v="2025-06-28T00:00:00"/>
    <d v="2025-07-02T00:00:00"/>
    <x v="2"/>
    <x v="1"/>
    <s v="Valid"/>
    <s v="Valid"/>
    <n v="4"/>
    <s v="CUST-4679"/>
    <s v="Ananya Rao"/>
    <s v="Ananya Rao"/>
    <s v="Corporate"/>
    <x v="2"/>
    <s v="South"/>
    <x v="2"/>
    <s v="Andhra Pradesh"/>
    <s v="Andhra Pradesh"/>
    <s v="Vijayawada"/>
    <s v="Vijayawada"/>
    <s v="Office Supplies"/>
    <x v="0"/>
    <s v="Storage"/>
    <x v="8"/>
    <s v="Elite Storage 331"/>
    <s v="Second Class"/>
    <x v="0"/>
    <n v="2"/>
    <n v="2725.44"/>
    <n v="0.25"/>
    <n v="0.25"/>
    <s v="Valid"/>
    <n v="4088.16"/>
    <n v="4088.16"/>
    <n v="3205.68"/>
    <n v="882.48"/>
    <n v="882.48"/>
    <n v="-3205.68"/>
    <s v="Paid"/>
    <s v="Paid"/>
    <s v="Completed"/>
    <x v="0"/>
    <s v="Clean"/>
  </r>
  <r>
    <s v="ORD-2025-10494"/>
    <n v="2"/>
    <s v="Unique"/>
    <s v="13 Feb 2025"/>
    <s v="2025-02-13"/>
    <d v="2025-02-13T00:00:00"/>
    <d v="2025-02-13T00:00:00"/>
    <x v="6"/>
    <x v="1"/>
    <s v="Valid"/>
    <s v="Valid"/>
    <n v="0"/>
    <s v="CUST-3765"/>
    <s v="Kabir Singh"/>
    <s v="Kabir Singh"/>
    <s v="Corporate"/>
    <x v="2"/>
    <s v="East"/>
    <x v="1"/>
    <s v="Odisha"/>
    <s v="Odisha"/>
    <s v="Bhubaneswar"/>
    <s v="Bhubaneswar"/>
    <s v="Office Supplies"/>
    <x v="0"/>
    <s v="Paper"/>
    <x v="0"/>
    <s v="Prime Paper 996"/>
    <s v="Second Class"/>
    <x v="0"/>
    <n v="7"/>
    <n v="2296.6999999999998"/>
    <n v="0.05"/>
    <n v="0.05"/>
    <s v="Valid"/>
    <n v="15273.05"/>
    <n v="15273.054999999997"/>
    <n v="11088.76"/>
    <n v="4184.29"/>
    <n v="4184.2949999999964"/>
    <n v="-11088.76"/>
    <s v="Paid"/>
    <s v="Paid"/>
    <s v="Completed"/>
    <x v="0"/>
    <s v="Clean"/>
  </r>
  <r>
    <s v="ORD-2024-10495"/>
    <n v="2"/>
    <s v="Unique"/>
    <s v="2024-11-14"/>
    <s v="2024-11-22"/>
    <d v="2024-11-14T00:00:00"/>
    <d v="2024-11-22T00:00:00"/>
    <x v="3"/>
    <x v="0"/>
    <s v="Valid"/>
    <s v="Valid"/>
    <n v="8"/>
    <s v="CUST-9056"/>
    <s v="Isha Nair"/>
    <s v="Isha Nair"/>
    <s v="Consumer"/>
    <x v="0"/>
    <s v="West"/>
    <x v="3"/>
    <s v="Madhya Pradesh"/>
    <s v="Madhya Pradesh"/>
    <s v="Indore"/>
    <s v="Indore"/>
    <s v="Technology"/>
    <x v="2"/>
    <s v="Phones"/>
    <x v="11"/>
    <s v="Smart Phones 125"/>
    <s v="Standard Class"/>
    <x v="3"/>
    <n v="3"/>
    <n v="671.68"/>
    <n v="-0.13"/>
    <n v="-0.13"/>
    <s v="Invalid - Negative Discount"/>
    <n v="1712.78"/>
    <n v="2276.9951999999998"/>
    <n v="1569.38"/>
    <n v="360.66"/>
    <n v="707.61519999999973"/>
    <n v="-1569.38"/>
    <s v="Failed"/>
    <s v="Failed"/>
    <s v="Cancelled"/>
    <x v="1"/>
    <s v="Clean"/>
  </r>
  <r>
    <s v="ORD-2024-10496"/>
    <n v="3"/>
    <s v="Unique"/>
    <s v="05/09/2024"/>
    <s v="05/15/2024"/>
    <d v="2024-05-09T00:00:00"/>
    <d v="2024-05-15T00:00:00"/>
    <x v="4"/>
    <x v="0"/>
    <s v="Valid"/>
    <s v="Valid"/>
    <n v="6"/>
    <s v="CUST-9801"/>
    <s v="Mira Das"/>
    <s v="Mira Das"/>
    <s v="Small Business"/>
    <x v="1"/>
    <s v="East"/>
    <x v="1"/>
    <s v="Assam"/>
    <s v="Assam"/>
    <s v="Guwahati"/>
    <s v="Guwahati"/>
    <s v="Technology"/>
    <x v="2"/>
    <s v="Phones"/>
    <x v="11"/>
    <s v="Eco Phones 220"/>
    <s v="Second Class"/>
    <x v="0"/>
    <n v="4"/>
    <n v="995.98"/>
    <n v="0.05"/>
    <n v="0.05"/>
    <s v="Valid"/>
    <n v="3784.72"/>
    <n v="3784.7239999999997"/>
    <n v="2419.2399999999998"/>
    <n v="1365.48"/>
    <n v="1365.4839999999999"/>
    <n v="-2419.2399999999998"/>
    <s v="Refunded"/>
    <s v="Refunded"/>
    <s v="Returned"/>
    <x v="2"/>
    <s v="Clean"/>
  </r>
  <r>
    <s v="ORD-2025-10497"/>
    <n v="1"/>
    <s v="Unique"/>
    <s v="2025-07-04"/>
    <s v="2025-07-06"/>
    <d v="2025-04-07T00:00:00"/>
    <d v="2025-06-07T00:00:00"/>
    <x v="5"/>
    <x v="1"/>
    <s v="Valid"/>
    <s v="Valid"/>
    <n v="61"/>
    <s v="CUST-2038"/>
    <s v="Kabir Singh"/>
    <s v="Kabir Singh"/>
    <s v="Small Business"/>
    <x v="1"/>
    <s v="East"/>
    <x v="1"/>
    <s v="Jharkhand"/>
    <s v="Jharkhand"/>
    <s v="Ranchi"/>
    <s v="Ranchi"/>
    <s v="Furniture"/>
    <x v="1"/>
    <s v="Chairs"/>
    <x v="4"/>
    <s v="Eco Chairs 795"/>
    <s v="Second Class"/>
    <x v="0"/>
    <n v="2"/>
    <n v="3686.42"/>
    <n v="0.1"/>
    <n v="0.1"/>
    <s v="Valid"/>
    <n v="6635.56"/>
    <n v="6635.5560000000005"/>
    <n v="3652.91"/>
    <n v="2982.65"/>
    <n v="2982.6460000000006"/>
    <n v="-3652.91"/>
    <s v="Paid"/>
    <s v="Paid"/>
    <s v="Completed"/>
    <x v="0"/>
    <s v="Clean"/>
  </r>
  <r>
    <s v="ORD-2024-10498"/>
    <n v="2"/>
    <s v="Unique"/>
    <s v="29 Aug 2024"/>
    <s v="29 Aug 2024"/>
    <d v="2024-08-29T00:00:00"/>
    <d v="2024-08-29T00:00:00"/>
    <x v="1"/>
    <x v="0"/>
    <s v="Valid"/>
    <s v="Valid"/>
    <n v="0"/>
    <s v="CUST-1567"/>
    <s v="Sneha Kapoor"/>
    <s v="Sneha Kapoor"/>
    <s v="Small Business"/>
    <x v="1"/>
    <s v="North"/>
    <x v="0"/>
    <s v="Uttar Pradesh"/>
    <s v="Uttar Pradesh"/>
    <s v="Noida"/>
    <s v="Noida"/>
    <s v="Technology"/>
    <x v="2"/>
    <s v="Accessories"/>
    <x v="5"/>
    <s v="Smart Accessories 896"/>
    <s v="Second Class"/>
    <x v="0"/>
    <n v="1"/>
    <n v="3106.88"/>
    <n v="0.2"/>
    <n v="0.2"/>
    <s v="Valid"/>
    <n v="2485.5"/>
    <n v="2485.5040000000004"/>
    <n v="2028.43"/>
    <n v="457.07"/>
    <n v="457.0740000000003"/>
    <n v="-2028.43"/>
    <s v="Paid"/>
    <s v="Paid"/>
    <s v="Cancelled"/>
    <x v="1"/>
    <s v="Clean"/>
  </r>
  <r>
    <s v="ORD-2025-10499"/>
    <n v="3"/>
    <s v="Unique"/>
    <s v="2025-09-07"/>
    <s v="10 Sep 2025"/>
    <d v="2025-07-09T00:00:00"/>
    <d v="2025-10-09T00:00:00"/>
    <x v="0"/>
    <x v="1"/>
    <s v="Valid"/>
    <s v="Valid"/>
    <n v="92"/>
    <s v="CUST-1190"/>
    <s v="Karan Malhotra"/>
    <s v="Karan Malhotra"/>
    <s v="Consumer"/>
    <x v="0"/>
    <s v="North"/>
    <x v="0"/>
    <s v="Punjab"/>
    <s v="Punjab"/>
    <s v="Ludhiana"/>
    <s v="Ludhiana"/>
    <s v="Furniture"/>
    <x v="1"/>
    <s v="Chairs"/>
    <x v="4"/>
    <s v="Basic Chairs 255"/>
    <s v="Same Day"/>
    <x v="1"/>
    <n v="2"/>
    <n v="447.55"/>
    <n v="0.05"/>
    <n v="0.05"/>
    <s v="Valid"/>
    <n v="850.35"/>
    <n v="850.34500000000003"/>
    <n v="600.98"/>
    <n v="249.37"/>
    <n v="249.36500000000001"/>
    <n v="-600.98"/>
    <s v="Refunded"/>
    <s v="Refunded"/>
    <s v="Cancelled"/>
    <x v="1"/>
    <s v="Clean"/>
  </r>
  <r>
    <s v="ORD-2024-10500"/>
    <n v="1"/>
    <s v="Unique"/>
    <s v="2024-12-22"/>
    <s v="26-12-2024"/>
    <d v="2024-12-22T00:00:00"/>
    <d v="2024-12-26T00:00:00"/>
    <x v="7"/>
    <x v="0"/>
    <s v="Valid"/>
    <s v="Valid"/>
    <n v="4"/>
    <s v="CUST-5604"/>
    <s v="Rahul Verma"/>
    <s v="Rahul Verma"/>
    <s v="Home Office"/>
    <x v="3"/>
    <s v="North"/>
    <x v="0"/>
    <s v="Uttar Pradesh"/>
    <s v="Uttar Pradesh"/>
    <s v="Noida"/>
    <s v="Noida"/>
    <s v="Furniture"/>
    <x v="1"/>
    <s v="Chairs"/>
    <x v="4"/>
    <s v="Eco Chairs 210"/>
    <s v="Standard Class"/>
    <x v="3"/>
    <n v="9"/>
    <n v="1110.8699999999999"/>
    <s v="Unknown"/>
    <s v="Unknown"/>
    <s v="Invalid - Above Range"/>
    <n v="7498.37"/>
    <s v="Unknown"/>
    <n v="6059.07"/>
    <n v="1439.3"/>
    <s v="Unknown"/>
    <s v="Unknown"/>
    <s v="Paid"/>
    <s v="Paid"/>
    <s v="Cancelled"/>
    <x v="1"/>
    <s v="Needs Review"/>
  </r>
  <r>
    <s v="ORD-2024-10501"/>
    <n v="1"/>
    <s v="Unique"/>
    <s v="05/17/2024"/>
    <s v="05/22/2024"/>
    <d v="2024-05-17T00:00:00"/>
    <d v="2024-05-22T00:00:00"/>
    <x v="4"/>
    <x v="0"/>
    <s v="Valid"/>
    <s v="Valid"/>
    <n v="5"/>
    <s v="CUST-7661"/>
    <s v="Sneha Kapoor"/>
    <s v="Sneha Kapoor"/>
    <s v="Consumer"/>
    <x v="0"/>
    <s v="South"/>
    <x v="2"/>
    <s v="Kerala"/>
    <s v="Kerala"/>
    <s v="Kochi"/>
    <s v="Kochi"/>
    <s v="Technology"/>
    <x v="2"/>
    <s v="Phones"/>
    <x v="11"/>
    <s v="Prime Phones 533"/>
    <s v="Same Day"/>
    <x v="1"/>
    <n v="9"/>
    <n v="3795.99"/>
    <s v="85%"/>
    <n v="0.85"/>
    <s v="Invalid - Above Range"/>
    <n v="34163.910000000003"/>
    <n v="5124.5865000000003"/>
    <n v="28577.15"/>
    <n v="5586.76"/>
    <n v="-23452.5635"/>
    <n v="-28577.15"/>
    <s v="Paid"/>
    <s v="Paid"/>
    <s v="Completed"/>
    <x v="0"/>
    <s v="Clean"/>
  </r>
  <r>
    <s v="ORD-2024-10502"/>
    <n v="1"/>
    <s v="Unique"/>
    <s v="11 Aug 2024"/>
    <s v="08/17/2024"/>
    <d v="2024-11-08T00:00:00"/>
    <d v="2024-08-17T00:00:00"/>
    <x v="3"/>
    <x v="0"/>
    <s v="Valid"/>
    <s v="Valid"/>
    <n v="-83"/>
    <s v="CUST-3710"/>
    <s v="Neha Gupta"/>
    <s v="Neha Gupta"/>
    <s v="Consumer"/>
    <x v="0"/>
    <s v="East"/>
    <x v="1"/>
    <s v="Jharkhand"/>
    <s v="Jharkhand"/>
    <s v="Ranchi"/>
    <s v="Ranchi"/>
    <s v="Office Supplies"/>
    <x v="0"/>
    <s v="Art"/>
    <x v="2"/>
    <s v="Elite Art 325"/>
    <s v="Second Class"/>
    <x v="0"/>
    <n v="6"/>
    <n v="3497.54"/>
    <n v="0.15"/>
    <n v="0.15"/>
    <s v="Valid"/>
    <n v="17837.45"/>
    <n v="17837.453999999998"/>
    <n v="13627.02"/>
    <n v="4210.43"/>
    <n v="4210.4339999999975"/>
    <n v="-13627.02"/>
    <s v="Paid"/>
    <s v="Paid"/>
    <s v="Completed"/>
    <x v="0"/>
    <s v="Clean"/>
  </r>
  <r>
    <s v="ORD-2024-10503"/>
    <n v="2"/>
    <s v="Exact Duplicate"/>
    <s v="04/01/2024"/>
    <s v="2024-04-09"/>
    <d v="2024-04-01T00:00:00"/>
    <d v="2024-09-04T00:00:00"/>
    <x v="5"/>
    <x v="0"/>
    <s v="Valid"/>
    <s v="Valid"/>
    <n v="156"/>
    <s v="CUST-1534"/>
    <s v="Priya Menon"/>
    <s v="Priya Menon"/>
    <s v="Small Business"/>
    <x v="1"/>
    <s v="East"/>
    <x v="1"/>
    <s v="Odisha"/>
    <s v="Odisha"/>
    <s v="Bhubaneswar"/>
    <s v="Bhubaneswar"/>
    <s v="Technology"/>
    <x v="2"/>
    <s v="Copiers"/>
    <x v="6"/>
    <s v="Prime Copiers 557"/>
    <s v="Second Class"/>
    <x v="0"/>
    <n v="6"/>
    <n v="826.93"/>
    <n v="0.1"/>
    <n v="0.1"/>
    <s v="Valid"/>
    <n v="4465.42"/>
    <n v="4465.4220000000005"/>
    <n v="3377.1"/>
    <n v="1088.32"/>
    <n v="1088.3220000000006"/>
    <n v="-3377.1"/>
    <s v="Paid"/>
    <s v="Paid"/>
    <s v="Completed"/>
    <x v="0"/>
    <s v="Clean"/>
  </r>
  <r>
    <s v="ORD-2024-10504"/>
    <n v="1"/>
    <s v="Unique"/>
    <s v="2024-09-28"/>
    <s v="2024-10-05"/>
    <d v="2024-09-28T00:00:00"/>
    <d v="2024-05-10T00:00:00"/>
    <x v="9"/>
    <x v="0"/>
    <s v="Valid"/>
    <s v="Valid"/>
    <n v="-141"/>
    <s v="CUST-7422"/>
    <s v="Aarav Sharma"/>
    <s v="Aarav Sharma"/>
    <s v="Consumer"/>
    <x v="0"/>
    <s v="South"/>
    <x v="2"/>
    <s v="Tamil Nadu"/>
    <s v="Tamil Nadu"/>
    <s v="Chennai"/>
    <s v="Chennai"/>
    <s v="Technology"/>
    <x v="2"/>
    <s v="Phones"/>
    <x v="11"/>
    <s v="Smart Phones 674"/>
    <s v="Standard Class"/>
    <x v="3"/>
    <n v="7"/>
    <n v="1681.6"/>
    <n v="0.1"/>
    <n v="0.1"/>
    <s v="Valid"/>
    <n v="10594.08"/>
    <n v="10594.08"/>
    <n v="7160.31"/>
    <n v="3433.77"/>
    <n v="3433.7699999999995"/>
    <n v="-7160.31"/>
    <s v="Paid"/>
    <s v="Paid"/>
    <s v="Completed"/>
    <x v="0"/>
    <s v="Clean"/>
  </r>
  <r>
    <s v="ORD-2025-10505"/>
    <n v="1"/>
    <s v="Unique"/>
    <s v="2025-02-12"/>
    <s v="2025-02-17"/>
    <d v="2025-12-02T00:00:00"/>
    <d v="2025-02-17T00:00:00"/>
    <x v="7"/>
    <x v="1"/>
    <s v="Valid"/>
    <s v="Valid"/>
    <n v="-288"/>
    <s v="CUST-9693"/>
    <s v="Arjun Bose"/>
    <s v="Arjun Bose"/>
    <s v="Corporate"/>
    <x v="2"/>
    <s v="West"/>
    <x v="3"/>
    <s v="Gujarat"/>
    <s v="Gujarat"/>
    <s v="Ahmedabad"/>
    <s v="Ahmedabad"/>
    <s v="Office Supplies"/>
    <x v="0"/>
    <s v="Art"/>
    <x v="2"/>
    <s v="Elite Art 553"/>
    <s v="Standard Class"/>
    <x v="3"/>
    <n v="4"/>
    <n v="4328.12"/>
    <n v="0"/>
    <n v="0"/>
    <s v="Valid"/>
    <n v="17312.48"/>
    <n v="17312.48"/>
    <n v="14424.22"/>
    <n v="2888.26"/>
    <n v="2888.26"/>
    <n v="-14424.22"/>
    <s v="Paid"/>
    <s v="Paid"/>
    <s v="Completed"/>
    <x v="0"/>
    <s v="Clean"/>
  </r>
  <r>
    <s v="ORD-2024-10506"/>
    <n v="1"/>
    <s v="Unique"/>
    <s v="2024-11-09"/>
    <s v="14 Nov 2024"/>
    <d v="2024-09-11T00:00:00"/>
    <d v="2024-11-14T00:00:00"/>
    <x v="9"/>
    <x v="0"/>
    <s v="Valid"/>
    <s v="Valid"/>
    <n v="64"/>
    <s v="CUST-5458"/>
    <s v="Neha Gupta"/>
    <s v="Neha Gupta"/>
    <s v="Corporate"/>
    <x v="2"/>
    <s v="West"/>
    <x v="3"/>
    <s v="Madhya Pradesh"/>
    <s v="Madhya Pradesh"/>
    <s v="Indore"/>
    <s v="Indore"/>
    <s v="Office Supplies"/>
    <x v="0"/>
    <s v="Art"/>
    <x v="2"/>
    <s v="Classic Art 339"/>
    <s v="First Class"/>
    <x v="2"/>
    <n v="9"/>
    <n v="2438.29"/>
    <n v="0.2"/>
    <n v="0.2"/>
    <s v="Valid"/>
    <n v="17555.689999999999"/>
    <n v="17555.688000000002"/>
    <n v="13293.2"/>
    <n v="4262.49"/>
    <n v="4262.4880000000012"/>
    <n v="-13293.2"/>
    <s v="Paid"/>
    <s v="Paid"/>
    <s v="Cancelled"/>
    <x v="1"/>
    <s v="Clean"/>
  </r>
  <r>
    <s v="ORD-2024-10507"/>
    <n v="1"/>
    <s v="Unique"/>
    <s v="15-12-2024"/>
    <s v="2024-12-15"/>
    <d v="2024-12-15T00:00:00"/>
    <d v="2024-12-15T00:00:00"/>
    <x v="7"/>
    <x v="0"/>
    <s v="Valid"/>
    <s v="Valid"/>
    <n v="0"/>
    <s v="CUST-3011"/>
    <s v="Aarav Sharma"/>
    <s v="Aarav Sharma"/>
    <s v="Small Business"/>
    <x v="1"/>
    <s v="North"/>
    <x v="0"/>
    <s v="Punjab"/>
    <s v="Punjab"/>
    <s v="Ludhiana"/>
    <s v="Ludhiana"/>
    <s v="Furniture"/>
    <x v="1"/>
    <s v="Furnishings"/>
    <x v="3"/>
    <s v="Smart Furnishings 352"/>
    <s v="First Class"/>
    <x v="2"/>
    <n v="2"/>
    <n v="669.8"/>
    <n v="0.1"/>
    <n v="0.1"/>
    <s v="Valid"/>
    <n v="1205.6400000000001"/>
    <n v="1205.6399999999999"/>
    <n v="842.07"/>
    <n v="363.57"/>
    <n v="363.56999999999982"/>
    <n v="-842.07"/>
    <s v="Refunded"/>
    <s v="Refunded"/>
    <s v="Returned"/>
    <x v="2"/>
    <s v="Clean"/>
  </r>
  <r>
    <s v="ORD-2025-10508"/>
    <n v="1"/>
    <s v="Unique"/>
    <s v="2025-04-15"/>
    <s v="2025-04-22"/>
    <d v="2025-04-15T00:00:00"/>
    <d v="2025-04-22T00:00:00"/>
    <x v="5"/>
    <x v="1"/>
    <s v="Valid"/>
    <s v="Valid"/>
    <n v="7"/>
    <s v="CUST-1826"/>
    <s v="Isha Nair"/>
    <s v="Isha Nair"/>
    <s v="Small Business"/>
    <x v="1"/>
    <s v="North"/>
    <x v="0"/>
    <s v="Haryana"/>
    <s v="Haryana"/>
    <s v="Gurugram"/>
    <s v="Gurugram"/>
    <s v="Office Supplies"/>
    <x v="0"/>
    <s v="Binders"/>
    <x v="9"/>
    <s v="Classic Binders 602"/>
    <s v="Same Day"/>
    <x v="1"/>
    <n v="4"/>
    <n v="2990.42"/>
    <n v="0.25"/>
    <n v="0.25"/>
    <s v="Valid"/>
    <n v="8971.26"/>
    <n v="8971.26"/>
    <n v="6814.35"/>
    <n v="2156.91"/>
    <n v="2156.91"/>
    <n v="-6814.35"/>
    <s v="Paid"/>
    <s v="Paid"/>
    <s v="Completed"/>
    <x v="0"/>
    <s v="Clean"/>
  </r>
  <r>
    <s v="ORD-2024-10509"/>
    <n v="1"/>
    <s v="Unique"/>
    <s v="31 Mar 2024"/>
    <s v="07-04-2024"/>
    <d v="2024-03-31T00:00:00"/>
    <d v="2024-07-04T00:00:00"/>
    <x v="11"/>
    <x v="0"/>
    <s v="Valid"/>
    <s v="Valid"/>
    <n v="95"/>
    <s v="CUST-3333"/>
    <s v="Isha Nair"/>
    <s v="Isha Nair"/>
    <s v="Small Business"/>
    <x v="1"/>
    <s v="North"/>
    <x v="0"/>
    <s v="Haryana"/>
    <s v="Haryana"/>
    <s v="Gurugram"/>
    <s v="Gurugram"/>
    <s v="Technology"/>
    <x v="2"/>
    <s v="Machines"/>
    <x v="12"/>
    <s v="Smart Machines 853"/>
    <s v="Second Class"/>
    <x v="0"/>
    <n v="4"/>
    <n v="1831"/>
    <n v="0"/>
    <n v="0"/>
    <s v="Valid"/>
    <n v="7324"/>
    <n v="7324"/>
    <n v="4179.63"/>
    <n v="3144.37"/>
    <n v="3144.37"/>
    <n v="-4179.63"/>
    <s v="Paid"/>
    <s v="Paid"/>
    <s v="Completed"/>
    <x v="0"/>
    <s v="Clean"/>
  </r>
  <r>
    <s v="ORD-2025-10510"/>
    <n v="2"/>
    <s v="Unique"/>
    <s v="2025-05-12"/>
    <s v="05/14/2025"/>
    <d v="2025-12-05T00:00:00"/>
    <d v="2025-05-14T00:00:00"/>
    <x v="7"/>
    <x v="1"/>
    <s v="Valid"/>
    <s v="Valid"/>
    <n v="-205"/>
    <s v="CUST-7901"/>
    <s v="Neha Gupta"/>
    <s v="Neha Gupta"/>
    <s v="Consumer"/>
    <x v="0"/>
    <s v="West"/>
    <x v="3"/>
    <s v="Gujarat"/>
    <s v="Gujarat"/>
    <s v="Ahmedabad"/>
    <s v="Ahmedabad"/>
    <s v="Technology"/>
    <x v="2"/>
    <s v="Machines"/>
    <x v="12"/>
    <s v="Classic Machines 599"/>
    <s v="Same Day"/>
    <x v="1"/>
    <n v="8"/>
    <n v="3631.44"/>
    <n v="0.2"/>
    <n v="0.2"/>
    <s v="Valid"/>
    <n v="23241.22"/>
    <n v="23241.216"/>
    <n v="17220.900000000001"/>
    <n v="6020.32"/>
    <n v="6020.3159999999989"/>
    <n v="-17220.900000000001"/>
    <s v="Paid"/>
    <s v="Paid"/>
    <s v="Completed"/>
    <x v="0"/>
    <s v="Clean"/>
  </r>
  <r>
    <s v="ORD-2024-10511"/>
    <n v="3"/>
    <s v="Unique"/>
    <s v="10/18/2024"/>
    <s v="21-10-2024"/>
    <d v="2024-10-18T00:00:00"/>
    <d v="2024-10-21T00:00:00"/>
    <x v="10"/>
    <x v="0"/>
    <s v="Valid"/>
    <s v="Valid"/>
    <n v="3"/>
    <s v="CUST-9759"/>
    <s v="Aarav  Sharma"/>
    <s v="Aarav Sharma"/>
    <s v="Consumer"/>
    <x v="0"/>
    <s v="South"/>
    <x v="2"/>
    <s v="Karnataka"/>
    <s v="Karnataka"/>
    <s v="Bengaluru"/>
    <s v="Bengaluru"/>
    <s v="Office Supplies"/>
    <x v="0"/>
    <s v="Storage"/>
    <x v="8"/>
    <s v="Pro Storage 373"/>
    <s v="Second Class"/>
    <x v="0"/>
    <n v="2"/>
    <n v="4238.51"/>
    <n v="0"/>
    <n v="0"/>
    <s v="Valid"/>
    <n v="8477.02"/>
    <n v="8477.02"/>
    <n v="6884.96"/>
    <n v="1592.06"/>
    <n v="1592.0600000000004"/>
    <n v="-6884.96"/>
    <s v="Paid"/>
    <s v="Paid"/>
    <s v="Completed"/>
    <x v="0"/>
    <s v="Clean"/>
  </r>
  <r>
    <s v="ORD-2024-10512"/>
    <n v="1"/>
    <s v="Unique"/>
    <s v="10/23/2024"/>
    <s v="26 Oct 2024"/>
    <d v="2024-10-23T00:00:00"/>
    <d v="2024-10-26T00:00:00"/>
    <x v="10"/>
    <x v="0"/>
    <s v="Valid"/>
    <s v="Valid"/>
    <n v="3"/>
    <s v="CUST-7232"/>
    <s v="Sneha Kapoor"/>
    <s v="Sneha Kapoor"/>
    <s v="Consumer"/>
    <x v="0"/>
    <s v="West"/>
    <x v="3"/>
    <s v="Madhya Pradesh"/>
    <s v="Madhya Pradesh"/>
    <s v="Indore"/>
    <s v="Indore"/>
    <s v="Furniture"/>
    <x v="1"/>
    <s v="Bookcases"/>
    <x v="10"/>
    <s v="Smart Bookcases 920"/>
    <s v="Standard Class"/>
    <x v="3"/>
    <n v="9"/>
    <n v="544.27"/>
    <n v="0.25"/>
    <n v="0.25"/>
    <s v="Valid"/>
    <n v="3673.82"/>
    <n v="3673.8225000000002"/>
    <n v="2088.15"/>
    <n v="1585.67"/>
    <n v="1585.6725000000001"/>
    <n v="-2088.15"/>
    <s v="Paid"/>
    <s v="Paid"/>
    <s v="Completed"/>
    <x v="0"/>
    <s v="Clean"/>
  </r>
  <r>
    <s v="ORD-2025-10513"/>
    <n v="3"/>
    <s v="Unique"/>
    <s v="03/02/2025"/>
    <s v="2025-03-03"/>
    <d v="2025-03-02T00:00:00"/>
    <d v="2025-03-03T00:00:00"/>
    <x v="11"/>
    <x v="1"/>
    <s v="Valid"/>
    <s v="Valid"/>
    <n v="1"/>
    <s v="CUST-9943"/>
    <s v="Isha Nair"/>
    <s v="Isha Nair"/>
    <s v="Corporate"/>
    <x v="2"/>
    <s v="South"/>
    <x v="2"/>
    <s v="Kerala"/>
    <s v="Kerala"/>
    <s v="Kochi"/>
    <s v="Kochi"/>
    <s v="Office Supplies"/>
    <x v="0"/>
    <s v="Labels"/>
    <x v="7"/>
    <s v="Pro Labels 849"/>
    <s v="Second Class"/>
    <x v="0"/>
    <n v="2"/>
    <n v="4031.45"/>
    <n v="0.25"/>
    <n v="0.25"/>
    <s v="Valid"/>
    <n v="6047.17"/>
    <n v="6047.1749999999993"/>
    <n v="3368.79"/>
    <n v="2678.38"/>
    <n v="2678.3849999999993"/>
    <n v="-3368.79"/>
    <s v="Paid"/>
    <s v="Paid"/>
    <s v="Completed"/>
    <x v="0"/>
    <s v="Clean"/>
  </r>
  <r>
    <s v="ORD-2025-10514"/>
    <n v="3"/>
    <s v="Unique"/>
    <s v="27-06-2025"/>
    <s v="07/02/2025"/>
    <d v="2025-06-27T00:00:00"/>
    <d v="2025-07-02T00:00:00"/>
    <x v="2"/>
    <x v="1"/>
    <s v="Valid"/>
    <s v="Valid"/>
    <n v="5"/>
    <s v="CUST-8993"/>
    <s v="Aarav Sharma"/>
    <s v="Aarav Sharma"/>
    <s v="Corporate"/>
    <x v="2"/>
    <s v="South"/>
    <x v="2"/>
    <s v="Kerala"/>
    <s v="Kerala"/>
    <s v="Kochi"/>
    <s v="Kochi"/>
    <s v="Technology"/>
    <x v="2"/>
    <s v="Accessories"/>
    <x v="5"/>
    <s v="Prime Accessories 849"/>
    <s v="First Class"/>
    <x v="2"/>
    <n v="6"/>
    <n v="1099.49"/>
    <n v="0.1"/>
    <n v="0.1"/>
    <s v="Valid"/>
    <n v="6212.38"/>
    <n v="5937.246000000001"/>
    <n v="4088.46"/>
    <n v="1848.79"/>
    <n v="1848.786000000001"/>
    <n v="-4088.46"/>
    <s v="Paid"/>
    <s v="Paid"/>
    <s v="Completed"/>
    <x v="0"/>
    <s v="Clean"/>
  </r>
  <r>
    <s v="ORD-2024-10515"/>
    <n v="1"/>
    <s v="Unique"/>
    <s v="18 Nov 2024"/>
    <s v="2024-11-22"/>
    <d v="2024-11-18T00:00:00"/>
    <d v="2024-11-22T00:00:00"/>
    <x v="3"/>
    <x v="0"/>
    <s v="Valid"/>
    <s v="Valid"/>
    <n v="4"/>
    <s v="CUST-7729"/>
    <s v="Karan Malhotra"/>
    <s v="Karan Malhotra"/>
    <s v="Home Office"/>
    <x v="3"/>
    <s v="South"/>
    <x v="2"/>
    <s v="Kerala"/>
    <s v="Kerala"/>
    <s v="Kochi"/>
    <s v="Kochi"/>
    <s v="Technology"/>
    <x v="2"/>
    <s v="Accessories"/>
    <x v="5"/>
    <s v="Smart Accessories 388"/>
    <s v="Standard Class"/>
    <x v="3"/>
    <n v="6"/>
    <n v="3872.94"/>
    <n v="0.1"/>
    <n v="0.1"/>
    <s v="Valid"/>
    <n v="20913.88"/>
    <n v="20913.876"/>
    <n v="11684.68"/>
    <n v="9229.2000000000007"/>
    <n v="9229.1959999999999"/>
    <n v="-11684.68"/>
    <s v="Paid"/>
    <s v="Paid"/>
    <s v="Completed"/>
    <x v="0"/>
    <s v="Clean"/>
  </r>
  <r>
    <s v="ORD-2025-10516"/>
    <n v="2"/>
    <s v="Unique"/>
    <s v="04/11/2025"/>
    <s v="2025-04-11"/>
    <d v="2025-04-11T00:00:00"/>
    <d v="2025-11-04T00:00:00"/>
    <x v="5"/>
    <x v="1"/>
    <s v="Valid"/>
    <s v="Valid"/>
    <n v="207"/>
    <s v="CUST-9986"/>
    <s v="Rahul Verma"/>
    <s v="Rahul Verma"/>
    <s v="Corporate"/>
    <x v="2"/>
    <s v="North"/>
    <x v="0"/>
    <s v="Delhi"/>
    <s v="Delhi"/>
    <s v="New Delhi"/>
    <s v="New Delhi"/>
    <s v="Office Supplies"/>
    <x v="0"/>
    <s v="Paper"/>
    <x v="0"/>
    <s v="Classic Paper 752"/>
    <s v="Standard Class"/>
    <x v="3"/>
    <n v="1"/>
    <n v="4458.49"/>
    <n v="-7.0000000000000007E-2"/>
    <n v="-7.0000000000000007E-2"/>
    <s v="Invalid - Negative Discount"/>
    <n v="3566.79"/>
    <n v="4770.5843000000004"/>
    <n v="2083.41"/>
    <n v="1483.38"/>
    <n v="2687.1743000000006"/>
    <n v="-2083.41"/>
    <s v="Paid"/>
    <s v="Paid"/>
    <s v="Completed"/>
    <x v="0"/>
    <s v="Clean"/>
  </r>
  <r>
    <s v="ORD-2024-10517"/>
    <n v="1"/>
    <s v="Unique"/>
    <s v="09/28/2024"/>
    <s v="04 Oct 2024"/>
    <d v="2024-09-28T00:00:00"/>
    <d v="2024-04-10T00:00:00"/>
    <x v="9"/>
    <x v="0"/>
    <s v="Valid"/>
    <s v="Valid"/>
    <n v="-171"/>
    <s v="CUST-2731"/>
    <s v="Kabir Singh"/>
    <s v="Kabir Singh"/>
    <s v="Home Office"/>
    <x v="3"/>
    <s v="North"/>
    <x v="0"/>
    <s v="Delhi"/>
    <s v="Delhi"/>
    <s v="New Delhi"/>
    <s v="New Delhi"/>
    <s v="Technology"/>
    <x v="2"/>
    <s v="Copiers"/>
    <x v="6"/>
    <s v="Classic Copiers 143"/>
    <s v="Standard Class"/>
    <x v="3"/>
    <n v="1"/>
    <n v="2233.1799999999998"/>
    <n v="0"/>
    <n v="0"/>
    <s v="Valid"/>
    <n v="2233.1799999999998"/>
    <n v="2233.1799999999998"/>
    <n v="1585.82"/>
    <n v="647.36"/>
    <n v="647.3599999999999"/>
    <n v="-1585.82"/>
    <s v="Failed"/>
    <s v="Failed"/>
    <s v="Returned"/>
    <x v="2"/>
    <s v="Clean"/>
  </r>
  <r>
    <s v="ORD-2025-10518"/>
    <n v="1"/>
    <s v="Unique"/>
    <s v="2025-05-25"/>
    <s v="27 May 2025"/>
    <d v="2025-05-25T00:00:00"/>
    <d v="2025-05-27T00:00:00"/>
    <x v="4"/>
    <x v="1"/>
    <s v="Valid"/>
    <s v="Valid"/>
    <n v="2"/>
    <s v="CUST-4235"/>
    <s v="Rahul Verma"/>
    <s v="Rahul Verma"/>
    <s v="Consumer"/>
    <x v="0"/>
    <s v="East"/>
    <x v="1"/>
    <s v="Odisha"/>
    <s v="Odisha"/>
    <s v="Bhubaneswar"/>
    <s v="Bhubaneswar"/>
    <s v="Furniture"/>
    <x v="1"/>
    <s v="Furnishings"/>
    <x v="3"/>
    <s v="Basic Furnishings 386"/>
    <s v="Second Class"/>
    <x v="0"/>
    <n v="7"/>
    <n v="2123.2800000000002"/>
    <n v="0.2"/>
    <n v="0.2"/>
    <s v="Valid"/>
    <n v="11890.37"/>
    <n v="11890.368000000002"/>
    <n v="9234.5300000000007"/>
    <n v="2655.84"/>
    <n v="2655.8380000000016"/>
    <n v="-9234.5300000000007"/>
    <s v="Refunded"/>
    <s v="Refunded"/>
    <s v="Returned"/>
    <x v="2"/>
    <s v="Clean"/>
  </r>
  <r>
    <s v="ORD-2025-10519"/>
    <n v="1"/>
    <s v="Unique"/>
    <s v="30-04-2025"/>
    <s v="26 Apr 2025"/>
    <d v="2025-04-30T00:00:00"/>
    <d v="2025-04-26T00:00:00"/>
    <x v="5"/>
    <x v="1"/>
    <s v="Valid"/>
    <s v="Valid"/>
    <n v="-4"/>
    <s v="CUST-3377"/>
    <s v="Diya Patel"/>
    <s v="Diya Patel"/>
    <s v="Corporate"/>
    <x v="2"/>
    <s v="East"/>
    <x v="1"/>
    <s v="Odisha"/>
    <s v="Odisha"/>
    <s v="Bhubaneswar"/>
    <s v="Bhubaneswar"/>
    <s v="Furniture"/>
    <x v="1"/>
    <s v="Tables"/>
    <x v="1"/>
    <s v="Classic Tables 592"/>
    <s v="First Class"/>
    <x v="2"/>
    <n v="7"/>
    <n v="1604.13"/>
    <n v="0.25"/>
    <n v="0.25"/>
    <s v="Valid"/>
    <n v="8421.68"/>
    <n v="8421.682499999999"/>
    <n v="6534.47"/>
    <n v="1887.21"/>
    <n v="1887.2124999999987"/>
    <n v="-6534.47"/>
    <s v="Paid"/>
    <s v="Paid"/>
    <s v="Cancelled"/>
    <x v="1"/>
    <s v="Clean"/>
  </r>
  <r>
    <s v="ORD-2025-10520"/>
    <n v="1"/>
    <s v="Unique"/>
    <s v="03-07-2025"/>
    <s v="2025-07-07"/>
    <d v="2025-03-07T00:00:00"/>
    <d v="2025-07-07T00:00:00"/>
    <x v="11"/>
    <x v="1"/>
    <s v="Valid"/>
    <s v="Valid"/>
    <n v="122"/>
    <s v="CUST-3258"/>
    <s v="Priya Menon"/>
    <s v="Priya Menon"/>
    <s v="Consumer"/>
    <x v="0"/>
    <s v="North"/>
    <x v="0"/>
    <s v="Uttar Pradesh"/>
    <s v="Uttar Pradesh"/>
    <s v="Noida"/>
    <s v="Noida"/>
    <s v="Furniture"/>
    <x v="1"/>
    <s v="Tables"/>
    <x v="1"/>
    <s v="Pro Tables 412"/>
    <s v="Standard Class"/>
    <x v="3"/>
    <n v="4"/>
    <n v="4365.21"/>
    <n v="0.2"/>
    <n v="0.2"/>
    <s v="Valid"/>
    <n v="13968.67"/>
    <n v="13968.672"/>
    <n v="8857.58"/>
    <n v="5111.09"/>
    <n v="5111.0920000000006"/>
    <n v="-8857.58"/>
    <s v="Pending"/>
    <s v="Pending"/>
    <s v="Cancelled"/>
    <x v="1"/>
    <s v="Clean"/>
  </r>
  <r>
    <s v="ORD-2024-10521"/>
    <n v="1"/>
    <s v="Unique"/>
    <s v="2024-07-16"/>
    <s v="23 Jul 2024"/>
    <d v="2024-07-16T00:00:00"/>
    <d v="2024-07-23T00:00:00"/>
    <x v="0"/>
    <x v="0"/>
    <s v="Valid"/>
    <s v="Valid"/>
    <n v="7"/>
    <s v="CUST-2155"/>
    <s v="Aarav Sharma"/>
    <s v="Aarav Sharma"/>
    <s v="Home Office"/>
    <x v="3"/>
    <s v="South"/>
    <x v="2"/>
    <s v="Karnataka"/>
    <s v="Karnataka"/>
    <s v="Bengaluru"/>
    <s v="Bengaluru"/>
    <s v="Technology"/>
    <x v="2"/>
    <s v="Machines"/>
    <x v="12"/>
    <s v="Prime Machines 393"/>
    <s v="Same Day"/>
    <x v="1"/>
    <n v="1"/>
    <n v="1695.91"/>
    <n v="0.05"/>
    <n v="0.05"/>
    <s v="Valid"/>
    <n v="1611.11"/>
    <n v="1611.1144999999999"/>
    <n v="895.15"/>
    <n v="715.96"/>
    <n v="715.96449999999993"/>
    <n v="-895.15"/>
    <s v="Paid"/>
    <s v="Paid"/>
    <s v="Completed"/>
    <x v="0"/>
    <s v="Clean"/>
  </r>
  <r>
    <s v="ORD-2025-10522"/>
    <n v="1"/>
    <s v="Unique"/>
    <s v="2025-03-25"/>
    <s v="2025-04-01"/>
    <d v="2025-03-25T00:00:00"/>
    <d v="2025-01-04T00:00:00"/>
    <x v="11"/>
    <x v="1"/>
    <s v="Valid"/>
    <s v="Valid"/>
    <n v="-80"/>
    <s v="CUST-8012"/>
    <s v="Diya Patel"/>
    <s v="Diya Patel"/>
    <s v="Consumer"/>
    <x v="0"/>
    <s v="North"/>
    <x v="0"/>
    <s v="Punjab"/>
    <s v="Punjab"/>
    <s v="Ludhiana"/>
    <s v="Ludhiana"/>
    <s v="Office Supplies"/>
    <x v="0"/>
    <s v="Labels"/>
    <x v="7"/>
    <s v="Classic Labels 776"/>
    <s v="Second Class"/>
    <x v="0"/>
    <n v="6"/>
    <n v="2192.11"/>
    <n v="0.05"/>
    <n v="0.05"/>
    <s v="Valid"/>
    <n v="12495.03"/>
    <n v="12495.027"/>
    <n v="9184.52"/>
    <n v="3310.51"/>
    <n v="3310.5069999999996"/>
    <n v="-9184.52"/>
    <s v="Paid"/>
    <s v="Paid"/>
    <s v="Completed"/>
    <x v="0"/>
    <s v="Clean"/>
  </r>
  <r>
    <s v="ORD-2025-10523"/>
    <n v="1"/>
    <s v="Unique"/>
    <s v="02/28/2025"/>
    <s v="08 Mar 2025"/>
    <d v="2025-02-28T00:00:00"/>
    <d v="2025-08-03T00:00:00"/>
    <x v="6"/>
    <x v="1"/>
    <s v="Valid"/>
    <s v="Valid"/>
    <n v="156"/>
    <s v="CUST-2917"/>
    <s v="Neha Gupta"/>
    <s v="Neha Gupta"/>
    <s v="Small Business"/>
    <x v="1"/>
    <s v="East"/>
    <x v="1"/>
    <s v="Jharkhand"/>
    <s v="Jharkhand"/>
    <s v="Ranchi"/>
    <s v="Ranchi"/>
    <s v="Technology"/>
    <x v="2"/>
    <s v="Phones"/>
    <x v="11"/>
    <s v="Max Phones 612"/>
    <s v="First Class"/>
    <x v="2"/>
    <n v="9"/>
    <n v="3670.54"/>
    <n v="0"/>
    <n v="0"/>
    <s v="Valid"/>
    <n v="33034.86"/>
    <n v="33034.86"/>
    <n v="24539.83"/>
    <n v="8495.0300000000007"/>
    <n v="8495.0299999999988"/>
    <n v="-24539.83"/>
    <s v="Paid"/>
    <s v="Paid"/>
    <s v="Completed"/>
    <x v="0"/>
    <s v="Clean"/>
  </r>
  <r>
    <s v="ORD-2024-10524"/>
    <n v="2"/>
    <s v="Unique"/>
    <s v="02-04-2024"/>
    <s v="2024-04-03"/>
    <d v="2024-02-04T00:00:00"/>
    <d v="2024-03-04T00:00:00"/>
    <x v="6"/>
    <x v="0"/>
    <s v="Valid"/>
    <s v="Valid"/>
    <n v="29"/>
    <s v="CUST-4653"/>
    <s v="Kabir Singh"/>
    <s v="Kabir Singh"/>
    <s v="Home Office"/>
    <x v="3"/>
    <s v="West"/>
    <x v="3"/>
    <s v="Goa"/>
    <s v="Goa"/>
    <s v="Panaji"/>
    <s v="Panaji"/>
    <s v="Office Supplies"/>
    <x v="0"/>
    <s v="Paper"/>
    <x v="0"/>
    <s v="Basic Paper 315"/>
    <s v="Second Class"/>
    <x v="0"/>
    <n v="2"/>
    <n v="2902.63"/>
    <n v="0"/>
    <n v="0"/>
    <s v="Valid"/>
    <n v="5805.26"/>
    <n v="5805.26"/>
    <n v="4654.3599999999997"/>
    <n v="1150.9000000000001"/>
    <n v="1150.9000000000005"/>
    <n v="-4654.3599999999997"/>
    <s v="Paid"/>
    <s v="Paid"/>
    <s v="Returned"/>
    <x v="2"/>
    <s v="Clean"/>
  </r>
  <r>
    <s v="ORD-2024-10525"/>
    <n v="1"/>
    <s v="Unique"/>
    <s v="30 Nov 2024"/>
    <s v="01 Dec 2024"/>
    <d v="2024-11-30T00:00:00"/>
    <d v="2024-01-12T00:00:00"/>
    <x v="3"/>
    <x v="0"/>
    <s v="Valid"/>
    <s v="Valid"/>
    <n v="-323"/>
    <s v="CUST-3311"/>
    <s v="Ananya Rao"/>
    <s v="Ananya Rao"/>
    <s v="Corporate"/>
    <x v="2"/>
    <s v="West"/>
    <x v="3"/>
    <s v="Gujarat"/>
    <s v="Gujarat"/>
    <s v="Ahmedabad"/>
    <s v="Ahmedabad"/>
    <s v="Furniture"/>
    <x v="1"/>
    <s v="Chairs"/>
    <x v="4"/>
    <s v="Basic Chairs 333"/>
    <s v="First Class"/>
    <x v="2"/>
    <n v="9"/>
    <n v="4207.3599999999997"/>
    <n v="0.1"/>
    <n v="0.1"/>
    <s v="Valid"/>
    <n v="34079.620000000003"/>
    <n v="34079.616000000002"/>
    <n v="21871.39"/>
    <n v="12208.23"/>
    <n v="12208.226000000002"/>
    <n v="-21871.39"/>
    <s v="Paid"/>
    <s v="Paid"/>
    <s v="Completed"/>
    <x v="0"/>
    <s v="Clean"/>
  </r>
  <r>
    <s v="ORD-2024-10526"/>
    <n v="1"/>
    <s v="Unique"/>
    <s v="10/17/2024"/>
    <s v="2024-10-17"/>
    <d v="2024-10-17T00:00:00"/>
    <d v="2024-10-17T00:00:00"/>
    <x v="10"/>
    <x v="0"/>
    <s v="Valid"/>
    <s v="Valid"/>
    <n v="0"/>
    <s v="CUST-2924"/>
    <s v="Priya Menon"/>
    <s v="Priya Menon"/>
    <s v="Home Office"/>
    <x v="3"/>
    <s v="East"/>
    <x v="1"/>
    <s v="West Bengal"/>
    <s v="West Bengal"/>
    <s v="Kolkata"/>
    <s v="Kolkata"/>
    <s v="Furniture"/>
    <x v="1"/>
    <s v="Chairs"/>
    <x v="4"/>
    <s v="Prime Chairs 215"/>
    <s v="Standard Class"/>
    <x v="3"/>
    <n v="5"/>
    <n v="2524.4"/>
    <n v="0.1"/>
    <n v="0.1"/>
    <s v="Valid"/>
    <n v="11359.8"/>
    <n v="11359.800000000001"/>
    <n v="7062.44"/>
    <n v="4297.3599999999997"/>
    <n v="4297.3600000000015"/>
    <n v="-7062.44"/>
    <s v="Paid"/>
    <s v="Paid"/>
    <s v="Completed"/>
    <x v="0"/>
    <s v="Clean"/>
  </r>
  <r>
    <s v="ORD-2025-10527"/>
    <n v="1"/>
    <s v="Unique"/>
    <s v="2025-07-18"/>
    <s v="21 Jul 2025"/>
    <d v="2025-07-18T00:00:00"/>
    <d v="2025-07-21T00:00:00"/>
    <x v="0"/>
    <x v="1"/>
    <s v="Valid"/>
    <s v="Valid"/>
    <n v="3"/>
    <s v="CUST-7198"/>
    <s v="Priya Menon"/>
    <s v="Priya Menon"/>
    <s v="Consumer"/>
    <x v="0"/>
    <s v="East"/>
    <x v="1"/>
    <s v="Odisha"/>
    <s v="Odisha"/>
    <s v="Bhubaneswar"/>
    <s v="Bhubaneswar"/>
    <s v="Furniture"/>
    <x v="1"/>
    <s v="Tables"/>
    <x v="1"/>
    <s v="Elite Tables 815"/>
    <s v="Second Class"/>
    <x v="0"/>
    <n v="4"/>
    <n v="284.04000000000002"/>
    <s v="Unknown"/>
    <s v="Unknown"/>
    <s v="Invalid - Above Range"/>
    <n v="908.93"/>
    <s v="Unknown"/>
    <n v="572.08000000000004"/>
    <n v="336.85"/>
    <s v="Unknown"/>
    <s v="Unknown"/>
    <s v="Paid"/>
    <s v="Paid"/>
    <s v="Completed"/>
    <x v="0"/>
    <s v="Needs Review"/>
  </r>
  <r>
    <s v="ORD-2025-10528"/>
    <n v="1"/>
    <s v="Unique"/>
    <s v="01-10-2025"/>
    <s v="2025-10-05"/>
    <d v="2025-01-10T00:00:00"/>
    <d v="2025-05-10T00:00:00"/>
    <x v="8"/>
    <x v="1"/>
    <s v="Valid"/>
    <s v="Valid"/>
    <n v="120"/>
    <s v="CUST-3419"/>
    <s v="Aditi Sen"/>
    <s v="Aditi Sen"/>
    <s v="Home Office"/>
    <x v="3"/>
    <s v="North"/>
    <x v="0"/>
    <s v="Haryana"/>
    <s v="Haryana"/>
    <s v="Gurugram"/>
    <s v="Gurugram"/>
    <s v="Office Supplies"/>
    <x v="0"/>
    <s v="Paper"/>
    <x v="0"/>
    <s v="Basic Paper 388"/>
    <s v="First Class"/>
    <x v="2"/>
    <n v="5"/>
    <n v="3247.56"/>
    <n v="0.15"/>
    <n v="0.15"/>
    <s v="Valid"/>
    <n v="13802.13"/>
    <n v="13802.13"/>
    <n v="10075.93"/>
    <n v="3726.2"/>
    <n v="3726.1999999999989"/>
    <n v="-10075.93"/>
    <s v="Paid"/>
    <s v="Paid"/>
    <s v="Completed"/>
    <x v="0"/>
    <s v="Clean"/>
  </r>
  <r>
    <s v="ORD-2024-10529"/>
    <n v="1"/>
    <s v="Unique"/>
    <s v="2024-10-07"/>
    <s v="09-10-2024"/>
    <d v="2024-07-10T00:00:00"/>
    <d v="2024-09-10T00:00:00"/>
    <x v="0"/>
    <x v="0"/>
    <s v="Valid"/>
    <s v="Valid"/>
    <n v="62"/>
    <s v="CUST-2390"/>
    <s v="Diya Patel"/>
    <s v="Diya Patel"/>
    <s v="Consumer"/>
    <x v="0"/>
    <s v="South"/>
    <x v="2"/>
    <s v="Tamil Nadu"/>
    <s v="Tamil Nadu"/>
    <s v="Chennai"/>
    <s v="Chennai"/>
    <s v="Office Supplies"/>
    <x v="0"/>
    <s v="Binders"/>
    <x v="9"/>
    <s v="Eco Binders 855"/>
    <s v="Standard Class"/>
    <x v="3"/>
    <n v="9"/>
    <n v="3457.09"/>
    <n v="0.05"/>
    <n v="0.05"/>
    <s v="Valid"/>
    <n v="29558.12"/>
    <n v="29558.119500000001"/>
    <n v="21302.13"/>
    <n v="8255.99"/>
    <n v="8255.9894999999997"/>
    <n v="-21302.13"/>
    <s v="Pending"/>
    <s v="Pending"/>
    <s v="Returned"/>
    <x v="2"/>
    <s v="Clean"/>
  </r>
  <r>
    <s v="ORD-2024-10530"/>
    <n v="3"/>
    <s v="Unique"/>
    <s v="2024-02-06"/>
    <s v="2024-02-08"/>
    <d v="2024-06-02T00:00:00"/>
    <d v="2024-08-02T00:00:00"/>
    <x v="2"/>
    <x v="0"/>
    <s v="Valid"/>
    <s v="Valid"/>
    <n v="61"/>
    <s v="CUST-3362"/>
    <s v="Karan Malhotra"/>
    <s v="Karan Malhotra"/>
    <s v="Consumer"/>
    <x v="0"/>
    <s v="East"/>
    <x v="1"/>
    <s v="Jharkhand"/>
    <s v="Jharkhand"/>
    <s v="Ranchi"/>
    <s v="Ranchi"/>
    <s v="Furniture"/>
    <x v="1"/>
    <s v="Bookcases"/>
    <x v="10"/>
    <s v="Classic Bookcases 947"/>
    <s v="Second Class"/>
    <x v="0"/>
    <n v="9"/>
    <n v="1822.25"/>
    <n v="0"/>
    <n v="0"/>
    <s v="Valid"/>
    <n v="16400.25"/>
    <n v="16400.25"/>
    <n v="12146.96"/>
    <n v="4253.29"/>
    <n v="4253.2900000000009"/>
    <n v="-12146.96"/>
    <s v="Paid"/>
    <s v="Paid"/>
    <s v="Completed"/>
    <x v="0"/>
    <s v="Clean"/>
  </r>
  <r>
    <s v="ORD-2025-10531"/>
    <n v="1"/>
    <s v="Unique"/>
    <s v="05/30/2025"/>
    <s v="2025-06-01"/>
    <d v="2025-05-30T00:00:00"/>
    <d v="2025-01-06T00:00:00"/>
    <x v="4"/>
    <x v="1"/>
    <s v="Valid"/>
    <s v="Valid"/>
    <n v="-144"/>
    <s v="CUST-8177"/>
    <s v="Rahul Verma"/>
    <s v="Rahul Verma"/>
    <s v="Home Office"/>
    <x v="3"/>
    <s v="South"/>
    <x v="2"/>
    <s v="Tamil Nadu"/>
    <s v="Tamil Nadu"/>
    <s v="Chennai"/>
    <s v="Chennai"/>
    <s v="Office Supplies"/>
    <x v="0"/>
    <s v="Binders"/>
    <x v="9"/>
    <s v="Eco Binders 352"/>
    <s v="Standard Class"/>
    <x v="3"/>
    <n v="9"/>
    <n v="1994.51"/>
    <n v="0.05"/>
    <n v="0.05"/>
    <s v="Valid"/>
    <n v="17053.060000000001"/>
    <n v="17053.0605"/>
    <n v="10742.38"/>
    <n v="6310.68"/>
    <n v="6310.6805000000004"/>
    <n v="-10742.38"/>
    <s v="Paid"/>
    <s v="Paid"/>
    <s v="Completed"/>
    <x v="0"/>
    <s v="Clean"/>
  </r>
  <r>
    <s v="ORD-2024-10532"/>
    <n v="1"/>
    <s v="Unique"/>
    <s v="01 Aug 2024"/>
    <s v="08-08-2024"/>
    <d v="2024-01-08T00:00:00"/>
    <d v="2024-08-08T00:00:00"/>
    <x v="8"/>
    <x v="0"/>
    <s v="Valid"/>
    <s v="Valid"/>
    <n v="213"/>
    <s v="CUST-6357"/>
    <s v="Diya Patel"/>
    <s v="Diya Patel"/>
    <s v="Small Business"/>
    <x v="1"/>
    <s v="West"/>
    <x v="3"/>
    <s v="Maharashtra"/>
    <s v="Maharashtra"/>
    <s v="Mumbai"/>
    <s v="Mumbai"/>
    <s v="Office Supplies"/>
    <x v="0"/>
    <s v="Storage"/>
    <x v="8"/>
    <s v="Pro Storage 364"/>
    <s v="Unknown"/>
    <x v="4"/>
    <n v="1"/>
    <n v="442.97"/>
    <n v="0.1"/>
    <n v="0.1"/>
    <s v="Valid"/>
    <n v="398.67"/>
    <n v="398.67300000000006"/>
    <n v="311.66000000000003"/>
    <n v="87.01"/>
    <n v="87.013000000000034"/>
    <n v="-311.66000000000003"/>
    <s v="Paid"/>
    <s v="Paid"/>
    <s v="Completed"/>
    <x v="0"/>
    <s v="Clean"/>
  </r>
  <r>
    <s v="ORD-2025-10533"/>
    <n v="1"/>
    <s v="Unique"/>
    <s v="2025-10-05"/>
    <s v="2025-10-10"/>
    <d v="2025-05-10T00:00:00"/>
    <d v="2025-10-10T00:00:00"/>
    <x v="4"/>
    <x v="1"/>
    <s v="Valid"/>
    <s v="Valid"/>
    <n v="153"/>
    <s v="CUST-7690"/>
    <s v="Priya Menon"/>
    <s v="Priya Menon"/>
    <s v="Corporate"/>
    <x v="2"/>
    <s v="East"/>
    <x v="1"/>
    <s v="Assam"/>
    <s v="Assam"/>
    <s v="Guwahati"/>
    <s v="Guwahati"/>
    <s v="Furniture"/>
    <x v="1"/>
    <s v="Tables"/>
    <x v="1"/>
    <s v="Classic Tables 213"/>
    <s v="Second Class"/>
    <x v="0"/>
    <n v="9"/>
    <n v="2089.14"/>
    <n v="0.05"/>
    <n v="0.05"/>
    <s v="Valid"/>
    <n v="17862.150000000001"/>
    <n v="17862.146999999997"/>
    <n v="9892.2099999999991"/>
    <n v="7969.94"/>
    <n v="7969.9369999999981"/>
    <n v="-9892.2099999999991"/>
    <s v="Failed"/>
    <s v="Failed"/>
    <s v="Cancelled"/>
    <x v="1"/>
    <s v="Clean"/>
  </r>
  <r>
    <s v="ORD-2024-10534"/>
    <n v="1"/>
    <s v="Unique"/>
    <s v="25 Aug 2024"/>
    <s v="2024-09-01"/>
    <d v="2024-08-25T00:00:00"/>
    <d v="2024-01-09T00:00:00"/>
    <x v="1"/>
    <x v="0"/>
    <s v="Valid"/>
    <s v="Valid"/>
    <n v="-229"/>
    <s v="CUST-4487"/>
    <s v="Isha Nair"/>
    <s v="Isha Nair"/>
    <s v="Home Office"/>
    <x v="3"/>
    <s v="North"/>
    <x v="0"/>
    <s v="Rajasthan"/>
    <s v="Rajasthan"/>
    <s v="Jaipur"/>
    <s v="Jaipur"/>
    <s v="Furniture"/>
    <x v="1"/>
    <s v="Tables"/>
    <x v="1"/>
    <s v="Smart Tables 659"/>
    <s v="Same Day"/>
    <x v="1"/>
    <n v="6"/>
    <n v="481.3"/>
    <n v="0.25"/>
    <n v="0.25"/>
    <s v="Valid"/>
    <n v="2165.85"/>
    <n v="2165.8500000000004"/>
    <n v="2124.48"/>
    <n v="430.45"/>
    <n v="41.370000000000346"/>
    <n v="-2124.48"/>
    <s v="Paid"/>
    <s v="Paid"/>
    <s v="Completed"/>
    <x v="0"/>
    <s v="Clean"/>
  </r>
  <r>
    <s v="ORD-2025-10535"/>
    <n v="1"/>
    <s v="Unique"/>
    <s v="04/27/2025"/>
    <s v="2025-05-05"/>
    <d v="2025-04-27T00:00:00"/>
    <d v="2025-05-05T00:00:00"/>
    <x v="5"/>
    <x v="1"/>
    <s v="Valid"/>
    <s v="Valid"/>
    <n v="8"/>
    <s v="CUST-8204"/>
    <s v="Rohan Mehta"/>
    <s v="Rohan Mehta"/>
    <s v="Home Office"/>
    <x v="3"/>
    <s v="East"/>
    <x v="1"/>
    <s v="Bihar"/>
    <s v="Bihar"/>
    <s v="Patna"/>
    <s v="Patna"/>
    <s v="Technology"/>
    <x v="2"/>
    <s v="Accessories"/>
    <x v="5"/>
    <s v="Classic Accessories 325"/>
    <s v="Second Class"/>
    <x v="0"/>
    <n v="4"/>
    <n v="3963.39"/>
    <n v="0.1"/>
    <n v="0.1"/>
    <s v="Valid"/>
    <n v="14268.2"/>
    <n v="14268.204"/>
    <n v="11705.3"/>
    <n v="2562.9"/>
    <n v="2562.9040000000005"/>
    <n v="-11705.3"/>
    <s v="Pending"/>
    <s v="Pending"/>
    <s v="Returned"/>
    <x v="2"/>
    <s v="Clean"/>
  </r>
  <r>
    <s v="ORD-2024-10536"/>
    <n v="1"/>
    <s v="Unique"/>
    <s v="19-05-2024"/>
    <s v="21 May 2024"/>
    <d v="2024-05-19T00:00:00"/>
    <d v="2024-05-21T00:00:00"/>
    <x v="4"/>
    <x v="0"/>
    <s v="Valid"/>
    <s v="Valid"/>
    <n v="2"/>
    <s v="CUST-1729"/>
    <s v="Diya Patel"/>
    <s v="Diya Patel"/>
    <s v="Small Business"/>
    <x v="1"/>
    <s v="West"/>
    <x v="3"/>
    <s v="Maharashtra"/>
    <s v="Maharashtra"/>
    <s v="Mumbai"/>
    <s v="Mumbai"/>
    <s v="Technology"/>
    <x v="2"/>
    <s v="Copiers"/>
    <x v="6"/>
    <s v="Eco Copiers 243"/>
    <s v="First Class"/>
    <x v="2"/>
    <n v="3"/>
    <n v="4000.98"/>
    <n v="0.2"/>
    <n v="0.2"/>
    <s v="Valid"/>
    <n v="9602.35"/>
    <n v="9602.3520000000008"/>
    <n v="7387.57"/>
    <n v="2214.7800000000002"/>
    <n v="2214.7820000000011"/>
    <n v="-7387.57"/>
    <s v="Paid"/>
    <s v="Paid"/>
    <s v="Completed"/>
    <x v="0"/>
    <s v="Clean"/>
  </r>
  <r>
    <s v="ORD-2025-10537"/>
    <n v="2"/>
    <s v="Unique"/>
    <s v="2025-04-10"/>
    <s v="2025-04-17"/>
    <d v="2025-10-04T00:00:00"/>
    <d v="2025-04-17T00:00:00"/>
    <x v="10"/>
    <x v="1"/>
    <s v="Valid"/>
    <s v="Valid"/>
    <n v="-170"/>
    <s v="CUST-4269"/>
    <s v="Ananya Rao"/>
    <s v="Ananya Rao"/>
    <s v="Small Business"/>
    <x v="1"/>
    <s v="West"/>
    <x v="3"/>
    <s v="Rajasthan"/>
    <s v="Rajasthan"/>
    <s v="Udaipur"/>
    <s v="Udaipur"/>
    <s v="Furniture"/>
    <x v="1"/>
    <s v="Chairs"/>
    <x v="4"/>
    <s v="Elite Chairs 777"/>
    <s v="First Class"/>
    <x v="2"/>
    <n v="7"/>
    <n v="3788.9"/>
    <n v="0.25"/>
    <n v="0.25"/>
    <s v="Valid"/>
    <n v="19891.72"/>
    <n v="19891.724999999999"/>
    <n v="12295.76"/>
    <n v="7595.96"/>
    <n v="7595.9649999999983"/>
    <n v="-12295.76"/>
    <s v="Failed"/>
    <s v="Failed"/>
    <s v="Cancelled"/>
    <x v="1"/>
    <s v="Clean"/>
  </r>
  <r>
    <s v="ORD-2024-10538"/>
    <n v="5"/>
    <s v="Unique"/>
    <s v="2024-01-22"/>
    <s v="2024-01-30"/>
    <d v="2024-01-22T00:00:00"/>
    <d v="2024-01-30T00:00:00"/>
    <x v="8"/>
    <x v="0"/>
    <s v="Valid"/>
    <s v="Valid"/>
    <n v="8"/>
    <s v="CUST-1370"/>
    <s v="Ananya Rao"/>
    <s v="Ananya Rao"/>
    <s v="Small Business"/>
    <x v="1"/>
    <s v="North"/>
    <x v="0"/>
    <s v="Haryana"/>
    <s v="Haryana"/>
    <s v="Gurugram"/>
    <s v="Gurugram"/>
    <s v="Office Supplies"/>
    <x v="0"/>
    <s v="Art"/>
    <x v="2"/>
    <s v="Classic Art 772"/>
    <s v="Same Day"/>
    <x v="1"/>
    <n v="3"/>
    <n v="676.37"/>
    <n v="0.05"/>
    <n v="0.05"/>
    <s v="Valid"/>
    <n v="1927.65"/>
    <n v="1927.6545000000001"/>
    <n v="1460.6"/>
    <n v="467.05"/>
    <n v="467.05450000000019"/>
    <n v="-1460.6"/>
    <s v="Failed"/>
    <s v="Failed"/>
    <s v="Cancelled"/>
    <x v="1"/>
    <s v="Clean"/>
  </r>
  <r>
    <s v="ORD-2024-10539"/>
    <n v="2"/>
    <s v="Unique"/>
    <s v="25-09-2024"/>
    <s v="01-10-2024"/>
    <d v="2024-09-25T00:00:00"/>
    <d v="2024-01-10T00:00:00"/>
    <x v="9"/>
    <x v="0"/>
    <s v="Valid"/>
    <s v="Valid"/>
    <n v="-259"/>
    <s v="CUST-5381"/>
    <s v="Diya Patel"/>
    <s v="Diya Patel"/>
    <s v="Small Business"/>
    <x v="1"/>
    <s v="East"/>
    <x v="1"/>
    <s v="Jharkhand"/>
    <s v="Jharkhand"/>
    <s v="Ranchi"/>
    <s v="Ranchi"/>
    <s v="Furniture"/>
    <x v="1"/>
    <s v="Tables"/>
    <x v="1"/>
    <s v="Elite Tables 888"/>
    <s v="Second Class"/>
    <x v="0"/>
    <n v="9"/>
    <n v="3908.6"/>
    <n v="0.15"/>
    <n v="0.15"/>
    <s v="Valid"/>
    <n v="29900.79"/>
    <n v="29900.79"/>
    <n v="24650.67"/>
    <n v="5250.12"/>
    <n v="5250.1200000000026"/>
    <n v="-24650.67"/>
    <s v="Paid"/>
    <s v="Paid"/>
    <s v="Completed"/>
    <x v="0"/>
    <s v="Clean"/>
  </r>
  <r>
    <s v="ORD-2025-10540"/>
    <n v="1"/>
    <s v="Unique"/>
    <s v="07/04/2025"/>
    <s v="2025-07-04"/>
    <d v="2025-07-04T00:00:00"/>
    <d v="2025-04-07T00:00:00"/>
    <x v="0"/>
    <x v="1"/>
    <s v="Valid"/>
    <s v="Valid"/>
    <n v="-88"/>
    <s v="CUST-3694"/>
    <s v="Mira Das"/>
    <s v="Mira Das"/>
    <s v="Small Business"/>
    <x v="1"/>
    <s v="South"/>
    <x v="2"/>
    <s v="Tamil Nadu"/>
    <s v="Tamil Nadu"/>
    <s v="Chennai"/>
    <s v="Chennai"/>
    <s v="Furniture"/>
    <x v="1"/>
    <s v="Chairs"/>
    <x v="4"/>
    <s v="Classic Chairs 666"/>
    <s v="Standard Class"/>
    <x v="3"/>
    <n v="3"/>
    <n v="705.35"/>
    <n v="0.1"/>
    <n v="0.1"/>
    <s v="Valid"/>
    <n v="1904.45"/>
    <n v="1904.4450000000002"/>
    <n v="1316.54"/>
    <n v="587.91"/>
    <n v="587.9050000000002"/>
    <n v="-1316.54"/>
    <s v="Paid"/>
    <s v="Paid"/>
    <s v="Cancelled"/>
    <x v="1"/>
    <s v="Clean"/>
  </r>
  <r>
    <s v="ORD-2024-10541"/>
    <n v="1"/>
    <s v="Unique"/>
    <s v="26-02-2024"/>
    <s v="23 Feb 2024"/>
    <d v="2024-02-26T00:00:00"/>
    <d v="2024-02-23T00:00:00"/>
    <x v="6"/>
    <x v="0"/>
    <s v="Valid"/>
    <s v="Valid"/>
    <n v="-3"/>
    <s v="CUST-7563"/>
    <s v="Kabir Singh"/>
    <s v="Kabir Singh"/>
    <s v="Consumer"/>
    <x v="0"/>
    <s v="West"/>
    <x v="3"/>
    <s v="Gujarat"/>
    <s v="Gujarat"/>
    <s v="Ahmedabad"/>
    <s v="Ahmedabad"/>
    <s v="Furniture"/>
    <x v="1"/>
    <s v="Furnishings"/>
    <x v="3"/>
    <s v="Basic Furnishings 350"/>
    <s v="Standard Class"/>
    <x v="3"/>
    <n v="7"/>
    <n v="3852.07"/>
    <n v="0.2"/>
    <n v="0.2"/>
    <s v="Valid"/>
    <n v="21571.59"/>
    <n v="21571.592000000004"/>
    <n v="17118.07"/>
    <n v="4453.5200000000004"/>
    <n v="4453.5220000000045"/>
    <n v="-17118.07"/>
    <s v="Paid"/>
    <s v="Paid"/>
    <s v="Completed"/>
    <x v="0"/>
    <s v="Clean"/>
  </r>
  <r>
    <s v="ORD-2025-10542"/>
    <n v="1"/>
    <s v="Unique"/>
    <s v="08-07-2025"/>
    <s v="2025-07-09"/>
    <d v="2025-08-07T00:00:00"/>
    <d v="2025-09-07T00:00:00"/>
    <x v="1"/>
    <x v="1"/>
    <s v="Valid"/>
    <s v="Valid"/>
    <n v="31"/>
    <s v="CUST-4188"/>
    <s v="Sneha Kapoor"/>
    <s v="Sneha Kapoor"/>
    <s v="Consumer"/>
    <x v="0"/>
    <s v="West"/>
    <x v="3"/>
    <s v="Maharashtra"/>
    <s v="Maharashtra"/>
    <s v="Mumbai"/>
    <s v="Mumbai"/>
    <s v="Technology"/>
    <x v="2"/>
    <s v="Copiers"/>
    <x v="6"/>
    <s v="Elite Copiers 831"/>
    <s v="Same Day"/>
    <x v="1"/>
    <n v="3"/>
    <n v="2880.56"/>
    <n v="0"/>
    <n v="0"/>
    <s v="Valid"/>
    <n v="8641.68"/>
    <n v="8641.68"/>
    <n v="5747.09"/>
    <n v="2894.59"/>
    <n v="2894.59"/>
    <n v="-5747.09"/>
    <s v="Paid"/>
    <s v="Paid"/>
    <s v="Returned"/>
    <x v="2"/>
    <s v="Clean"/>
  </r>
  <r>
    <s v="ORD-2024-10543"/>
    <n v="1"/>
    <s v="Unique"/>
    <s v="09/17/2024"/>
    <s v="2024-09-23"/>
    <d v="2024-09-17T00:00:00"/>
    <d v="2024-09-23T00:00:00"/>
    <x v="9"/>
    <x v="0"/>
    <s v="Valid"/>
    <s v="Valid"/>
    <n v="6"/>
    <s v="CUST-9376"/>
    <s v="Rahul Verma"/>
    <s v="Rahul Verma"/>
    <s v="Home Office"/>
    <x v="3"/>
    <s v="South"/>
    <x v="2"/>
    <s v="Kerala"/>
    <s v="Kerala"/>
    <s v="Kochi"/>
    <s v="Kochi"/>
    <s v="Furniture"/>
    <x v="1"/>
    <s v="Bookcases"/>
    <x v="10"/>
    <s v="Eco Bookcases 759"/>
    <s v="Second Class"/>
    <x v="0"/>
    <n v="3"/>
    <n v="4067.62"/>
    <n v="0.2"/>
    <n v="0.2"/>
    <s v="Valid"/>
    <n v="9988.5300000000007"/>
    <n v="9762.2880000000005"/>
    <n v="8368.24"/>
    <n v="1394.05"/>
    <n v="1394.0480000000007"/>
    <n v="-8368.24"/>
    <s v="Paid"/>
    <s v="Paid"/>
    <s v="Cancelled"/>
    <x v="1"/>
    <s v="Clean"/>
  </r>
  <r>
    <s v="ORD-2024-10544"/>
    <n v="1"/>
    <s v="Unique"/>
    <s v="2024-07-14"/>
    <s v="20-07-2024"/>
    <d v="2024-07-14T00:00:00"/>
    <d v="2024-07-20T00:00:00"/>
    <x v="0"/>
    <x v="0"/>
    <s v="Valid"/>
    <s v="Valid"/>
    <n v="6"/>
    <s v="CUST-9094"/>
    <s v="Mira Das"/>
    <s v="Mira Das"/>
    <s v="Consumer"/>
    <x v="0"/>
    <s v="East"/>
    <x v="1"/>
    <s v="Bihar"/>
    <s v="Bihar"/>
    <s v="Patna"/>
    <s v="Patna"/>
    <s v="Technology"/>
    <x v="2"/>
    <s v="Copiers"/>
    <x v="6"/>
    <s v="Max Copiers 440"/>
    <s v="Same Day"/>
    <x v="1"/>
    <n v="1"/>
    <n v="492.67"/>
    <n v="0.15"/>
    <n v="0.15"/>
    <s v="Valid"/>
    <n v="418.77"/>
    <n v="418.76949999999999"/>
    <n v="313.72000000000003"/>
    <n v="105.05"/>
    <n v="105.04949999999997"/>
    <n v="-313.72000000000003"/>
    <s v="Paid"/>
    <s v="Paid"/>
    <s v="Completed"/>
    <x v="0"/>
    <s v="Clean"/>
  </r>
  <r>
    <s v="ORD-2025-10545"/>
    <n v="1"/>
    <s v="Unique"/>
    <s v="2025-01-29"/>
    <s v="02/05/2025"/>
    <d v="2025-01-29T00:00:00"/>
    <d v="2025-02-05T00:00:00"/>
    <x v="8"/>
    <x v="1"/>
    <s v="Valid"/>
    <s v="Valid"/>
    <n v="7"/>
    <s v="CUST-2366"/>
    <s v="Ananya Rao"/>
    <s v="Ananya Rao"/>
    <s v="Consumer"/>
    <x v="0"/>
    <s v="South"/>
    <x v="2"/>
    <s v="Kerala"/>
    <s v="Kerala"/>
    <s v="Kochi"/>
    <s v="Kochi"/>
    <s v="Office Supplies"/>
    <x v="0"/>
    <s v="Art"/>
    <x v="2"/>
    <s v="Smart Art 201"/>
    <s v="Same Day"/>
    <x v="1"/>
    <n v="8"/>
    <n v="3643.62"/>
    <n v="0.25"/>
    <n v="0.25"/>
    <s v="Valid"/>
    <n v="21861.72"/>
    <n v="21861.72"/>
    <n v="18464.34"/>
    <n v="3397.38"/>
    <n v="3397.380000000001"/>
    <n v="-18464.34"/>
    <s v="Paid"/>
    <s v="Paid"/>
    <s v="Cancelled"/>
    <x v="1"/>
    <s v="Clean"/>
  </r>
  <r>
    <s v="ORD-2024-10546"/>
    <n v="1"/>
    <s v="Unique"/>
    <s v="05/27/2024"/>
    <s v="30 May 2024"/>
    <d v="2024-05-27T00:00:00"/>
    <d v="2024-05-30T00:00:00"/>
    <x v="4"/>
    <x v="0"/>
    <s v="Valid"/>
    <s v="Valid"/>
    <n v="3"/>
    <s v="CUST-7168"/>
    <s v="Kabir Singh"/>
    <s v="Kabir Singh"/>
    <s v="Small Business"/>
    <x v="1"/>
    <s v="East"/>
    <x v="1"/>
    <s v="Jharkhand"/>
    <s v="Jharkhand"/>
    <s v="Ranchi"/>
    <s v="Ranchi"/>
    <s v="Office Supplies"/>
    <x v="0"/>
    <s v="Storage"/>
    <x v="8"/>
    <s v="Classic Storage 755"/>
    <s v="Same Day"/>
    <x v="1"/>
    <n v="7"/>
    <n v="2900.86"/>
    <n v="0.15"/>
    <n v="0.15"/>
    <s v="Valid"/>
    <n v="17260.12"/>
    <n v="17260.116999999998"/>
    <n v="13513.51"/>
    <n v="3746.61"/>
    <n v="3746.6069999999982"/>
    <n v="-13513.51"/>
    <s v="Paid"/>
    <s v="Paid"/>
    <s v="Completed"/>
    <x v="0"/>
    <s v="Clean"/>
  </r>
  <r>
    <s v="ORD-2025-10547"/>
    <n v="1"/>
    <s v="Unique"/>
    <s v="2025-08-14"/>
    <s v="22 Aug 2025"/>
    <d v="2025-08-14T00:00:00"/>
    <d v="2025-08-22T00:00:00"/>
    <x v="1"/>
    <x v="1"/>
    <s v="Valid"/>
    <s v="Valid"/>
    <n v="8"/>
    <s v="CUST-8157"/>
    <s v="Arjun Bose"/>
    <s v="Arjun Bose"/>
    <s v="Corporate"/>
    <x v="2"/>
    <s v="West"/>
    <x v="3"/>
    <s v="Gujarat"/>
    <s v="Gujarat"/>
    <s v="Ahmedabad"/>
    <s v="Ahmedabad"/>
    <s v="Office Supplies"/>
    <x v="0"/>
    <s v="Paper"/>
    <x v="0"/>
    <s v="Prime Paper 143"/>
    <s v="First Class"/>
    <x v="2"/>
    <n v="5"/>
    <n v="2567.37"/>
    <n v="0.15"/>
    <n v="0.15"/>
    <s v="Valid"/>
    <n v="10911.32"/>
    <n v="10911.322499999998"/>
    <n v="6966.44"/>
    <n v="4395.17"/>
    <n v="3944.8824999999988"/>
    <n v="-6966.44"/>
    <s v="Paid"/>
    <s v="Paid"/>
    <s v="Completed"/>
    <x v="0"/>
    <s v="Clean"/>
  </r>
  <r>
    <s v="ORD-2024-10548"/>
    <n v="2"/>
    <s v="Unique"/>
    <s v="16 May 2024"/>
    <s v="23 May 2024"/>
    <d v="2024-05-16T00:00:00"/>
    <d v="2024-05-23T00:00:00"/>
    <x v="4"/>
    <x v="0"/>
    <s v="Valid"/>
    <s v="Valid"/>
    <n v="7"/>
    <s v="CUST-9146"/>
    <s v="Neha Gupta"/>
    <s v="Neha Gupta"/>
    <s v="Small Business"/>
    <x v="1"/>
    <s v="North"/>
    <x v="0"/>
    <s v="Uttar Pradesh"/>
    <s v="Uttar Pradesh"/>
    <s v="Noida"/>
    <s v="Noida"/>
    <s v="Technology"/>
    <x v="2"/>
    <s v="Copiers"/>
    <x v="6"/>
    <s v="Max Copiers 607"/>
    <s v="Standard Class"/>
    <x v="3"/>
    <n v="9"/>
    <n v="3722.09"/>
    <n v="0.1"/>
    <n v="0.1"/>
    <s v="Valid"/>
    <n v="30148.93"/>
    <n v="30148.929"/>
    <n v="25155.07"/>
    <n v="4993.8599999999997"/>
    <n v="4993.8590000000004"/>
    <n v="-25155.07"/>
    <s v="Paid"/>
    <s v="Paid"/>
    <s v="Completed"/>
    <x v="0"/>
    <s v="Clean"/>
  </r>
  <r>
    <s v="ORD-2024-10549"/>
    <n v="2"/>
    <s v="Unique"/>
    <s v="29 May 2024"/>
    <s v="29-05-2024"/>
    <d v="2024-05-29T00:00:00"/>
    <d v="2024-05-29T00:00:00"/>
    <x v="4"/>
    <x v="0"/>
    <s v="Valid"/>
    <s v="Valid"/>
    <n v="0"/>
    <s v="CUST-5129"/>
    <s v="Rohan Mehta"/>
    <s v="Rohan Mehta"/>
    <s v="Corporate"/>
    <x v="2"/>
    <s v="East"/>
    <x v="1"/>
    <s v="Bihar"/>
    <s v="Bihar"/>
    <s v="Patna"/>
    <s v="Patna"/>
    <s v="Furniture"/>
    <x v="1"/>
    <s v="Bookcases"/>
    <x v="10"/>
    <s v="Prime Bookcases 402"/>
    <s v="Same Day"/>
    <x v="1"/>
    <n v="1"/>
    <n v="1072.01"/>
    <n v="0"/>
    <n v="0"/>
    <s v="Valid"/>
    <n v="1072.01"/>
    <n v="1072.01"/>
    <n v="852.62"/>
    <n v="219.39"/>
    <n v="219.39"/>
    <n v="-852.62"/>
    <s v="Pending"/>
    <s v="Pending"/>
    <s v="Cancelled"/>
    <x v="1"/>
    <s v="Clean"/>
  </r>
  <r>
    <s v="ORD-2025-10550"/>
    <n v="1"/>
    <s v="Exact Duplicate"/>
    <s v="10/11/2025"/>
    <s v="13 Oct 2025"/>
    <d v="2025-10-11T00:00:00"/>
    <d v="2025-10-13T00:00:00"/>
    <x v="10"/>
    <x v="1"/>
    <s v="Valid"/>
    <s v="Valid"/>
    <n v="2"/>
    <s v="CUST-6028"/>
    <s v="Mira Das"/>
    <s v="Mira Das"/>
    <s v="Corporate"/>
    <x v="2"/>
    <s v="South"/>
    <x v="2"/>
    <s v="Telangana"/>
    <s v="Telangana"/>
    <s v="Hyderabad"/>
    <s v="Hyderabad"/>
    <s v="Office Supplies"/>
    <x v="0"/>
    <s v="Art"/>
    <x v="2"/>
    <s v="Pro Art 287"/>
    <s v="Second Class"/>
    <x v="0"/>
    <n v="3"/>
    <n v="3804.27"/>
    <n v="0.1"/>
    <n v="0.1"/>
    <s v="Valid"/>
    <n v="10271.530000000001"/>
    <n v="10271.529"/>
    <n v="8272.24"/>
    <n v="1999.29"/>
    <n v="1999.2890000000007"/>
    <n v="-8272.24"/>
    <s v="Paid"/>
    <s v="Paid"/>
    <s v="Completed"/>
    <x v="0"/>
    <s v="Clean"/>
  </r>
  <r>
    <s v="ORD-2024-10551"/>
    <n v="2"/>
    <s v="Unique"/>
    <s v="02-08-2024"/>
    <s v="08/10/2024"/>
    <d v="2024-02-08T00:00:00"/>
    <d v="2024-08-10T00:00:00"/>
    <x v="6"/>
    <x v="0"/>
    <s v="Valid"/>
    <s v="Valid"/>
    <n v="184"/>
    <s v="CUST-8687"/>
    <s v="Mira Das"/>
    <s v="Mira Das"/>
    <s v="Home Office"/>
    <x v="3"/>
    <s v="East"/>
    <x v="1"/>
    <s v="Odisha"/>
    <s v="Odisha"/>
    <s v="Bhubaneswar"/>
    <s v="Bhubaneswar"/>
    <s v="Technology"/>
    <x v="2"/>
    <s v="Accessories"/>
    <x v="5"/>
    <s v="Max Accessories 591"/>
    <s v="Standard Class"/>
    <x v="3"/>
    <n v="6"/>
    <n v="2126.44"/>
    <n v="0.2"/>
    <n v="0.2"/>
    <s v="Valid"/>
    <n v="10206.91"/>
    <n v="10206.912"/>
    <n v="6764.53"/>
    <n v="3442.38"/>
    <n v="3442.3820000000005"/>
    <n v="-6764.53"/>
    <s v="Paid"/>
    <s v="Paid"/>
    <s v="Completed"/>
    <x v="0"/>
    <s v="Clean"/>
  </r>
  <r>
    <s v="ORD-2024-10552"/>
    <n v="1"/>
    <s v="Unique"/>
    <s v="27-02-2024"/>
    <s v="2024-02-27"/>
    <d v="2024-02-27T00:00:00"/>
    <d v="2024-02-27T00:00:00"/>
    <x v="6"/>
    <x v="0"/>
    <s v="Valid"/>
    <s v="Valid"/>
    <n v="0"/>
    <s v="CUST-8172"/>
    <s v="Sneha Kapoor"/>
    <s v="Sneha Kapoor"/>
    <s v="Consumer"/>
    <x v="0"/>
    <s v="East"/>
    <x v="1"/>
    <s v="Jharkhand"/>
    <s v="Jharkhand"/>
    <s v="Ranchi"/>
    <s v="Ranchi"/>
    <s v="Furniture"/>
    <x v="1"/>
    <s v="Chairs"/>
    <x v="4"/>
    <s v="Elite Chairs 314"/>
    <s v="Second Class"/>
    <x v="0"/>
    <n v="3"/>
    <n v="3148.09"/>
    <n v="0.15"/>
    <n v="0.15"/>
    <s v="Valid"/>
    <n v="8027.63"/>
    <n v="8027.6295"/>
    <n v="5496.09"/>
    <n v="2531.54"/>
    <n v="2531.5394999999999"/>
    <n v="-5496.09"/>
    <s v="Paid"/>
    <s v="Paid"/>
    <s v="Completed"/>
    <x v="0"/>
    <s v="Clean"/>
  </r>
  <r>
    <s v="ORD-2025-10553"/>
    <n v="2"/>
    <s v="Unique"/>
    <s v="24-01-2025"/>
    <s v="30 Jan 2025"/>
    <d v="2025-01-24T00:00:00"/>
    <d v="2025-01-30T00:00:00"/>
    <x v="8"/>
    <x v="1"/>
    <s v="Valid"/>
    <s v="Valid"/>
    <n v="6"/>
    <s v="CUST-8861"/>
    <s v="Ananya Rao"/>
    <s v="Ananya Rao"/>
    <s v="Corporate"/>
    <x v="2"/>
    <s v="East"/>
    <x v="1"/>
    <s v="West Bengal"/>
    <s v="West Bengal"/>
    <s v="Kolkata"/>
    <s v="Kolkata"/>
    <s v="Technology"/>
    <x v="2"/>
    <s v="Copiers"/>
    <x v="6"/>
    <s v="Pro Copiers 246"/>
    <s v="Standard Class"/>
    <x v="3"/>
    <n v="8"/>
    <n v="312.52999999999997"/>
    <s v="70%"/>
    <n v="0.7"/>
    <s v="Invalid - Above Range"/>
    <n v="1875.18"/>
    <n v="750.072"/>
    <n v="1579.17"/>
    <n v="296.01"/>
    <n v="-829.09800000000007"/>
    <n v="-1579.17"/>
    <s v="Paid"/>
    <s v="Paid"/>
    <s v="Completed"/>
    <x v="0"/>
    <s v="Clean"/>
  </r>
  <r>
    <s v="ORD-2025-10554"/>
    <n v="1"/>
    <s v="Unique"/>
    <s v="04/25/2025"/>
    <s v="2025-04-28"/>
    <d v="2025-04-25T00:00:00"/>
    <d v="2025-04-28T00:00:00"/>
    <x v="5"/>
    <x v="1"/>
    <s v="Valid"/>
    <s v="Valid"/>
    <n v="3"/>
    <s v="CUST-9241"/>
    <s v="Aarav Sharma"/>
    <s v="Aarav Sharma"/>
    <s v="Small Business"/>
    <x v="1"/>
    <s v="West"/>
    <x v="3"/>
    <s v="Gujarat"/>
    <s v="Gujarat"/>
    <s v="Ahmedabad"/>
    <s v="Ahmedabad"/>
    <s v="Office Supplies"/>
    <x v="0"/>
    <s v="Storage"/>
    <x v="8"/>
    <s v="Pro Storage 128"/>
    <s v="First Class"/>
    <x v="2"/>
    <n v="9"/>
    <n v="1294.1099999999999"/>
    <n v="0.25"/>
    <n v="0.25"/>
    <s v="Valid"/>
    <n v="8735.24"/>
    <n v="8735.2425000000003"/>
    <n v="6620.07"/>
    <n v="2115.17"/>
    <n v="2115.1725000000006"/>
    <n v="-6620.07"/>
    <s v="Paid"/>
    <s v="Paid"/>
    <s v="Completed"/>
    <x v="0"/>
    <s v="Clean"/>
  </r>
  <r>
    <s v="ORD-2024-10555"/>
    <n v="1"/>
    <s v="Unique"/>
    <s v="2024-10-12"/>
    <s v="17 Oct 2024"/>
    <d v="2024-12-10T00:00:00"/>
    <d v="2024-10-17T00:00:00"/>
    <x v="7"/>
    <x v="0"/>
    <s v="Valid"/>
    <s v="Valid"/>
    <n v="-54"/>
    <s v="CUST-2126"/>
    <s v="Arjun Bose"/>
    <s v="Arjun Bose"/>
    <s v="Consumer"/>
    <x v="0"/>
    <s v="Unknown"/>
    <x v="4"/>
    <s v="Jharkhand"/>
    <s v="Jharkhand"/>
    <s v="Ranchi"/>
    <s v="Ranchi"/>
    <s v="Furniture"/>
    <x v="1"/>
    <s v="Furnishings"/>
    <x v="3"/>
    <s v="Prime Furnishings 892"/>
    <s v="Standard Class"/>
    <x v="3"/>
    <n v="4"/>
    <n v="1071.22"/>
    <n v="0.05"/>
    <n v="0.05"/>
    <s v="Valid"/>
    <n v="4070.64"/>
    <n v="4070.636"/>
    <n v="2831.62"/>
    <n v="1239.02"/>
    <n v="1239.0160000000001"/>
    <n v="-2831.62"/>
    <s v="Paid"/>
    <s v="Paid"/>
    <s v="Completed"/>
    <x v="0"/>
    <s v="Clean"/>
  </r>
  <r>
    <s v="ORD-2025-10556"/>
    <n v="2"/>
    <s v="Unique"/>
    <s v="04-02-2025"/>
    <s v="10 Feb 2025"/>
    <d v="2025-04-02T00:00:00"/>
    <d v="2025-10-02T00:00:00"/>
    <x v="5"/>
    <x v="1"/>
    <s v="Valid"/>
    <s v="Valid"/>
    <n v="183"/>
    <s v="CUST-7513"/>
    <s v="Ananya Rao"/>
    <s v="Ananya Rao"/>
    <s v="Small Business"/>
    <x v="1"/>
    <s v="South"/>
    <x v="2"/>
    <s v="Telangana"/>
    <s v="Telangana"/>
    <s v="Hyderabad"/>
    <s v="Hyderabad"/>
    <s v="Office Supplies"/>
    <x v="0"/>
    <s v="Storage"/>
    <x v="8"/>
    <s v="Prime Storage 689"/>
    <s v="Standard Class"/>
    <x v="3"/>
    <n v="6"/>
    <n v="1042.8"/>
    <n v="0.05"/>
    <n v="0.05"/>
    <s v="Valid"/>
    <n v="5943.96"/>
    <n v="5943.9599999999991"/>
    <n v="3604.14"/>
    <n v="2339.8200000000002"/>
    <n v="2339.8199999999993"/>
    <n v="-3604.14"/>
    <s v="Paid"/>
    <s v="Paid"/>
    <s v="Completed"/>
    <x v="0"/>
    <s v="Clean"/>
  </r>
  <r>
    <s v="ORD-2024-10557"/>
    <n v="3"/>
    <s v="Unique"/>
    <s v="23 Jun 2024"/>
    <s v="2024-06-29"/>
    <d v="2024-06-23T00:00:00"/>
    <d v="2024-06-29T00:00:00"/>
    <x v="2"/>
    <x v="0"/>
    <s v="Valid"/>
    <s v="Valid"/>
    <n v="6"/>
    <s v="CUST-1992"/>
    <s v="Neha Gupta"/>
    <s v="Neha Gupta"/>
    <s v="Consumer"/>
    <x v="0"/>
    <s v="North"/>
    <x v="0"/>
    <s v="Haryana"/>
    <s v="Haryana"/>
    <s v="Gurugram"/>
    <s v="Gurugram"/>
    <s v="Furniture"/>
    <x v="1"/>
    <s v="Tables"/>
    <x v="1"/>
    <s v="Classic Tables 769"/>
    <s v="First Class"/>
    <x v="2"/>
    <n v="1"/>
    <n v="4426.66"/>
    <n v="0"/>
    <n v="0"/>
    <s v="Valid"/>
    <n v="4426.66"/>
    <n v="4426.66"/>
    <n v="3035.2"/>
    <n v="1816.23"/>
    <n v="1391.46"/>
    <n v="-3035.2"/>
    <s v="Paid"/>
    <s v="Paid"/>
    <s v="Returned"/>
    <x v="2"/>
    <s v="Clean"/>
  </r>
  <r>
    <s v="ORD-2024-10558"/>
    <n v="1"/>
    <s v="Unique"/>
    <s v="2024-05-08"/>
    <s v="14-05-2024"/>
    <d v="2024-08-05T00:00:00"/>
    <d v="2024-05-14T00:00:00"/>
    <x v="1"/>
    <x v="0"/>
    <s v="Valid"/>
    <s v="Valid"/>
    <n v="-83"/>
    <s v="CUST-8848"/>
    <s v="Vikram Iyer"/>
    <s v="Vikram Iyer"/>
    <s v="Home Office"/>
    <x v="3"/>
    <s v="North"/>
    <x v="0"/>
    <s v="Haryana"/>
    <s v="Haryana"/>
    <s v="Gurugram"/>
    <s v="Gurugram"/>
    <s v="Technology"/>
    <x v="2"/>
    <s v="Phones"/>
    <x v="11"/>
    <s v="Prime Phones 503"/>
    <s v="First Class"/>
    <x v="2"/>
    <n v="9"/>
    <n v="3769.46"/>
    <n v="0.05"/>
    <n v="0.05"/>
    <s v="Valid"/>
    <n v="32228.880000000001"/>
    <n v="32228.882999999998"/>
    <n v="24971.360000000001"/>
    <n v="7257.52"/>
    <n v="7257.5229999999974"/>
    <n v="-24971.360000000001"/>
    <s v="Paid"/>
    <s v="Paid"/>
    <s v="Cancelled"/>
    <x v="1"/>
    <s v="Clean"/>
  </r>
  <r>
    <s v="ORD-2025-10559"/>
    <n v="1"/>
    <s v="Unique"/>
    <s v="2025-09-04"/>
    <s v="09/04/2025"/>
    <d v="2025-04-09T00:00:00"/>
    <d v="2025-09-04T00:00:00"/>
    <x v="5"/>
    <x v="1"/>
    <s v="Valid"/>
    <s v="Valid"/>
    <n v="148"/>
    <s v="CUST-9368"/>
    <s v="Aditi Sen"/>
    <s v="Aditi Sen"/>
    <s v="Corporate"/>
    <x v="2"/>
    <s v="North"/>
    <x v="0"/>
    <s v="Punjab"/>
    <s v="Punjab"/>
    <s v="Ludhiana"/>
    <s v="Ludhiana"/>
    <s v="Technology"/>
    <x v="2"/>
    <s v="Machines"/>
    <x v="12"/>
    <s v="Basic Machines 136"/>
    <s v="First Class"/>
    <x v="2"/>
    <n v="8"/>
    <n v="3079.95"/>
    <n v="0.2"/>
    <n v="0.2"/>
    <s v="Valid"/>
    <n v="19711.68"/>
    <n v="19711.68"/>
    <n v="14461.8"/>
    <n v="5249.88"/>
    <n v="5249.880000000001"/>
    <n v="-14461.8"/>
    <s v="Paid"/>
    <s v="Paid"/>
    <s v="Completed"/>
    <x v="0"/>
    <s v="Clean"/>
  </r>
  <r>
    <s v="ORD-2025-10560"/>
    <n v="2"/>
    <s v="Unique"/>
    <s v="30 Sep 2025"/>
    <s v="2025-10-07"/>
    <d v="2025-09-30T00:00:00"/>
    <d v="2025-07-10T00:00:00"/>
    <x v="9"/>
    <x v="1"/>
    <s v="Valid"/>
    <s v="Valid"/>
    <n v="-82"/>
    <s v="CUST-6797"/>
    <s v="Diya Patel"/>
    <s v="Diya Patel"/>
    <s v="Corporate"/>
    <x v="2"/>
    <s v="East"/>
    <x v="1"/>
    <s v="Bihar"/>
    <s v="Bihar"/>
    <s v="Patna"/>
    <s v="Patna"/>
    <s v="Technology"/>
    <x v="2"/>
    <s v="Copiers"/>
    <x v="6"/>
    <s v="Basic Copiers 512"/>
    <s v="Second Class"/>
    <x v="0"/>
    <n v="5"/>
    <n v="3277.82"/>
    <n v="0.1"/>
    <n v="0.1"/>
    <s v="Valid"/>
    <n v="14750.19"/>
    <n v="14750.190000000002"/>
    <n v="9482.58"/>
    <n v="5267.61"/>
    <n v="5267.6100000000024"/>
    <n v="-9482.58"/>
    <s v="Paid"/>
    <s v="Paid"/>
    <s v="Returned"/>
    <x v="2"/>
    <s v="Clean"/>
  </r>
  <r>
    <s v="ORD-2024-10561"/>
    <n v="1"/>
    <s v="Unique"/>
    <s v="2024-01-16"/>
    <s v="22-01-2024"/>
    <d v="2024-01-16T00:00:00"/>
    <d v="2024-01-22T00:00:00"/>
    <x v="8"/>
    <x v="0"/>
    <s v="Valid"/>
    <s v="Valid"/>
    <n v="6"/>
    <s v="CUST-9333"/>
    <s v="Arjun Bose"/>
    <s v="Arjun Bose"/>
    <s v="Consumer"/>
    <x v="0"/>
    <s v="West"/>
    <x v="3"/>
    <s v="Goa"/>
    <s v="Goa"/>
    <s v="Panaji"/>
    <s v="Panaji"/>
    <s v="Office Supplies"/>
    <x v="0"/>
    <s v="Storage"/>
    <x v="8"/>
    <s v="Smart Storage 767"/>
    <s v="Standard Class"/>
    <x v="3"/>
    <n v="4"/>
    <n v="282.52999999999997"/>
    <n v="0"/>
    <n v="0"/>
    <s v="Valid"/>
    <n v="1130.1199999999999"/>
    <n v="1130.1199999999999"/>
    <n v="848.62"/>
    <n v="281.5"/>
    <n v="281.49999999999989"/>
    <n v="-848.62"/>
    <s v="Paid"/>
    <s v="Paid"/>
    <s v="Cancelled"/>
    <x v="1"/>
    <s v="Clean"/>
  </r>
  <r>
    <s v="ORD-2025-10562"/>
    <n v="1"/>
    <s v="Unique"/>
    <s v="2025-07-14"/>
    <s v="18 Jul 2025"/>
    <d v="2025-07-14T00:00:00"/>
    <d v="2025-07-18T00:00:00"/>
    <x v="0"/>
    <x v="1"/>
    <s v="Valid"/>
    <s v="Valid"/>
    <n v="4"/>
    <s v="CUST-6654"/>
    <s v="Aditi Sen"/>
    <s v="Aditi Sen"/>
    <s v="Consumer"/>
    <x v="0"/>
    <s v="North"/>
    <x v="0"/>
    <s v="Punjab"/>
    <s v="Punjab"/>
    <s v="Ludhiana"/>
    <s v="Ludhiana"/>
    <s v="Technology"/>
    <x v="2"/>
    <s v="Copiers"/>
    <x v="6"/>
    <s v="Eco Copiers 954"/>
    <s v="First Class"/>
    <x v="2"/>
    <n v="4"/>
    <n v="725.22"/>
    <n v="0"/>
    <n v="0"/>
    <s v="Valid"/>
    <n v="2900.88"/>
    <n v="2900.88"/>
    <n v="2391.85"/>
    <n v="509.03"/>
    <n v="509.0300000000002"/>
    <n v="-2391.85"/>
    <s v="Pending"/>
    <s v="Pending"/>
    <s v="Returned"/>
    <x v="2"/>
    <s v="Clean"/>
  </r>
  <r>
    <s v="ORD-2024-10563"/>
    <n v="2"/>
    <s v="Unique"/>
    <s v="10 May 2024"/>
    <s v="16 May 2024"/>
    <d v="2024-10-05T00:00:00"/>
    <d v="2024-05-16T00:00:00"/>
    <x v="10"/>
    <x v="0"/>
    <s v="Valid"/>
    <s v="Valid"/>
    <n v="-142"/>
    <s v="CUST-8622"/>
    <s v="Karan Malhotra"/>
    <s v="Karan Malhotra"/>
    <s v="Consumer"/>
    <x v="0"/>
    <s v="North"/>
    <x v="0"/>
    <s v="Punjab"/>
    <s v="Punjab"/>
    <s v="Ludhiana"/>
    <s v="Ludhiana"/>
    <s v="Office Supplies"/>
    <x v="0"/>
    <s v="Binders"/>
    <x v="9"/>
    <s v="Elite Binders 143"/>
    <s v="Same Day"/>
    <x v="1"/>
    <n v="7"/>
    <n v="121.54"/>
    <n v="0.2"/>
    <n v="0.2"/>
    <s v="Valid"/>
    <n v="680.62"/>
    <n v="680.62400000000014"/>
    <n v="463.49"/>
    <n v="217.13"/>
    <n v="217.13400000000013"/>
    <n v="-463.49"/>
    <s v="Failed"/>
    <s v="Failed"/>
    <s v="Returned"/>
    <x v="2"/>
    <s v="Clean"/>
  </r>
  <r>
    <s v="ORD-2024-10564"/>
    <n v="3"/>
    <s v="Unique"/>
    <s v="05/06/2024"/>
    <s v="12-05-2024"/>
    <d v="2024-05-06T00:00:00"/>
    <d v="2024-12-05T00:00:00"/>
    <x v="4"/>
    <x v="0"/>
    <s v="Valid"/>
    <s v="Valid"/>
    <n v="213"/>
    <s v="CUST-8776"/>
    <s v="Arjun Bose"/>
    <s v="Arjun Bose"/>
    <s v="Corporate"/>
    <x v="2"/>
    <s v="West"/>
    <x v="3"/>
    <s v="Goa"/>
    <s v="Goa"/>
    <s v="Panaji"/>
    <s v="Panaji"/>
    <s v="Furniture"/>
    <x v="1"/>
    <s v="Tables"/>
    <x v="1"/>
    <s v="Classic Tables 560"/>
    <s v="Standard Class"/>
    <x v="3"/>
    <n v="9"/>
    <n v="790.97"/>
    <n v="0.2"/>
    <n v="0.2"/>
    <s v="Valid"/>
    <n v="5694.98"/>
    <n v="5694.9840000000004"/>
    <n v="4618.33"/>
    <n v="1076.6500000000001"/>
    <n v="1076.6540000000005"/>
    <n v="-4618.33"/>
    <s v="Pending"/>
    <s v="Pending"/>
    <s v="Cancelled"/>
    <x v="1"/>
    <s v="Clean"/>
  </r>
  <r>
    <s v="ORD-2024-10565"/>
    <n v="4"/>
    <s v="Unique"/>
    <s v="11/10/2024"/>
    <s v="14-11-2024"/>
    <d v="2024-11-10T00:00:00"/>
    <d v="2024-11-14T00:00:00"/>
    <x v="3"/>
    <x v="0"/>
    <s v="Valid"/>
    <s v="Valid"/>
    <n v="4"/>
    <s v="CUST-9100"/>
    <s v="Sneha Kapoor"/>
    <s v="Sneha Kapoor"/>
    <s v="Corporate"/>
    <x v="2"/>
    <s v="South"/>
    <x v="2"/>
    <s v="Andhra Pradesh"/>
    <s v="Andhra Pradesh"/>
    <s v="Vijayawada"/>
    <s v="Vijayawada"/>
    <s v="Furniture"/>
    <x v="1"/>
    <s v="Tables"/>
    <x v="1"/>
    <s v="Basic Tables 759"/>
    <s v="First Class"/>
    <x v="2"/>
    <n v="2"/>
    <n v="921.34"/>
    <n v="0.2"/>
    <n v="0.2"/>
    <s v="Valid"/>
    <n v="1474.14"/>
    <n v="1474.1440000000002"/>
    <n v="968.46"/>
    <n v="505.68"/>
    <n v="505.6840000000002"/>
    <n v="-968.46"/>
    <s v="Paid"/>
    <s v="Paid"/>
    <s v="Completed"/>
    <x v="0"/>
    <s v="Clean"/>
  </r>
  <r>
    <s v="ORD-2025-10566"/>
    <n v="2"/>
    <s v="Unique"/>
    <s v="07 Aug 2025"/>
    <s v="13-08-2025"/>
    <d v="2025-07-08T00:00:00"/>
    <d v="2025-08-13T00:00:00"/>
    <x v="0"/>
    <x v="1"/>
    <s v="Valid"/>
    <s v="Valid"/>
    <n v="36"/>
    <s v="CUST-5601"/>
    <s v="Mira Das"/>
    <s v="Mira Das"/>
    <s v="Corporate"/>
    <x v="2"/>
    <s v="North"/>
    <x v="0"/>
    <s v="Delhi"/>
    <s v="Delhi"/>
    <s v="New Delhi"/>
    <s v="New Delhi"/>
    <s v="Technology"/>
    <x v="2"/>
    <s v="Phones"/>
    <x v="11"/>
    <s v="Prime Phones 564"/>
    <s v="Standard Class"/>
    <x v="3"/>
    <n v="6"/>
    <n v="1921.86"/>
    <n v="0.2"/>
    <n v="0.2"/>
    <s v="Valid"/>
    <n v="9224.93"/>
    <n v="9224.9279999999999"/>
    <n v="7005.2"/>
    <n v="2219.73"/>
    <n v="2219.7280000000001"/>
    <n v="-7005.2"/>
    <s v="Refunded"/>
    <s v="Refunded"/>
    <s v="Cancelled"/>
    <x v="1"/>
    <s v="Clean"/>
  </r>
  <r>
    <s v="ORD-2024-10567"/>
    <n v="2"/>
    <s v="Unique"/>
    <s v="11 Aug 2024"/>
    <s v="2024-08-19"/>
    <d v="2024-11-08T00:00:00"/>
    <d v="2024-08-19T00:00:00"/>
    <x v="3"/>
    <x v="0"/>
    <s v="Valid"/>
    <s v="Valid"/>
    <n v="-81"/>
    <s v="CUST-5246"/>
    <s v="Sneha Kapoor"/>
    <s v="Sneha Kapoor"/>
    <s v="Small Business"/>
    <x v="1"/>
    <s v="West"/>
    <x v="3"/>
    <s v="Maharashtra"/>
    <s v="Maharashtra"/>
    <s v="Mumbai"/>
    <s v="Mumbai"/>
    <s v="Office Supplies"/>
    <x v="0"/>
    <s v="Paper"/>
    <x v="0"/>
    <s v="Smart Paper 807"/>
    <s v="Same Day"/>
    <x v="1"/>
    <n v="2"/>
    <n v="2617.89"/>
    <n v="0.1"/>
    <n v="0.1"/>
    <s v="Valid"/>
    <n v="4712.2"/>
    <n v="4712.2020000000002"/>
    <n v="3851.91"/>
    <n v="860.29"/>
    <n v="860.29200000000037"/>
    <n v="-3851.91"/>
    <s v="Failed"/>
    <s v="Failed"/>
    <s v="Returned"/>
    <x v="2"/>
    <s v="Clean"/>
  </r>
  <r>
    <s v="ORD-2024-10568"/>
    <n v="4"/>
    <s v="Unique"/>
    <s v="06 Feb 2024"/>
    <s v="10-02-2024"/>
    <d v="2024-06-02T00:00:00"/>
    <d v="2024-10-02T00:00:00"/>
    <x v="2"/>
    <x v="0"/>
    <s v="Valid"/>
    <s v="Valid"/>
    <n v="122"/>
    <s v="CUST-3128"/>
    <s v="Arjun Bose"/>
    <s v="Arjun Bose"/>
    <s v="Home Office"/>
    <x v="3"/>
    <s v="North"/>
    <x v="0"/>
    <s v="Uttar Pradesh"/>
    <s v="Uttar Pradesh"/>
    <s v="Noida"/>
    <s v="Noida"/>
    <s v="Furniture"/>
    <x v="1"/>
    <s v="Furnishings"/>
    <x v="3"/>
    <s v="Pro Furnishings 108"/>
    <s v="Same Day"/>
    <x v="1"/>
    <n v="1"/>
    <n v="1374.06"/>
    <n v="0.05"/>
    <n v="0.05"/>
    <s v="Valid"/>
    <n v="1305.3599999999999"/>
    <n v="1305.357"/>
    <n v="731.89"/>
    <n v="573.47"/>
    <n v="573.46699999999998"/>
    <n v="-731.89"/>
    <s v="Paid"/>
    <s v="Paid"/>
    <s v="Completed"/>
    <x v="0"/>
    <s v="Clean"/>
  </r>
  <r>
    <s v="ORD-2024-10569"/>
    <n v="2"/>
    <s v="Unique"/>
    <s v="21 Jan 2024"/>
    <s v="24 Jan 2024"/>
    <d v="2024-01-21T00:00:00"/>
    <d v="2024-01-24T00:00:00"/>
    <x v="8"/>
    <x v="0"/>
    <s v="Valid"/>
    <s v="Valid"/>
    <n v="3"/>
    <s v="CUST-4604"/>
    <s v="Kabir Singh"/>
    <s v="Kabir Singh"/>
    <s v="Corporate"/>
    <x v="2"/>
    <s v="North"/>
    <x v="0"/>
    <s v="Punjab"/>
    <s v="Punjab"/>
    <s v="Ludhiana"/>
    <s v="Ludhiana"/>
    <s v="Technology"/>
    <x v="2"/>
    <s v="Machines"/>
    <x v="12"/>
    <s v="Classic Machines 522"/>
    <s v="Same Day"/>
    <x v="1"/>
    <n v="1"/>
    <n v="3806.3"/>
    <n v="0.25"/>
    <n v="0.25"/>
    <s v="Valid"/>
    <n v="2854.73"/>
    <n v="2854.7250000000004"/>
    <n v="1968.12"/>
    <n v="886.61"/>
    <n v="886.60500000000047"/>
    <n v="-1968.12"/>
    <s v="Paid"/>
    <s v="Paid"/>
    <s v="Completed"/>
    <x v="0"/>
    <s v="Clean"/>
  </r>
  <r>
    <s v="ORD-2025-10570"/>
    <n v="2"/>
    <s v="Unique"/>
    <s v="09/08/2025"/>
    <s v="2025-09-10"/>
    <d v="2025-09-08T00:00:00"/>
    <d v="2025-10-09T00:00:00"/>
    <x v="9"/>
    <x v="1"/>
    <s v="Valid"/>
    <s v="Valid"/>
    <n v="31"/>
    <s v="CUST-2586"/>
    <s v="Rahul Verma"/>
    <s v="Rahul Verma"/>
    <s v="Home Office"/>
    <x v="3"/>
    <s v="West"/>
    <x v="3"/>
    <s v="Maharashtra"/>
    <s v="Maharashtra"/>
    <s v="Mumbai"/>
    <s v="Mumbai"/>
    <s v="Furniture"/>
    <x v="1"/>
    <s v="Furnishings"/>
    <x v="3"/>
    <s v="Elite Furnishings 822"/>
    <s v="Standard Class"/>
    <x v="3"/>
    <n v="6"/>
    <n v="3251.17"/>
    <n v="0.25"/>
    <n v="0.25"/>
    <s v="Valid"/>
    <n v="14630.26"/>
    <n v="14630.264999999999"/>
    <n v="11906.36"/>
    <n v="2723.9"/>
    <n v="2723.9049999999988"/>
    <n v="-11906.36"/>
    <s v="Refunded"/>
    <s v="Refunded"/>
    <s v="Returned"/>
    <x v="2"/>
    <s v="Clean"/>
  </r>
  <r>
    <s v="ORD-2025-10571"/>
    <n v="2"/>
    <s v="Unique"/>
    <s v="2025-08-18"/>
    <s v="08/22/2025"/>
    <d v="2025-08-18T00:00:00"/>
    <d v="2025-08-22T00:00:00"/>
    <x v="1"/>
    <x v="1"/>
    <s v="Valid"/>
    <s v="Valid"/>
    <n v="4"/>
    <s v="CUST-6585"/>
    <s v="Arjun Bose"/>
    <s v="Arjun Bose"/>
    <s v="Consumer"/>
    <x v="0"/>
    <s v="East"/>
    <x v="1"/>
    <s v="Jharkhand"/>
    <s v="Jharkhand"/>
    <s v="Ranchi"/>
    <s v="Ranchi"/>
    <s v="Furniture"/>
    <x v="1"/>
    <s v="Furnishings"/>
    <x v="3"/>
    <s v="Max Furnishings 647"/>
    <s v="Second Class"/>
    <x v="0"/>
    <n v="3"/>
    <n v="3946.44"/>
    <n v="0.25"/>
    <n v="0.25"/>
    <s v="Valid"/>
    <n v="8879.49"/>
    <n v="8879.49"/>
    <n v="6344.57"/>
    <n v="2534.92"/>
    <n v="2534.92"/>
    <n v="-6344.57"/>
    <s v="Failed"/>
    <s v="Failed"/>
    <s v="Returned"/>
    <x v="2"/>
    <s v="Clean"/>
  </r>
  <r>
    <s v="ORD-2025-10572"/>
    <n v="2"/>
    <s v="Conflicting Duplicate"/>
    <s v="10 Feb 2025"/>
    <s v="2025-02-14"/>
    <d v="2025-10-02T00:00:00"/>
    <d v="2025-02-14T00:00:00"/>
    <x v="10"/>
    <x v="1"/>
    <s v="Valid"/>
    <s v="Valid"/>
    <n v="-230"/>
    <s v="CUST-3425"/>
    <s v="Priya Menon"/>
    <s v="Priya Menon"/>
    <s v="Small Business"/>
    <x v="1"/>
    <s v="North"/>
    <x v="0"/>
    <s v="Uttar Pradesh"/>
    <s v="Uttar Pradesh"/>
    <s v="Noida"/>
    <s v="Noida"/>
    <s v="Technology"/>
    <x v="2"/>
    <s v="Phones"/>
    <x v="11"/>
    <s v="Prime Phones 895"/>
    <s v="Unknown"/>
    <x v="4"/>
    <n v="5"/>
    <n v="4276.29"/>
    <n v="0"/>
    <n v="0"/>
    <s v="Valid"/>
    <n v="21381.45"/>
    <n v="21381.45"/>
    <n v="13240.21"/>
    <n v="8141.24"/>
    <n v="8141.2400000000016"/>
    <n v="-13240.21"/>
    <s v="Failed"/>
    <s v="Failed"/>
    <s v="Returned"/>
    <x v="2"/>
    <s v="Clean"/>
  </r>
  <r>
    <s v="ORD-2024-10573"/>
    <n v="1"/>
    <s v="Unique"/>
    <s v="01/02/2024"/>
    <s v="09-01-2024"/>
    <d v="2024-01-02T00:00:00"/>
    <d v="2024-09-01T00:00:00"/>
    <x v="8"/>
    <x v="0"/>
    <s v="Valid"/>
    <s v="Valid"/>
    <n v="243"/>
    <s v="CUST-8633"/>
    <s v="Diya Patel"/>
    <s v="Diya Patel"/>
    <s v="Corporate"/>
    <x v="2"/>
    <s v="North"/>
    <x v="0"/>
    <s v="Delhi"/>
    <s v="Delhi"/>
    <s v="New Delhi"/>
    <s v="New Delhi"/>
    <s v="Technology"/>
    <x v="2"/>
    <s v="Phones"/>
    <x v="11"/>
    <s v="Eco Phones 368"/>
    <s v="Standard Class"/>
    <x v="3"/>
    <n v="3"/>
    <n v="739.56"/>
    <n v="0.2"/>
    <n v="0.2"/>
    <s v="Valid"/>
    <n v="1774.94"/>
    <n v="1774.944"/>
    <n v="1007.4"/>
    <n v="767.54"/>
    <n v="767.54399999999998"/>
    <n v="-1007.4"/>
    <s v="Paid"/>
    <s v="Paid"/>
    <s v="Completed"/>
    <x v="0"/>
    <s v="Clean"/>
  </r>
  <r>
    <s v="ORD-2025-10574"/>
    <n v="1"/>
    <s v="Unique"/>
    <s v="09/22/2025"/>
    <s v="09/26/2025"/>
    <d v="2025-09-22T00:00:00"/>
    <d v="2025-09-26T00:00:00"/>
    <x v="9"/>
    <x v="1"/>
    <s v="Valid"/>
    <s v="Valid"/>
    <n v="4"/>
    <s v="CUST-8243"/>
    <s v="Isha Nair"/>
    <s v="Isha Nair"/>
    <s v="Consumer"/>
    <x v="0"/>
    <s v="South"/>
    <x v="2"/>
    <s v="Andhra Pradesh"/>
    <s v="Andhra Pradesh"/>
    <s v="Vijayawada"/>
    <s v="Vijayawada"/>
    <s v="Technology"/>
    <x v="2"/>
    <s v="Phones"/>
    <x v="11"/>
    <s v="Pro Phones 644"/>
    <s v="Standard Class"/>
    <x v="3"/>
    <n v="1"/>
    <n v="573.65"/>
    <n v="0"/>
    <n v="0"/>
    <s v="Valid"/>
    <n v="573.65"/>
    <n v="573.65"/>
    <n v="322.67"/>
    <n v="250.98"/>
    <n v="250.97999999999996"/>
    <n v="-322.67"/>
    <s v="Paid"/>
    <s v="Paid"/>
    <s v="Completed"/>
    <x v="0"/>
    <s v="Clean"/>
  </r>
  <r>
    <s v="ORD-2024-10575"/>
    <n v="4"/>
    <s v="Unique"/>
    <s v="20 Feb 2024"/>
    <s v="25-02-2024"/>
    <d v="2024-02-20T00:00:00"/>
    <d v="2024-02-25T00:00:00"/>
    <x v="6"/>
    <x v="0"/>
    <s v="Valid"/>
    <s v="Valid"/>
    <n v="5"/>
    <s v="CUST-9139"/>
    <s v="Diya Patel"/>
    <s v="Diya Patel"/>
    <s v="Home Office"/>
    <x v="3"/>
    <s v="North"/>
    <x v="0"/>
    <s v="Punjab"/>
    <s v="Punjab"/>
    <s v="Ludhiana"/>
    <s v="Ludhiana"/>
    <s v="Technology"/>
    <x v="2"/>
    <s v="Machines"/>
    <x v="12"/>
    <s v="Smart Machines 566"/>
    <s v="Standard Class"/>
    <x v="3"/>
    <n v="4"/>
    <n v="1355.8"/>
    <n v="0"/>
    <n v="0"/>
    <s v="Valid"/>
    <n v="5423.2"/>
    <n v="5423.2"/>
    <n v="4072.44"/>
    <n v="1350.76"/>
    <n v="1350.7599999999998"/>
    <n v="-4072.44"/>
    <s v="Paid"/>
    <s v="Paid"/>
    <s v="Completed"/>
    <x v="0"/>
    <s v="Clean"/>
  </r>
  <r>
    <s v="ORD-2025-10576"/>
    <n v="2"/>
    <s v="Unique"/>
    <s v="11 Mar 2025"/>
    <s v="14 Mar 2025"/>
    <d v="2025-11-03T00:00:00"/>
    <d v="2025-03-14T00:00:00"/>
    <x v="3"/>
    <x v="1"/>
    <s v="Valid"/>
    <s v="Valid"/>
    <n v="-234"/>
    <s v="CUST-5496"/>
    <s v="Sneha Kapoor"/>
    <s v="Sneha Kapoor"/>
    <s v="Home Office"/>
    <x v="3"/>
    <s v="South"/>
    <x v="2"/>
    <s v="Kerala"/>
    <s v="Kerala"/>
    <s v="Kochi"/>
    <s v="Kochi"/>
    <s v="Furniture"/>
    <x v="1"/>
    <s v="Furnishings"/>
    <x v="3"/>
    <s v="Elite Furnishings 173"/>
    <s v="Same Day"/>
    <x v="1"/>
    <n v="4"/>
    <n v="1244.82"/>
    <n v="0.2"/>
    <n v="0.2"/>
    <s v="Valid"/>
    <n v="3983.42"/>
    <n v="3983.424"/>
    <n v="3174.91"/>
    <n v="808.51"/>
    <n v="808.51400000000012"/>
    <n v="-3174.91"/>
    <s v="Failed"/>
    <s v="Failed"/>
    <s v="Returned"/>
    <x v="2"/>
    <s v="Clean"/>
  </r>
  <r>
    <s v="ORD-2024-10577"/>
    <n v="1"/>
    <s v="Unique"/>
    <s v="17-02-2024"/>
    <s v="02/23/2024"/>
    <d v="2024-02-17T00:00:00"/>
    <d v="2024-02-23T00:00:00"/>
    <x v="6"/>
    <x v="0"/>
    <s v="Valid"/>
    <s v="Valid"/>
    <n v="6"/>
    <s v="CUST-2228"/>
    <s v="Rohan Mehta"/>
    <s v="Rohan Mehta"/>
    <s v="Home Office"/>
    <x v="3"/>
    <s v="Unknown"/>
    <x v="4"/>
    <s v="Bihar"/>
    <s v="Bihar"/>
    <s v="Patna"/>
    <s v="Patna"/>
    <s v="Office Supplies"/>
    <x v="0"/>
    <s v="Binders"/>
    <x v="9"/>
    <s v="Smart Binders 417"/>
    <s v="Standard Class"/>
    <x v="3"/>
    <n v="9"/>
    <n v="2614.46"/>
    <n v="0"/>
    <n v="0"/>
    <s v="Valid"/>
    <n v="23530.14"/>
    <n v="23530.14"/>
    <n v="19537.79"/>
    <n v="3992.35"/>
    <n v="3992.3499999999985"/>
    <n v="-19537.79"/>
    <s v="Refunded"/>
    <s v="Refunded"/>
    <s v="Returned"/>
    <x v="2"/>
    <s v="Clean"/>
  </r>
  <r>
    <s v="ORD-2025-10578"/>
    <n v="2"/>
    <s v="Unique"/>
    <s v="08/28/2025"/>
    <s v="2025-09-03"/>
    <d v="2025-08-28T00:00:00"/>
    <d v="2025-03-09T00:00:00"/>
    <x v="1"/>
    <x v="1"/>
    <s v="Valid"/>
    <s v="Valid"/>
    <n v="-172"/>
    <s v="CUST-4151"/>
    <s v="Priya Menon"/>
    <s v="Priya Menon"/>
    <s v="Corporate"/>
    <x v="2"/>
    <s v="West"/>
    <x v="3"/>
    <s v="Madhya Pradesh"/>
    <s v="Madhya Pradesh"/>
    <s v="Indore"/>
    <s v="Indore"/>
    <s v="Furniture"/>
    <x v="1"/>
    <s v="Furnishings"/>
    <x v="3"/>
    <s v="Smart Furnishings 714"/>
    <s v="Standard Class"/>
    <x v="3"/>
    <n v="7"/>
    <n v="268.45"/>
    <n v="0"/>
    <n v="0"/>
    <s v="Valid"/>
    <n v="1879.15"/>
    <n v="1879.1499999999999"/>
    <n v="1134.9000000000001"/>
    <n v="744.25"/>
    <n v="744.24999999999977"/>
    <n v="-1134.9000000000001"/>
    <s v="Paid"/>
    <s v="Paid"/>
    <s v="Completed"/>
    <x v="0"/>
    <s v="Clean"/>
  </r>
  <r>
    <s v="ORD-2024-10579"/>
    <n v="1"/>
    <s v="Unique"/>
    <s v="2024-02-21"/>
    <s v="23-02-2024"/>
    <d v="2024-02-21T00:00:00"/>
    <d v="2024-02-23T00:00:00"/>
    <x v="6"/>
    <x v="0"/>
    <s v="Valid"/>
    <s v="Valid"/>
    <n v="2"/>
    <s v="CUST-4900"/>
    <s v="Neha Gupta"/>
    <s v="Neha Gupta"/>
    <s v="Small Business"/>
    <x v="1"/>
    <s v="West"/>
    <x v="3"/>
    <s v="Gujarat"/>
    <s v="Gujarat"/>
    <s v="Ahmedabad"/>
    <s v="Ahmedabad"/>
    <s v="Technology"/>
    <x v="2"/>
    <s v="Copiers"/>
    <x v="6"/>
    <s v="Elite Copiers 682"/>
    <s v="First Class"/>
    <x v="2"/>
    <n v="6"/>
    <n v="2633.65"/>
    <n v="0.05"/>
    <n v="0.05"/>
    <s v="Valid"/>
    <n v="15011.81"/>
    <n v="15011.805"/>
    <n v="9660.36"/>
    <n v="5351.45"/>
    <n v="5351.4449999999997"/>
    <n v="-9660.36"/>
    <s v="Paid"/>
    <s v="Paid"/>
    <s v="Completed"/>
    <x v="0"/>
    <s v="Clean"/>
  </r>
  <r>
    <s v="ORD-2024-10580"/>
    <n v="1"/>
    <s v="Unique"/>
    <s v="19-06-2024"/>
    <s v="24 Jun 2024"/>
    <d v="2024-06-19T00:00:00"/>
    <d v="2024-06-24T00:00:00"/>
    <x v="2"/>
    <x v="0"/>
    <s v="Valid"/>
    <s v="Valid"/>
    <n v="5"/>
    <s v="CUST-9617"/>
    <s v="Aarav Sharma"/>
    <s v="Aarav Sharma"/>
    <s v="Small Business"/>
    <x v="1"/>
    <s v="South"/>
    <x v="2"/>
    <s v="Tamil Nadu"/>
    <s v="Tamil Nadu"/>
    <s v="Chennai"/>
    <s v="Chennai"/>
    <s v="Office Supplies"/>
    <x v="0"/>
    <s v="Storage"/>
    <x v="8"/>
    <s v="Pro Storage 482"/>
    <s v="Same Day"/>
    <x v="1"/>
    <n v="1"/>
    <n v="3202.41"/>
    <n v="0"/>
    <n v="0"/>
    <s v="Valid"/>
    <n v="3202.41"/>
    <n v="3202.41"/>
    <n v="2608.44"/>
    <n v="593.97"/>
    <n v="593.9699999999998"/>
    <n v="-2608.44"/>
    <s v="Paid"/>
    <s v="Paid"/>
    <s v="Completed"/>
    <x v="0"/>
    <s v="Clean"/>
  </r>
  <r>
    <s v="ORD-2025-10581"/>
    <n v="1"/>
    <s v="Unique"/>
    <s v="06-03-2025"/>
    <s v="03/13/2025"/>
    <d v="2025-06-03T00:00:00"/>
    <d v="2025-03-13T00:00:00"/>
    <x v="2"/>
    <x v="1"/>
    <s v="Valid"/>
    <s v="Valid"/>
    <n v="-82"/>
    <s v="CUST-7958"/>
    <s v="Kabir Singh"/>
    <s v="Kabir Singh"/>
    <s v="Consumer"/>
    <x v="0"/>
    <s v="South"/>
    <x v="2"/>
    <s v="Kerala"/>
    <s v="Kerala"/>
    <s v="Kochi"/>
    <s v="Kochi"/>
    <s v="Furniture"/>
    <x v="1"/>
    <s v="Chairs"/>
    <x v="4"/>
    <s v="Pro Chairs 888"/>
    <s v="Standard Class"/>
    <x v="3"/>
    <n v="3"/>
    <n v="163.72"/>
    <n v="0.15"/>
    <n v="0.15"/>
    <s v="Valid"/>
    <n v="417.49"/>
    <n v="417.48599999999999"/>
    <n v="261.67"/>
    <n v="155.82"/>
    <n v="155.81599999999997"/>
    <n v="-261.67"/>
    <s v="Failed"/>
    <s v="Failed"/>
    <s v="Returned"/>
    <x v="2"/>
    <s v="Clean"/>
  </r>
  <r>
    <s v="ORD-2025-10582"/>
    <n v="3"/>
    <s v="Unique"/>
    <s v="2025-08-09"/>
    <s v="08/10/2025"/>
    <d v="2025-09-08T00:00:00"/>
    <d v="2025-08-10T00:00:00"/>
    <x v="9"/>
    <x v="1"/>
    <s v="Valid"/>
    <s v="Valid"/>
    <n v="-29"/>
    <s v="CUST-9931"/>
    <s v="Neha Gupta"/>
    <s v="Neha Gupta"/>
    <s v="Consumer"/>
    <x v="0"/>
    <s v="North"/>
    <x v="0"/>
    <s v="Delhi"/>
    <s v="Delhi"/>
    <s v="New Delhi"/>
    <s v="New Delhi"/>
    <s v="Office Supplies"/>
    <x v="0"/>
    <s v="Art"/>
    <x v="2"/>
    <s v="Classic Art 611"/>
    <s v="Second Class"/>
    <x v="0"/>
    <n v="4"/>
    <n v="4080.95"/>
    <n v="0"/>
    <n v="0"/>
    <s v="Valid"/>
    <n v="16323.8"/>
    <n v="16323.8"/>
    <n v="9965.7900000000009"/>
    <n v="6358.01"/>
    <n v="6358.0099999999984"/>
    <n v="-9965.7900000000009"/>
    <s v="Refunded"/>
    <s v="Refunded"/>
    <s v="Returned"/>
    <x v="2"/>
    <s v="Clean"/>
  </r>
  <r>
    <s v="ORD-2024-10583"/>
    <n v="1"/>
    <s v="Unique"/>
    <s v="2024-10-15"/>
    <s v="10/20/2024"/>
    <d v="2024-10-15T00:00:00"/>
    <d v="2024-10-20T00:00:00"/>
    <x v="10"/>
    <x v="0"/>
    <s v="Valid"/>
    <s v="Valid"/>
    <n v="5"/>
    <s v="CUST-2088"/>
    <s v="Ananya Rao"/>
    <s v="Ananya Rao"/>
    <s v="Consumer"/>
    <x v="0"/>
    <s v="East"/>
    <x v="1"/>
    <s v="Odisha"/>
    <s v="Odisha"/>
    <s v="Bhubaneswar"/>
    <s v="Bhubaneswar"/>
    <s v="Office Supplies"/>
    <x v="0"/>
    <s v="Art"/>
    <x v="2"/>
    <s v="Basic Art 174"/>
    <s v="First Class"/>
    <x v="2"/>
    <n v="5"/>
    <n v="671.24"/>
    <n v="0"/>
    <n v="0"/>
    <s v="Valid"/>
    <n v="3356.2"/>
    <n v="3356.2"/>
    <n v="2205.7199999999998"/>
    <n v="1150.48"/>
    <n v="1150.48"/>
    <n v="-2205.7199999999998"/>
    <s v="Pending"/>
    <s v="Pending"/>
    <s v="Returned"/>
    <x v="2"/>
    <s v="Clean"/>
  </r>
  <r>
    <s v="ORD-2024-10584"/>
    <n v="2"/>
    <s v="Unique"/>
    <s v="28 Feb 2024"/>
    <s v="02/28/2024"/>
    <d v="2024-02-28T00:00:00"/>
    <d v="2024-02-28T00:00:00"/>
    <x v="6"/>
    <x v="0"/>
    <s v="Valid"/>
    <s v="Valid"/>
    <n v="0"/>
    <s v="CUST-1686"/>
    <s v="Rohan Mehta"/>
    <s v="Rohan Mehta"/>
    <s v="Small Business"/>
    <x v="1"/>
    <s v="East"/>
    <x v="1"/>
    <s v="West Bengal"/>
    <s v="West Bengal"/>
    <s v="Kolkata"/>
    <s v="Kolkata"/>
    <s v="Office Supplies"/>
    <x v="0"/>
    <s v="Storage"/>
    <x v="8"/>
    <s v="Classic Storage 451"/>
    <s v="First Class"/>
    <x v="2"/>
    <n v="1"/>
    <n v="2626.84"/>
    <n v="0.2"/>
    <n v="0.2"/>
    <s v="Valid"/>
    <n v="2101.4699999999998"/>
    <n v="2101.4720000000002"/>
    <n v="1217.83"/>
    <n v="883.64"/>
    <n v="883.64200000000028"/>
    <n v="-1217.83"/>
    <s v="Failed"/>
    <s v="Failed"/>
    <s v="Returned"/>
    <x v="2"/>
    <s v="Clean"/>
  </r>
  <r>
    <s v="ORD-2024-10585"/>
    <n v="1"/>
    <s v="Unique"/>
    <s v="08/04/2024"/>
    <s v="10-08-2024"/>
    <d v="2024-08-04T00:00:00"/>
    <d v="2024-10-08T00:00:00"/>
    <x v="1"/>
    <x v="0"/>
    <s v="Valid"/>
    <s v="Valid"/>
    <n v="65"/>
    <s v="CUST-4894"/>
    <s v="Vikram Iyer"/>
    <s v="Vikram Iyer"/>
    <s v="Consumer"/>
    <x v="0"/>
    <s v="East"/>
    <x v="1"/>
    <s v="Bihar"/>
    <s v="Bihar"/>
    <s v="Patna"/>
    <s v="Patna"/>
    <s v="Office Supplies"/>
    <x v="0"/>
    <s v="Art"/>
    <x v="2"/>
    <s v="Pro Art 172"/>
    <s v="Same Day"/>
    <x v="1"/>
    <n v="1"/>
    <n v="984.93"/>
    <n v="0.15"/>
    <n v="0.15"/>
    <s v="Valid"/>
    <n v="837.19"/>
    <n v="837.19049999999993"/>
    <n v="583.79"/>
    <n v="253.4"/>
    <n v="253.40049999999997"/>
    <n v="-583.79"/>
    <s v="Pending"/>
    <s v="Pending"/>
    <s v="Returned"/>
    <x v="2"/>
    <s v="Clean"/>
  </r>
  <r>
    <s v="ORD-2025-10586"/>
    <n v="3"/>
    <s v="Unique"/>
    <s v="22 Jun 2025"/>
    <s v="2025-06-25"/>
    <d v="2025-06-22T00:00:00"/>
    <d v="2025-06-25T00:00:00"/>
    <x v="2"/>
    <x v="1"/>
    <s v="Valid"/>
    <s v="Valid"/>
    <n v="3"/>
    <s v="CUST-5201"/>
    <s v="Diya Patel"/>
    <s v="Diya Patel"/>
    <s v="Small Business"/>
    <x v="1"/>
    <s v="West"/>
    <x v="3"/>
    <s v="Maharashtra"/>
    <s v="Maharashtra"/>
    <s v="Mumbai"/>
    <s v="Mumbai"/>
    <s v="Technology"/>
    <x v="2"/>
    <s v="Phones"/>
    <x v="11"/>
    <s v="Prime Phones 744"/>
    <s v="First Class"/>
    <x v="2"/>
    <n v="8"/>
    <n v="3453.66"/>
    <n v="0"/>
    <n v="0"/>
    <s v="Valid"/>
    <n v="27629.279999999999"/>
    <n v="27629.279999999999"/>
    <n v="22026.48"/>
    <n v="5602.8"/>
    <n v="5602.7999999999993"/>
    <n v="-22026.48"/>
    <s v="Paid"/>
    <s v="Paid"/>
    <s v="Completed"/>
    <x v="0"/>
    <s v="Clean"/>
  </r>
  <r>
    <s v="ORD-2025-10587"/>
    <n v="2"/>
    <s v="Unique"/>
    <s v="12-04-2025"/>
    <s v="12 Apr 2025"/>
    <d v="2025-12-04T00:00:00"/>
    <d v="2025-12-04T00:00:00"/>
    <x v="7"/>
    <x v="1"/>
    <s v="Valid"/>
    <s v="Valid"/>
    <n v="0"/>
    <s v="CUST-8626"/>
    <s v="Mira Das"/>
    <s v="Mira Das"/>
    <s v="Home Office"/>
    <x v="3"/>
    <s v="North"/>
    <x v="0"/>
    <s v="Punjab"/>
    <s v="Punjab"/>
    <s v="Ludhiana"/>
    <s v="Ludhiana"/>
    <s v="Office Supplies"/>
    <x v="0"/>
    <s v="Binders"/>
    <x v="9"/>
    <s v="Prime Binders 249"/>
    <s v="Second Class"/>
    <x v="0"/>
    <n v="7"/>
    <n v="1334.2"/>
    <n v="0.2"/>
    <n v="0.2"/>
    <s v="Valid"/>
    <n v="7471.52"/>
    <n v="7471.52"/>
    <n v="6184.32"/>
    <n v="1287.2"/>
    <n v="1287.2000000000007"/>
    <n v="-6184.32"/>
    <s v="Paid"/>
    <s v="Paid"/>
    <s v="Completed"/>
    <x v="0"/>
    <s v="Clean"/>
  </r>
  <r>
    <s v="ORD-2025-10588"/>
    <n v="1"/>
    <s v="Unique"/>
    <s v="23-07-2025"/>
    <s v="2025-07-31"/>
    <d v="2025-07-23T00:00:00"/>
    <d v="2025-07-31T00:00:00"/>
    <x v="0"/>
    <x v="1"/>
    <s v="Valid"/>
    <s v="Valid"/>
    <n v="8"/>
    <s v="CUST-1013"/>
    <s v="Kabir Singh"/>
    <s v="Kabir Singh"/>
    <s v="Home Office"/>
    <x v="3"/>
    <s v="West"/>
    <x v="3"/>
    <s v="Madhya Pradesh"/>
    <s v="Madhya Pradesh"/>
    <s v="Indore"/>
    <s v="Indore"/>
    <s v="Technology"/>
    <x v="2"/>
    <s v="Accessories"/>
    <x v="5"/>
    <s v="Eco Accessories 948"/>
    <s v="First Class"/>
    <x v="2"/>
    <n v="1"/>
    <n v="4253.84"/>
    <n v="0.15"/>
    <n v="0.15"/>
    <s v="Valid"/>
    <n v="3615.76"/>
    <n v="3615.7640000000001"/>
    <n v="2951.52"/>
    <n v="664.24"/>
    <n v="664.24400000000014"/>
    <n v="-2951.52"/>
    <s v="Refunded"/>
    <s v="Refunded"/>
    <s v="Cancelled"/>
    <x v="1"/>
    <s v="Clean"/>
  </r>
  <r>
    <s v="ORD-2025-10589"/>
    <n v="3"/>
    <s v="Unique"/>
    <s v="2025-03-11"/>
    <s v="15 Mar 2025"/>
    <d v="2025-11-03T00:00:00"/>
    <d v="2025-03-15T00:00:00"/>
    <x v="3"/>
    <x v="1"/>
    <s v="Valid"/>
    <s v="Valid"/>
    <n v="-233"/>
    <s v="CUST-3601"/>
    <s v="Aarav Sharma"/>
    <s v="Aarav Sharma"/>
    <s v="Home Office"/>
    <x v="3"/>
    <s v="South"/>
    <x v="2"/>
    <s v="Karnataka"/>
    <s v="Karnataka"/>
    <s v="Bengaluru"/>
    <s v="Bengaluru"/>
    <s v="Technology"/>
    <x v="2"/>
    <s v="Accessories"/>
    <x v="5"/>
    <s v="Classic Accessories 458"/>
    <s v="Second Class"/>
    <x v="0"/>
    <n v="8"/>
    <n v="4446.3599999999997"/>
    <n v="0.1"/>
    <n v="0.1"/>
    <s v="Valid"/>
    <n v="32013.79"/>
    <n v="32013.791999999998"/>
    <n v="20896.88"/>
    <n v="11116.91"/>
    <n v="11116.911999999997"/>
    <n v="-20896.88"/>
    <s v="Refunded"/>
    <s v="Refunded"/>
    <s v="Cancelled"/>
    <x v="1"/>
    <s v="Clean"/>
  </r>
  <r>
    <s v="ORD-2024-10590"/>
    <n v="1"/>
    <s v="Unique"/>
    <s v="06 Dec 2024"/>
    <s v="12/12/2024"/>
    <d v="2024-06-12T00:00:00"/>
    <d v="2024-12-12T00:00:00"/>
    <x v="2"/>
    <x v="0"/>
    <s v="Valid"/>
    <s v="Valid"/>
    <n v="183"/>
    <s v="CUST-7846"/>
    <s v="Rohan Mehta"/>
    <s v="Rohan Mehta"/>
    <s v="Corporate"/>
    <x v="2"/>
    <s v="North"/>
    <x v="0"/>
    <s v="Uttar Pradesh"/>
    <s v="Uttar Pradesh"/>
    <s v="Noida"/>
    <s v="Noida"/>
    <s v="Technology"/>
    <x v="2"/>
    <s v="Phones"/>
    <x v="11"/>
    <s v="Max Phones 318"/>
    <s v="First Class"/>
    <x v="2"/>
    <n v="3"/>
    <n v="524.75"/>
    <n v="0"/>
    <n v="0"/>
    <s v="Valid"/>
    <n v="1574.25"/>
    <n v="1574.25"/>
    <n v="1326.12"/>
    <n v="248.13"/>
    <n v="248.13000000000011"/>
    <n v="-1326.12"/>
    <s v="Paid"/>
    <s v="Paid"/>
    <s v="Completed"/>
    <x v="0"/>
    <s v="Clean"/>
  </r>
  <r>
    <s v="ORD-2024-10591"/>
    <n v="3"/>
    <s v="Unique"/>
    <s v="29-05-2024"/>
    <s v="2024-05-29"/>
    <d v="2024-05-29T00:00:00"/>
    <d v="2024-05-29T00:00:00"/>
    <x v="4"/>
    <x v="0"/>
    <s v="Valid"/>
    <s v="Valid"/>
    <n v="0"/>
    <s v="CUST-3433"/>
    <s v="Aarav Sharma"/>
    <s v="Aarav Sharma"/>
    <s v="Home Office"/>
    <x v="3"/>
    <s v="North"/>
    <x v="0"/>
    <s v="Delhi"/>
    <s v="Delhi"/>
    <s v="New Delhi"/>
    <s v="New Delhi"/>
    <s v="Furniture"/>
    <x v="1"/>
    <s v="Chairs"/>
    <x v="4"/>
    <s v="Elite Chairs 372"/>
    <s v="Same Day"/>
    <x v="1"/>
    <n v="6"/>
    <n v="3430.35"/>
    <n v="0"/>
    <n v="0"/>
    <s v="Valid"/>
    <n v="20582.099999999999"/>
    <n v="20582.099999999999"/>
    <n v="15897.65"/>
    <n v="4684.45"/>
    <n v="4684.4499999999989"/>
    <n v="-15897.65"/>
    <s v="Pending"/>
    <s v="Pending"/>
    <s v="Cancelled"/>
    <x v="1"/>
    <s v="Clean"/>
  </r>
  <r>
    <s v="ORD-2024-10592"/>
    <n v="1"/>
    <s v="Unique"/>
    <s v="2024-02-22"/>
    <s v="24-02-2024"/>
    <d v="2024-02-22T00:00:00"/>
    <d v="2024-02-24T00:00:00"/>
    <x v="6"/>
    <x v="0"/>
    <s v="Valid"/>
    <s v="Valid"/>
    <n v="2"/>
    <s v="CUST-2423"/>
    <s v="Sneha Kapoor"/>
    <s v="Sneha Kapoor"/>
    <s v="Consumer"/>
    <x v="0"/>
    <s v="South"/>
    <x v="2"/>
    <s v="Karnataka"/>
    <s v="Karnataka"/>
    <s v="Bengaluru"/>
    <s v="Bengaluru"/>
    <s v="Technology"/>
    <x v="2"/>
    <s v="Copiers"/>
    <x v="6"/>
    <s v="Eco Copiers 324"/>
    <s v="First Class"/>
    <x v="2"/>
    <n v="3"/>
    <n v="3545.08"/>
    <n v="0"/>
    <n v="0"/>
    <s v="Valid"/>
    <n v="10635.24"/>
    <n v="10635.24"/>
    <n v="6031.88"/>
    <n v="4603.3599999999997"/>
    <n v="4603.3599999999997"/>
    <n v="-6031.88"/>
    <s v="Failed"/>
    <s v="Failed"/>
    <s v="Returned"/>
    <x v="2"/>
    <s v="Clean"/>
  </r>
  <r>
    <s v="ORD-2024-10593"/>
    <n v="3"/>
    <s v="Unique"/>
    <s v="04-03-2024"/>
    <s v="2024-03-09"/>
    <d v="2024-04-03T00:00:00"/>
    <d v="2024-09-03T00:00:00"/>
    <x v="5"/>
    <x v="0"/>
    <s v="Valid"/>
    <s v="Valid"/>
    <n v="153"/>
    <s v="CUST-3559"/>
    <s v="Mira Das"/>
    <s v="Mira Das"/>
    <s v="Consumer"/>
    <x v="0"/>
    <s v="East"/>
    <x v="1"/>
    <s v="West Bengal"/>
    <s v="West Bengal"/>
    <s v="Kolkata"/>
    <s v="Kolkata"/>
    <s v="Technology"/>
    <x v="2"/>
    <s v="Accessories"/>
    <x v="5"/>
    <s v="Classic Accessories 131"/>
    <s v="Same Day"/>
    <x v="1"/>
    <n v="8"/>
    <n v="4401.41"/>
    <n v="0.15"/>
    <n v="0.15"/>
    <s v="Valid"/>
    <n v="29929.59"/>
    <n v="29929.588"/>
    <n v="22436.03"/>
    <n v="7493.56"/>
    <n v="7493.5580000000009"/>
    <n v="-22436.03"/>
    <s v="Paid"/>
    <s v="Paid"/>
    <s v="Completed"/>
    <x v="0"/>
    <s v="Clean"/>
  </r>
  <r>
    <s v="ORD-2025-10594"/>
    <n v="1"/>
    <s v="Unique"/>
    <s v="09/27/2025"/>
    <s v="2025-09-29"/>
    <d v="2025-09-27T00:00:00"/>
    <d v="2025-09-29T00:00:00"/>
    <x v="9"/>
    <x v="1"/>
    <s v="Valid"/>
    <s v="Valid"/>
    <n v="2"/>
    <s v="CUST-2917"/>
    <s v="Arjun Bose"/>
    <s v="Arjun Bose"/>
    <s v="Home Office"/>
    <x v="3"/>
    <s v="North"/>
    <x v="0"/>
    <s v="Uttar Pradesh"/>
    <s v="Uttar Pradesh"/>
    <s v="Noida"/>
    <s v="Noida"/>
    <s v="Furniture"/>
    <x v="1"/>
    <s v="Tables"/>
    <x v="1"/>
    <s v="Eco Tables 550"/>
    <s v="Second Class"/>
    <x v="0"/>
    <n v="9"/>
    <n v="4100.1099999999997"/>
    <n v="0.25"/>
    <n v="0.25"/>
    <s v="Valid"/>
    <n v="27675.74"/>
    <n v="27675.7425"/>
    <n v="15571.08"/>
    <n v="12104.66"/>
    <n v="12104.6625"/>
    <n v="-15571.08"/>
    <s v="Paid"/>
    <s v="Paid"/>
    <s v="Completed"/>
    <x v="0"/>
    <s v="Clean"/>
  </r>
  <r>
    <s v="ORD-2024-10595"/>
    <n v="1"/>
    <s v="Unique"/>
    <s v="2024-09-19"/>
    <s v="2024-09-21"/>
    <d v="2024-09-19T00:00:00"/>
    <d v="2024-09-21T00:00:00"/>
    <x v="9"/>
    <x v="0"/>
    <s v="Valid"/>
    <s v="Valid"/>
    <n v="2"/>
    <s v="CUST-6850"/>
    <s v="Karan Malhotra"/>
    <s v="Karan Malhotra"/>
    <s v="Small Business"/>
    <x v="1"/>
    <s v="East"/>
    <x v="1"/>
    <s v="West Bengal"/>
    <s v="West Bengal"/>
    <s v="Kolkata"/>
    <s v="Kolkata"/>
    <s v="Furniture"/>
    <x v="1"/>
    <s v="Chairs"/>
    <x v="4"/>
    <s v="Basic Chairs 932"/>
    <s v="First Class"/>
    <x v="2"/>
    <n v="3"/>
    <n v="3981.76"/>
    <n v="0"/>
    <n v="0"/>
    <s v="Valid"/>
    <n v="11945.28"/>
    <n v="11945.28"/>
    <n v="9700.31"/>
    <n v="2244.9699999999998"/>
    <n v="2244.9700000000012"/>
    <n v="-9700.31"/>
    <s v="Paid"/>
    <s v="Paid"/>
    <s v="Completed"/>
    <x v="0"/>
    <s v="Clean"/>
  </r>
  <r>
    <s v="ORD-2025-10596"/>
    <n v="1"/>
    <s v="Unique"/>
    <s v="02/11/2025"/>
    <s v="16-02-2025"/>
    <d v="2025-02-11T00:00:00"/>
    <d v="2025-02-16T00:00:00"/>
    <x v="6"/>
    <x v="1"/>
    <s v="Valid"/>
    <s v="Valid"/>
    <n v="5"/>
    <s v="CUST-5566"/>
    <s v="Mira Das"/>
    <s v="Mira Das"/>
    <s v="Corporate"/>
    <x v="2"/>
    <s v="North"/>
    <x v="0"/>
    <s v="Uttar Pradesh"/>
    <s v="Uttar Pradesh"/>
    <s v="Noida"/>
    <s v="Noida"/>
    <s v="Technology"/>
    <x v="2"/>
    <s v="Phones"/>
    <x v="11"/>
    <s v="Classic Phones 294"/>
    <s v="First Class"/>
    <x v="2"/>
    <n v="8"/>
    <n v="1825.56"/>
    <n v="0.1"/>
    <n v="0.1"/>
    <s v="Valid"/>
    <n v="13144.03"/>
    <n v="13144.031999999999"/>
    <n v="9764"/>
    <n v="3380.03"/>
    <n v="3380.0319999999992"/>
    <n v="-9764"/>
    <s v="Paid"/>
    <s v="Paid"/>
    <s v="Completed"/>
    <x v="0"/>
    <s v="Clean"/>
  </r>
  <r>
    <s v="ORD-2024-10597"/>
    <n v="1"/>
    <s v="Unique"/>
    <s v="10 Apr 2024"/>
    <s v="04/16/2024"/>
    <d v="2024-10-04T00:00:00"/>
    <d v="2024-04-16T00:00:00"/>
    <x v="10"/>
    <x v="0"/>
    <s v="Valid"/>
    <s v="Valid"/>
    <n v="-171"/>
    <s v="CUST-2593"/>
    <s v="Aditi Sen"/>
    <s v="Aditi Sen"/>
    <s v="Consumer"/>
    <x v="0"/>
    <s v="South"/>
    <x v="2"/>
    <s v="Kerala"/>
    <s v="Kerala"/>
    <s v="Kochi"/>
    <s v="Kochi"/>
    <s v="Furniture"/>
    <x v="1"/>
    <s v="Chairs"/>
    <x v="4"/>
    <s v="Elite Chairs 700"/>
    <s v="Second Class"/>
    <x v="0"/>
    <n v="9"/>
    <n v="2723.26"/>
    <n v="0.25"/>
    <n v="0.25"/>
    <s v="Valid"/>
    <n v="18382.009999999998"/>
    <n v="18382.005000000005"/>
    <n v="13108.2"/>
    <n v="5273.81"/>
    <n v="5273.8050000000039"/>
    <n v="-13108.2"/>
    <s v="Paid"/>
    <s v="Paid"/>
    <s v="Completed"/>
    <x v="0"/>
    <s v="Clean"/>
  </r>
  <r>
    <s v="ORD-2025-10598"/>
    <n v="2"/>
    <s v="Unique"/>
    <s v="08 Jul 2025"/>
    <s v="07/08/2025"/>
    <d v="2025-08-07T00:00:00"/>
    <d v="2025-07-08T00:00:00"/>
    <x v="1"/>
    <x v="1"/>
    <s v="Valid"/>
    <s v="Valid"/>
    <n v="-30"/>
    <s v="CUST-6957"/>
    <s v="Aditi Sen"/>
    <s v="Aditi Sen"/>
    <s v="Consumer"/>
    <x v="0"/>
    <s v="South"/>
    <x v="2"/>
    <s v="Telangana"/>
    <s v="Telangana"/>
    <s v="Hyderabad"/>
    <s v="Hyderabad"/>
    <s v="Technology"/>
    <x v="2"/>
    <s v="Copiers"/>
    <x v="6"/>
    <s v="Prime Copiers 969"/>
    <s v="Same Day"/>
    <x v="1"/>
    <n v="9"/>
    <n v="274.88"/>
    <n v="0.25"/>
    <n v="0.25"/>
    <s v="Valid"/>
    <n v="1855.44"/>
    <n v="1855.44"/>
    <n v="1262.74"/>
    <n v="592.70000000000005"/>
    <n v="592.70000000000005"/>
    <n v="-1262.74"/>
    <s v="Paid"/>
    <s v="Paid"/>
    <s v="Completed"/>
    <x v="0"/>
    <s v="Clean"/>
  </r>
  <r>
    <s v="ORD-2024-10599"/>
    <n v="1"/>
    <s v="Exact Duplicate"/>
    <s v="08/17/2024"/>
    <s v="08/24/2024"/>
    <d v="2024-08-17T00:00:00"/>
    <d v="2024-08-24T00:00:00"/>
    <x v="1"/>
    <x v="0"/>
    <s v="Valid"/>
    <s v="Valid"/>
    <n v="7"/>
    <s v="CUST-8498"/>
    <s v="Ananya Rao"/>
    <s v="Ananya Rao"/>
    <s v="Corporate"/>
    <x v="2"/>
    <s v="East"/>
    <x v="1"/>
    <s v="West Bengal"/>
    <s v="West Bengal"/>
    <s v="Kolkata"/>
    <s v="Kolkata"/>
    <s v="Technology"/>
    <x v="2"/>
    <s v="Copiers"/>
    <x v="6"/>
    <s v="Eco Copiers 268"/>
    <s v="Same Day"/>
    <x v="1"/>
    <n v="3"/>
    <n v="1490.69"/>
    <n v="0.25"/>
    <n v="0.25"/>
    <s v="Valid"/>
    <n v="3354.05"/>
    <n v="3354.0524999999998"/>
    <n v="2672.67"/>
    <n v="681.38"/>
    <n v="681.38249999999971"/>
    <n v="-2672.67"/>
    <s v="Paid"/>
    <s v="Paid"/>
    <s v="Completed"/>
    <x v="0"/>
    <s v="Clean"/>
  </r>
  <r>
    <s v="ORD-2024-10600"/>
    <n v="1"/>
    <s v="Unique"/>
    <s v="19-08-2024"/>
    <s v="21 Aug 2024"/>
    <d v="2024-08-19T00:00:00"/>
    <d v="2024-08-21T00:00:00"/>
    <x v="1"/>
    <x v="0"/>
    <s v="Valid"/>
    <s v="Valid"/>
    <n v="2"/>
    <s v="CUST-2612"/>
    <s v="Arjun Bose"/>
    <s v="Arjun Bose"/>
    <s v="Consumer"/>
    <x v="0"/>
    <s v="North"/>
    <x v="0"/>
    <s v="Punjab"/>
    <s v="Punjab"/>
    <s v="Ludhiana"/>
    <s v="Ludhiana"/>
    <s v="Technology"/>
    <x v="2"/>
    <s v="Phones"/>
    <x v="11"/>
    <s v="Pro Phones 588"/>
    <s v="First Class"/>
    <x v="2"/>
    <n v="3"/>
    <n v="1103.54"/>
    <n v="0.25"/>
    <n v="0.25"/>
    <s v="Valid"/>
    <n v="2482.9699999999998"/>
    <n v="2482.9650000000001"/>
    <n v="1621.72"/>
    <n v="861.25"/>
    <n v="861.24500000000012"/>
    <n v="-1621.72"/>
    <s v="Paid"/>
    <s v="Paid"/>
    <s v="Completed"/>
    <x v="0"/>
    <s v="Clean"/>
  </r>
  <r>
    <s v="ORD-2025-10601"/>
    <n v="2"/>
    <s v="Unique"/>
    <s v="05-03-2025"/>
    <s v="2025-03-12"/>
    <d v="2025-05-03T00:00:00"/>
    <d v="2025-12-03T00:00:00"/>
    <x v="4"/>
    <x v="1"/>
    <s v="Valid"/>
    <s v="Valid"/>
    <n v="214"/>
    <s v="CUST-6013"/>
    <s v="Ananya Rao"/>
    <s v="Ananya Rao"/>
    <s v="Corporate"/>
    <x v="2"/>
    <s v="West"/>
    <x v="3"/>
    <s v="Madhya Pradesh"/>
    <s v="Madhya Pradesh"/>
    <s v="Indore"/>
    <s v="Indore"/>
    <s v="Office Supplies"/>
    <x v="0"/>
    <s v="Storage"/>
    <x v="8"/>
    <s v="Prime Storage 432"/>
    <s v="Same Day"/>
    <x v="1"/>
    <n v="3"/>
    <n v="3682.75"/>
    <s v="Unknown"/>
    <s v="Unknown"/>
    <s v="Invalid - Above Range"/>
    <n v="11048.25"/>
    <s v="Unknown"/>
    <n v="9062.7199999999993"/>
    <n v="1985.53"/>
    <s v="Unknown"/>
    <s v="Unknown"/>
    <s v="Paid"/>
    <s v="Paid"/>
    <s v="Completed"/>
    <x v="0"/>
    <s v="Needs Review"/>
  </r>
  <r>
    <s v="ORD-2024-10602"/>
    <n v="2"/>
    <s v="Unique"/>
    <s v="26 Jan 2024"/>
    <s v="01/31/2024"/>
    <d v="2024-01-26T00:00:00"/>
    <d v="2024-01-31T00:00:00"/>
    <x v="8"/>
    <x v="0"/>
    <s v="Valid"/>
    <s v="Valid"/>
    <n v="5"/>
    <s v="CUST-8289"/>
    <s v="Ananya Rao"/>
    <s v="Ananya Rao"/>
    <s v="Home Office"/>
    <x v="3"/>
    <s v="East"/>
    <x v="1"/>
    <s v="West Bengal"/>
    <s v="West Bengal"/>
    <s v="Kolkata"/>
    <s v="Kolkata"/>
    <s v="Office Supplies"/>
    <x v="0"/>
    <s v="Paper"/>
    <x v="0"/>
    <s v="Basic Paper 452"/>
    <s v="Second Class"/>
    <x v="0"/>
    <n v="5"/>
    <n v="1615.03"/>
    <n v="0.2"/>
    <n v="0.2"/>
    <s v="Valid"/>
    <n v="6460.12"/>
    <n v="6460.12"/>
    <n v="3604.03"/>
    <n v="2856.09"/>
    <n v="2856.0899999999997"/>
    <n v="-3604.03"/>
    <s v="Paid"/>
    <s v="Paid"/>
    <s v="Completed"/>
    <x v="0"/>
    <s v="Clean"/>
  </r>
  <r>
    <s v="ORD-2024-10603"/>
    <n v="1"/>
    <s v="Unique"/>
    <s v="23-10-2024"/>
    <s v="2024-10-30"/>
    <d v="2024-10-23T00:00:00"/>
    <d v="2024-10-30T00:00:00"/>
    <x v="10"/>
    <x v="0"/>
    <s v="Valid"/>
    <s v="Valid"/>
    <n v="7"/>
    <s v="CUST-5668"/>
    <s v="Aarav Sharma"/>
    <s v="Aarav Sharma"/>
    <s v="Consumer"/>
    <x v="0"/>
    <s v="East"/>
    <x v="1"/>
    <s v="Jharkhand"/>
    <s v="Jharkhand"/>
    <s v="Ranchi"/>
    <s v="Ranchi"/>
    <s v="Technology"/>
    <x v="2"/>
    <s v="Copiers"/>
    <x v="6"/>
    <s v="Max Copiers 477"/>
    <s v="Second Class"/>
    <x v="0"/>
    <n v="9"/>
    <n v="3423.82"/>
    <n v="0.15"/>
    <n v="0.15"/>
    <s v="Valid"/>
    <n v="26192.22"/>
    <n v="26192.223000000002"/>
    <n v="20795.55"/>
    <n v="5396.67"/>
    <n v="5396.6730000000025"/>
    <n v="-20795.55"/>
    <s v="Paid"/>
    <s v="Paid"/>
    <s v="Completed"/>
    <x v="0"/>
    <s v="Clean"/>
  </r>
  <r>
    <s v="ORD-2025-10604"/>
    <n v="2"/>
    <s v="Unique"/>
    <s v="01/03/2025"/>
    <s v="11-01-2025"/>
    <d v="2025-01-03T00:00:00"/>
    <d v="2025-11-01T00:00:00"/>
    <x v="8"/>
    <x v="1"/>
    <s v="Valid"/>
    <s v="Valid"/>
    <n v="302"/>
    <s v="CUST-5808"/>
    <s v="Vikram Iyer"/>
    <s v="Vikram Iyer"/>
    <s v="Corporate"/>
    <x v="2"/>
    <s v="East"/>
    <x v="1"/>
    <s v="Bihar"/>
    <s v="Bihar"/>
    <s v="Patna"/>
    <s v="Patna"/>
    <s v="Technology"/>
    <x v="2"/>
    <s v="Accessories"/>
    <x v="5"/>
    <s v="Prime Accessories 300"/>
    <s v="First Class"/>
    <x v="2"/>
    <n v="8"/>
    <n v="2574.29"/>
    <n v="0.05"/>
    <n v="0.05"/>
    <s v="Valid"/>
    <n v="19564.599999999999"/>
    <n v="19564.603999999999"/>
    <n v="11154.59"/>
    <n v="8410.01"/>
    <n v="8410.0139999999992"/>
    <n v="-11154.59"/>
    <s v="Pending"/>
    <s v="Pending"/>
    <s v="Cancelled"/>
    <x v="1"/>
    <s v="Clean"/>
  </r>
  <r>
    <s v="ORD-2025-10605"/>
    <n v="2"/>
    <s v="Unique"/>
    <s v="05-02-2025"/>
    <s v="02/06/2025"/>
    <d v="2025-05-02T00:00:00"/>
    <d v="2025-02-06T00:00:00"/>
    <x v="4"/>
    <x v="1"/>
    <s v="Valid"/>
    <s v="Valid"/>
    <n v="-85"/>
    <s v="CUST-4526"/>
    <s v="Ananya Rao"/>
    <s v="Ananya Rao"/>
    <s v="Consumer"/>
    <x v="0"/>
    <s v="West"/>
    <x v="3"/>
    <s v="Madhya Pradesh"/>
    <s v="Madhya Pradesh"/>
    <s v="Indore"/>
    <s v="Indore"/>
    <s v="Office Supplies"/>
    <x v="0"/>
    <s v="Binders"/>
    <x v="9"/>
    <s v="Max Binders 547"/>
    <s v="Same Day"/>
    <x v="1"/>
    <n v="3"/>
    <n v="1076.3"/>
    <n v="0"/>
    <n v="0"/>
    <s v="Valid"/>
    <n v="3228.9"/>
    <n v="3228.8999999999996"/>
    <n v="1853.23"/>
    <n v="1375.67"/>
    <n v="1375.6699999999996"/>
    <n v="-1853.23"/>
    <s v="Paid"/>
    <s v="Paid"/>
    <s v="Completed"/>
    <x v="0"/>
    <s v="Clean"/>
  </r>
  <r>
    <s v="ORD-2025-10606"/>
    <n v="1"/>
    <s v="Unique"/>
    <s v="2025-07-09"/>
    <s v="13 Jul 2025"/>
    <d v="2025-09-07T00:00:00"/>
    <d v="2025-07-13T00:00:00"/>
    <x v="9"/>
    <x v="1"/>
    <s v="Valid"/>
    <s v="Valid"/>
    <n v="-56"/>
    <s v="CUST-4447"/>
    <s v="Kabir Singh"/>
    <s v="Kabir Singh"/>
    <s v="Corporate"/>
    <x v="2"/>
    <s v="West"/>
    <x v="3"/>
    <s v="Goa"/>
    <s v="Goa"/>
    <s v="Panaji"/>
    <s v="Panaji"/>
    <s v="Furniture"/>
    <x v="1"/>
    <s v="Furnishings"/>
    <x v="3"/>
    <s v="Pro Furnishings 267"/>
    <s v="Second Class"/>
    <x v="0"/>
    <n v="5"/>
    <n v="1680.01"/>
    <s v="85%"/>
    <n v="0.85"/>
    <s v="Invalid - Above Range"/>
    <n v="7560.04"/>
    <n v="1260.0075000000002"/>
    <n v="6448.05"/>
    <n v="1111.99"/>
    <n v="-5188.0424999999996"/>
    <n v="-6448.0499999999993"/>
    <s v="Paid"/>
    <s v="Paid"/>
    <s v="Cancelled"/>
    <x v="1"/>
    <s v="Clean"/>
  </r>
  <r>
    <s v="ORD-2025-10607"/>
    <n v="1"/>
    <s v="Unique"/>
    <s v="22 Feb 2025"/>
    <s v="02/28/2025"/>
    <d v="2025-02-22T00:00:00"/>
    <d v="2025-02-28T00:00:00"/>
    <x v="6"/>
    <x v="1"/>
    <s v="Valid"/>
    <s v="Valid"/>
    <n v="6"/>
    <s v="CUST-2698"/>
    <s v="Rahul Verma"/>
    <s v="Rahul Verma"/>
    <s v="Home Office"/>
    <x v="3"/>
    <s v="West"/>
    <x v="3"/>
    <s v="Madhya Pradesh"/>
    <s v="Madhya Pradesh"/>
    <s v="Indore"/>
    <s v="Indore"/>
    <s v="Technology"/>
    <x v="2"/>
    <s v="Copiers"/>
    <x v="6"/>
    <s v="Max Copiers 520"/>
    <s v="Same Day"/>
    <x v="1"/>
    <n v="3"/>
    <n v="3890.81"/>
    <n v="0.25"/>
    <n v="0.25"/>
    <s v="Valid"/>
    <n v="8754.32"/>
    <n v="8754.3225000000002"/>
    <n v="6238.9"/>
    <n v="2515.42"/>
    <n v="2515.4225000000006"/>
    <n v="-6238.9"/>
    <s v="Paid"/>
    <s v="Paid"/>
    <s v="Completed"/>
    <x v="0"/>
    <s v="Clean"/>
  </r>
  <r>
    <s v="ORD-2025-10608"/>
    <n v="1"/>
    <s v="Unique"/>
    <s v="16-02-2025"/>
    <s v="22 Feb 2025"/>
    <d v="2025-02-16T00:00:00"/>
    <d v="2025-02-22T00:00:00"/>
    <x v="6"/>
    <x v="1"/>
    <s v="Valid"/>
    <s v="Valid"/>
    <n v="6"/>
    <s v="CUST-6297"/>
    <s v="Sneha Kapoor"/>
    <s v="Sneha Kapoor"/>
    <s v="Home Office"/>
    <x v="3"/>
    <s v="East"/>
    <x v="1"/>
    <s v="Bihar"/>
    <s v="Bihar"/>
    <s v="Patna"/>
    <s v="Patna"/>
    <s v="Office Supplies"/>
    <x v="0"/>
    <s v="Storage"/>
    <x v="8"/>
    <s v="Max Storage 424"/>
    <s v="Same Day"/>
    <x v="1"/>
    <n v="5"/>
    <n v="954.67"/>
    <n v="0.15"/>
    <n v="0.15"/>
    <s v="Valid"/>
    <n v="4057.35"/>
    <n v="4057.3474999999994"/>
    <n v="2862.03"/>
    <n v="1195.32"/>
    <n v="1195.3174999999992"/>
    <n v="-2862.03"/>
    <s v="Paid"/>
    <s v="Paid"/>
    <s v="Completed"/>
    <x v="0"/>
    <s v="Clean"/>
  </r>
  <r>
    <s v="ORD-2024-10609"/>
    <n v="1"/>
    <s v="Unique"/>
    <s v="21 Jun 2024"/>
    <s v="23 Jun 2024"/>
    <d v="2024-06-21T00:00:00"/>
    <d v="2024-06-23T00:00:00"/>
    <x v="2"/>
    <x v="0"/>
    <s v="Valid"/>
    <s v="Valid"/>
    <n v="2"/>
    <s v="CUST-7690"/>
    <s v="Karan Malhotra"/>
    <s v="Karan Malhotra"/>
    <s v="Home Office"/>
    <x v="3"/>
    <s v="West"/>
    <x v="3"/>
    <s v="Goa"/>
    <s v="Goa"/>
    <s v="Panaji"/>
    <s v="Panaji"/>
    <s v="Furniture"/>
    <x v="1"/>
    <s v="Furnishings"/>
    <x v="3"/>
    <s v="Elite Furnishings 706"/>
    <s v="Second Class"/>
    <x v="0"/>
    <n v="9"/>
    <n v="2153.75"/>
    <n v="0"/>
    <n v="0"/>
    <s v="Valid"/>
    <n v="19383.75"/>
    <n v="19383.75"/>
    <n v="11667.43"/>
    <n v="7716.32"/>
    <n v="7716.32"/>
    <n v="-11667.43"/>
    <s v="Paid"/>
    <s v="Paid"/>
    <s v="Completed"/>
    <x v="0"/>
    <s v="Clean"/>
  </r>
  <r>
    <s v="ORD-2025-10610"/>
    <n v="4"/>
    <s v="Unique"/>
    <s v="2025-01-08"/>
    <s v="12-01-2025"/>
    <d v="2025-08-01T00:00:00"/>
    <d v="2025-12-01T00:00:00"/>
    <x v="1"/>
    <x v="1"/>
    <s v="Valid"/>
    <s v="Valid"/>
    <n v="122"/>
    <s v="CUST-4380"/>
    <s v="Sneha Kapoor"/>
    <s v="Sneha Kapoor"/>
    <s v="Home Office"/>
    <x v="3"/>
    <s v="South"/>
    <x v="2"/>
    <s v="Karnataka"/>
    <s v="Karnataka"/>
    <s v="Bengaluru"/>
    <s v="Bengaluru"/>
    <s v="Furniture"/>
    <x v="1"/>
    <s v="Chairs"/>
    <x v="4"/>
    <s v="Pro Chairs 908"/>
    <s v="Standard Class"/>
    <x v="3"/>
    <n v="7"/>
    <n v="4337.4799999999996"/>
    <n v="0"/>
    <n v="0"/>
    <s v="Valid"/>
    <n v="30362.36"/>
    <n v="30362.359999999997"/>
    <n v="25065.4"/>
    <n v="5296.96"/>
    <n v="5296.9599999999955"/>
    <n v="-25065.4"/>
    <s v="Paid"/>
    <s v="Paid"/>
    <s v="Completed"/>
    <x v="0"/>
    <s v="Clean"/>
  </r>
  <r>
    <s v="ORD-2024-10611"/>
    <n v="1"/>
    <s v="Unique"/>
    <s v="20 May 2024"/>
    <s v="05/20/2024"/>
    <d v="2024-05-20T00:00:00"/>
    <d v="2024-05-20T00:00:00"/>
    <x v="4"/>
    <x v="0"/>
    <s v="Valid"/>
    <s v="Valid"/>
    <n v="0"/>
    <s v="CUST-2779"/>
    <s v="Karan Malhotra"/>
    <s v="Karan Malhotra"/>
    <s v="Home Office"/>
    <x v="3"/>
    <s v="West"/>
    <x v="3"/>
    <s v="Madhya Pradesh"/>
    <s v="Madhya Pradesh"/>
    <s v="Indore"/>
    <s v="Indore"/>
    <s v="Furniture"/>
    <x v="1"/>
    <s v="Chairs"/>
    <x v="4"/>
    <s v="Pro Chairs 712"/>
    <s v="Standard Class"/>
    <x v="3"/>
    <n v="1"/>
    <n v="3032.95"/>
    <n v="0.1"/>
    <n v="0.1"/>
    <s v="Valid"/>
    <n v="2729.65"/>
    <n v="2729.6549999999997"/>
    <n v="1715.36"/>
    <n v="1014.29"/>
    <n v="1014.2949999999998"/>
    <n v="-1715.36"/>
    <s v="Paid"/>
    <s v="Paid"/>
    <s v="Completed"/>
    <x v="0"/>
    <s v="Clean"/>
  </r>
  <r>
    <s v="ORD-2025-10612"/>
    <n v="3"/>
    <s v="Unique"/>
    <s v="08-07-2025"/>
    <s v="15 Jul 2025"/>
    <d v="2025-08-07T00:00:00"/>
    <d v="2025-07-15T00:00:00"/>
    <x v="1"/>
    <x v="1"/>
    <s v="Valid"/>
    <s v="Valid"/>
    <n v="-23"/>
    <s v="CUST-6108"/>
    <s v="Ananya Rao"/>
    <s v="Ananya Rao"/>
    <s v="Small Business"/>
    <x v="1"/>
    <s v="North"/>
    <x v="0"/>
    <s v="Rajasthan"/>
    <s v="Rajasthan"/>
    <s v="Jaipur"/>
    <s v="Jaipur"/>
    <s v="Office Supplies"/>
    <x v="0"/>
    <s v="Binders"/>
    <x v="9"/>
    <s v="Max Binders 785"/>
    <s v="Same Day"/>
    <x v="1"/>
    <n v="8"/>
    <n v="655.28"/>
    <n v="0.1"/>
    <n v="0.1"/>
    <s v="Valid"/>
    <n v="4718.0200000000004"/>
    <n v="4718.0159999999996"/>
    <n v="3908.23"/>
    <n v="809.79"/>
    <n v="809.7859999999996"/>
    <n v="-3908.23"/>
    <s v="Paid"/>
    <s v="Paid"/>
    <s v="Completed"/>
    <x v="0"/>
    <s v="Clean"/>
  </r>
  <r>
    <s v="ORD-2025-10613"/>
    <n v="2"/>
    <s v="Unique"/>
    <s v="06 Apr 2025"/>
    <s v="13-04-2025"/>
    <d v="2025-06-04T00:00:00"/>
    <d v="2025-04-13T00:00:00"/>
    <x v="2"/>
    <x v="1"/>
    <s v="Valid"/>
    <s v="Valid"/>
    <n v="-52"/>
    <s v="CUST-5663"/>
    <s v="Aditi Sen"/>
    <s v="Aditi Sen"/>
    <s v="Consumer"/>
    <x v="0"/>
    <s v="Unknown"/>
    <x v="4"/>
    <s v="Odisha"/>
    <s v="Odisha"/>
    <s v="Bhubaneswar"/>
    <s v="Bhubaneswar"/>
    <s v="Technology"/>
    <x v="2"/>
    <s v="Phones"/>
    <x v="11"/>
    <s v="Elite Phones 239"/>
    <s v="Standard Class"/>
    <x v="3"/>
    <n v="1"/>
    <n v="3844.01"/>
    <n v="0"/>
    <n v="0"/>
    <s v="Valid"/>
    <n v="3844.01"/>
    <n v="3844.01"/>
    <n v="2195.79"/>
    <n v="1648.22"/>
    <n v="1648.2200000000003"/>
    <n v="-2195.79"/>
    <s v="Paid"/>
    <s v="Paid"/>
    <s v="Completed"/>
    <x v="0"/>
    <s v="Clean"/>
  </r>
  <r>
    <s v="ORD-2024-10614"/>
    <n v="1"/>
    <s v="Unique"/>
    <s v="2024-10-05"/>
    <s v="10/10/2024"/>
    <d v="2024-05-10T00:00:00"/>
    <d v="2024-10-10T00:00:00"/>
    <x v="4"/>
    <x v="0"/>
    <s v="Valid"/>
    <s v="Valid"/>
    <n v="153"/>
    <s v="CUST-9311"/>
    <s v="Diya Patel"/>
    <s v="Diya Patel"/>
    <s v="Home Office"/>
    <x v="3"/>
    <s v="West"/>
    <x v="3"/>
    <s v="Gujarat"/>
    <s v="Gujarat"/>
    <s v="Ahmedabad"/>
    <s v="Ahmedabad"/>
    <s v="Technology"/>
    <x v="2"/>
    <s v="Machines"/>
    <x v="12"/>
    <s v="Basic Machines 413"/>
    <s v="Same Day"/>
    <x v="1"/>
    <n v="9"/>
    <n v="3361.3"/>
    <n v="0.25"/>
    <n v="0.25"/>
    <s v="Valid"/>
    <n v="22688.78"/>
    <n v="22688.775000000001"/>
    <n v="14672.41"/>
    <n v="8016.37"/>
    <n v="8016.3650000000016"/>
    <n v="-14672.41"/>
    <s v="Paid"/>
    <s v="Paid"/>
    <s v="Completed"/>
    <x v="0"/>
    <s v="Clean"/>
  </r>
  <r>
    <s v="ORD-2024-10615"/>
    <n v="4"/>
    <s v="Unique"/>
    <s v="11-02-2024"/>
    <s v="19-02-2024"/>
    <d v="2024-11-02T00:00:00"/>
    <d v="2024-02-19T00:00:00"/>
    <x v="3"/>
    <x v="0"/>
    <s v="Valid"/>
    <s v="Valid"/>
    <n v="-257"/>
    <s v="CUST-8154"/>
    <s v="Ananya Rao"/>
    <s v="Ananya Rao"/>
    <s v="Home Office"/>
    <x v="3"/>
    <s v="South"/>
    <x v="2"/>
    <s v="Telangana"/>
    <s v="Telangana"/>
    <s v="Hyderabad"/>
    <s v="Hyderabad"/>
    <s v="Furniture"/>
    <x v="1"/>
    <s v="Chairs"/>
    <x v="4"/>
    <s v="Elite Chairs 140"/>
    <s v="Standard Class"/>
    <x v="3"/>
    <n v="8"/>
    <n v="3398.32"/>
    <n v="0.25"/>
    <n v="0.25"/>
    <s v="Valid"/>
    <n v="20389.919999999998"/>
    <n v="20389.920000000002"/>
    <n v="16661.080000000002"/>
    <n v="3728.84"/>
    <n v="3728.84"/>
    <n v="-16661.080000000002"/>
    <s v="Refunded"/>
    <s v="Refunded"/>
    <s v="Cancelled"/>
    <x v="1"/>
    <s v="Clean"/>
  </r>
  <r>
    <s v="ORD-2024-10616"/>
    <n v="1"/>
    <s v="Unique"/>
    <s v="2024-10-04"/>
    <s v="10/07/2024"/>
    <d v="2024-04-10T00:00:00"/>
    <d v="2024-10-07T00:00:00"/>
    <x v="5"/>
    <x v="0"/>
    <s v="Valid"/>
    <s v="Valid"/>
    <n v="180"/>
    <s v="CUST-4462"/>
    <s v="Rahul Verma"/>
    <s v="Rahul Verma"/>
    <s v="Corporate"/>
    <x v="2"/>
    <s v="South"/>
    <x v="2"/>
    <s v="Kerala"/>
    <s v="Kerala"/>
    <s v="Kochi"/>
    <s v="Kochi"/>
    <s v="Office Supplies"/>
    <x v="0"/>
    <s v="Art"/>
    <x v="2"/>
    <s v="Basic Art 771"/>
    <s v="Second Class"/>
    <x v="0"/>
    <n v="2"/>
    <n v="3144.38"/>
    <n v="0.1"/>
    <n v="0.1"/>
    <s v="Valid"/>
    <n v="5904.57"/>
    <n v="5659.884"/>
    <n v="4337.79"/>
    <n v="1322.09"/>
    <n v="1322.0940000000001"/>
    <n v="-4337.79"/>
    <s v="Paid"/>
    <s v="Paid"/>
    <s v="Completed"/>
    <x v="0"/>
    <s v="Clean"/>
  </r>
  <r>
    <s v="ORD-2024-10617"/>
    <n v="1"/>
    <s v="Unique"/>
    <s v="16 Aug 2024"/>
    <s v="19-08-2024"/>
    <d v="2024-08-16T00:00:00"/>
    <d v="2024-08-19T00:00:00"/>
    <x v="1"/>
    <x v="0"/>
    <s v="Valid"/>
    <s v="Valid"/>
    <n v="3"/>
    <s v="CUST-4660"/>
    <s v="Kabir Singh"/>
    <s v="Kabir Singh"/>
    <s v="Consumer"/>
    <x v="0"/>
    <s v="South"/>
    <x v="2"/>
    <s v="Telangana"/>
    <s v="Telangana"/>
    <s v="Hyderabad"/>
    <s v="Hyderabad"/>
    <s v="Office Supplies"/>
    <x v="0"/>
    <s v="Paper"/>
    <x v="0"/>
    <s v="Prime Paper 664"/>
    <s v="Standard Class"/>
    <x v="3"/>
    <n v="6"/>
    <n v="3925.55"/>
    <n v="0.2"/>
    <n v="0.2"/>
    <s v="Valid"/>
    <n v="18842.64"/>
    <n v="18842.640000000003"/>
    <n v="11840.58"/>
    <n v="7002.06"/>
    <n v="7002.0600000000031"/>
    <n v="-11840.58"/>
    <s v="Paid"/>
    <s v="Paid"/>
    <s v="Completed"/>
    <x v="0"/>
    <s v="Clean"/>
  </r>
  <r>
    <s v="ORD-2024-10618"/>
    <n v="1"/>
    <s v="Unique"/>
    <s v="09/29/2024"/>
    <s v="2024-09-30"/>
    <d v="2024-09-29T00:00:00"/>
    <d v="2024-09-30T00:00:00"/>
    <x v="9"/>
    <x v="0"/>
    <s v="Valid"/>
    <s v="Valid"/>
    <n v="1"/>
    <s v="CUST-9002"/>
    <s v="Mira Das"/>
    <s v="Mira Das"/>
    <s v="Home Office"/>
    <x v="3"/>
    <s v="South"/>
    <x v="2"/>
    <s v="Telangana"/>
    <s v="Telangana"/>
    <s v="Hyderabad"/>
    <s v="Hyderabad"/>
    <s v="Technology"/>
    <x v="2"/>
    <s v="Phones"/>
    <x v="11"/>
    <s v="Pro Phones 226"/>
    <s v="Standard Class"/>
    <x v="3"/>
    <n v="9"/>
    <n v="2741.91"/>
    <n v="0"/>
    <n v="0"/>
    <s v="Valid"/>
    <n v="24677.19"/>
    <n v="24677.19"/>
    <n v="20350.849999999999"/>
    <n v="4326.34"/>
    <n v="4326.34"/>
    <n v="-20350.849999999999"/>
    <s v="Paid"/>
    <s v="Paid"/>
    <s v="Completed"/>
    <x v="0"/>
    <s v="Clean"/>
  </r>
  <r>
    <s v="ORD-2024-10619"/>
    <n v="1"/>
    <s v="Unique"/>
    <s v="2024-07-23"/>
    <s v="2024-07-30"/>
    <d v="2024-07-23T00:00:00"/>
    <d v="2024-07-30T00:00:00"/>
    <x v="0"/>
    <x v="0"/>
    <s v="Valid"/>
    <s v="Valid"/>
    <n v="7"/>
    <s v="CUST-1057"/>
    <s v="Kabir Singh"/>
    <s v="Kabir Singh"/>
    <s v="Corporate"/>
    <x v="2"/>
    <s v="North"/>
    <x v="0"/>
    <s v="Rajasthan"/>
    <s v="Rajasthan"/>
    <s v="Jaipur"/>
    <s v="Jaipur"/>
    <s v="Furniture"/>
    <x v="1"/>
    <s v="Tables"/>
    <x v="1"/>
    <s v="Basic Tables 684"/>
    <s v="Same Day"/>
    <x v="1"/>
    <n v="9"/>
    <n v="1870.11"/>
    <n v="0.25"/>
    <n v="0.25"/>
    <s v="Valid"/>
    <n v="12623.24"/>
    <n v="12623.242499999998"/>
    <n v="10540.8"/>
    <n v="2082.44"/>
    <n v="2082.4424999999992"/>
    <n v="-10540.8"/>
    <s v="Failed"/>
    <s v="Failed"/>
    <s v="Cancelled"/>
    <x v="1"/>
    <s v="Clean"/>
  </r>
  <r>
    <s v="ORD-2024-10620"/>
    <n v="2"/>
    <s v="Unique"/>
    <s v="11/22/2024"/>
    <s v="27 Nov 2024"/>
    <d v="2024-11-22T00:00:00"/>
    <d v="2024-11-27T00:00:00"/>
    <x v="3"/>
    <x v="0"/>
    <s v="Valid"/>
    <s v="Valid"/>
    <n v="5"/>
    <s v="CUST-9596"/>
    <s v="Priya Menon"/>
    <s v="Priya Menon"/>
    <s v="Corporate"/>
    <x v="2"/>
    <s v="South"/>
    <x v="2"/>
    <s v="Tamil Nadu"/>
    <s v="Tamil Nadu"/>
    <s v="Chennai"/>
    <s v="Chennai"/>
    <s v="Office Supplies"/>
    <x v="0"/>
    <s v="Binders"/>
    <x v="9"/>
    <s v="Prime Binders 938"/>
    <s v="First Class"/>
    <x v="2"/>
    <n v="1"/>
    <n v="4251.26"/>
    <n v="0.2"/>
    <n v="0.2"/>
    <s v="Valid"/>
    <n v="3401.01"/>
    <n v="3401.0080000000003"/>
    <n v="2917.54"/>
    <n v="483.47"/>
    <n v="483.4680000000003"/>
    <n v="-2917.54"/>
    <s v="Refunded"/>
    <s v="Refunded"/>
    <s v="Returned"/>
    <x v="2"/>
    <s v="Clean"/>
  </r>
  <r>
    <s v="ORD-2024-10621"/>
    <n v="1"/>
    <s v="Unique"/>
    <s v="18-08-2024"/>
    <s v="08/21/2024"/>
    <d v="2024-08-18T00:00:00"/>
    <d v="2024-08-21T00:00:00"/>
    <x v="1"/>
    <x v="0"/>
    <s v="Valid"/>
    <s v="Valid"/>
    <n v="3"/>
    <s v="CUST-6947"/>
    <s v="Vikram Iyer"/>
    <s v="Vikram Iyer"/>
    <s v="Consumer"/>
    <x v="0"/>
    <s v="North"/>
    <x v="0"/>
    <s v="Uttar Pradesh"/>
    <s v="Uttar Pradesh"/>
    <s v="Noida"/>
    <s v="Noida"/>
    <s v="Technology"/>
    <x v="2"/>
    <s v="Machines"/>
    <x v="12"/>
    <s v="Classic Machines 337"/>
    <s v="Standard Class"/>
    <x v="3"/>
    <n v="9"/>
    <n v="734.34"/>
    <n v="0"/>
    <n v="0"/>
    <s v="Valid"/>
    <n v="6609.06"/>
    <n v="6609.06"/>
    <n v="4946.78"/>
    <n v="1662.28"/>
    <n v="1662.2800000000007"/>
    <n v="-4946.78"/>
    <s v="Paid"/>
    <s v="Paid"/>
    <s v="Completed"/>
    <x v="0"/>
    <s v="Clean"/>
  </r>
  <r>
    <s v="ORD-2024-10622"/>
    <n v="2"/>
    <s v="Unique"/>
    <s v="28-11-2024"/>
    <s v="06-12-2024"/>
    <d v="2024-11-28T00:00:00"/>
    <d v="2024-06-12T00:00:00"/>
    <x v="3"/>
    <x v="0"/>
    <s v="Valid"/>
    <s v="Valid"/>
    <n v="-169"/>
    <s v="CUST-7236"/>
    <s v="Aditi Sen"/>
    <s v="Aditi Sen"/>
    <s v="Consumer"/>
    <x v="0"/>
    <s v="West"/>
    <x v="3"/>
    <s v="Maharashtra"/>
    <s v="Maharashtra"/>
    <s v="Mumbai"/>
    <s v="Mumbai"/>
    <s v="Furniture"/>
    <x v="1"/>
    <s v="Chairs"/>
    <x v="4"/>
    <s v="Max Chairs 748"/>
    <s v="Same Day"/>
    <x v="1"/>
    <n v="5"/>
    <n v="1092.8399999999999"/>
    <s v="Unknown"/>
    <s v="Unknown"/>
    <s v="Invalid - Above Range"/>
    <n v="5464.2"/>
    <s v="Unknown"/>
    <n v="3318.09"/>
    <n v="2146.11"/>
    <s v="Unknown"/>
    <s v="Unknown"/>
    <s v="Paid"/>
    <s v="Paid"/>
    <s v="Completed"/>
    <x v="0"/>
    <s v="Needs Review"/>
  </r>
  <r>
    <s v="ORD-2025-10623"/>
    <n v="2"/>
    <s v="Unique"/>
    <s v="29-01-2025"/>
    <s v="06 Feb 2025"/>
    <d v="2025-01-29T00:00:00"/>
    <d v="2025-06-02T00:00:00"/>
    <x v="8"/>
    <x v="1"/>
    <s v="Valid"/>
    <s v="Valid"/>
    <n v="124"/>
    <s v="CUST-1127"/>
    <s v="Vikram Iyer"/>
    <s v="Vikram Iyer"/>
    <s v="Consumer"/>
    <x v="0"/>
    <s v="East"/>
    <x v="1"/>
    <s v="Bihar"/>
    <s v="Bihar"/>
    <s v="Patna"/>
    <s v="Patna"/>
    <s v="Office Supplies"/>
    <x v="0"/>
    <s v="Storage"/>
    <x v="8"/>
    <s v="Basic Storage 934"/>
    <s v="Standard Class"/>
    <x v="3"/>
    <n v="4"/>
    <n v="2759.01"/>
    <n v="0.05"/>
    <n v="0.05"/>
    <s v="Valid"/>
    <n v="10484.24"/>
    <n v="10484.238000000001"/>
    <n v="6680.15"/>
    <n v="3804.09"/>
    <n v="3804.0880000000016"/>
    <n v="-6680.15"/>
    <s v="Paid"/>
    <s v="Paid"/>
    <s v="Completed"/>
    <x v="0"/>
    <s v="Clean"/>
  </r>
  <r>
    <s v="ORD-2024-10624"/>
    <n v="1"/>
    <s v="Unique"/>
    <s v="08 Aug 2024"/>
    <s v="14 Aug 2024"/>
    <d v="2024-08-08T00:00:00"/>
    <d v="2024-08-14T00:00:00"/>
    <x v="1"/>
    <x v="0"/>
    <s v="Valid"/>
    <s v="Valid"/>
    <n v="6"/>
    <s v="CUST-6262"/>
    <s v="Vikram Iyer"/>
    <s v="Vikram Iyer"/>
    <s v="Home Office"/>
    <x v="3"/>
    <s v="North"/>
    <x v="0"/>
    <s v="Punjab"/>
    <s v="Punjab"/>
    <s v="Ludhiana"/>
    <s v="Ludhiana"/>
    <s v="Office Supplies"/>
    <x v="0"/>
    <s v="Storage"/>
    <x v="8"/>
    <s v="Pro Storage 509"/>
    <s v="Second Class"/>
    <x v="0"/>
    <n v="8"/>
    <n v="1359.19"/>
    <n v="0.05"/>
    <n v="0.05"/>
    <s v="Valid"/>
    <n v="10329.84"/>
    <n v="10329.843999999999"/>
    <n v="7512.22"/>
    <n v="2817.62"/>
    <n v="2817.6239999999989"/>
    <n v="-7512.22"/>
    <s v="Paid"/>
    <s v="Paid"/>
    <s v="Completed"/>
    <x v="0"/>
    <s v="Clean"/>
  </r>
  <r>
    <s v="ORD-2024-10625"/>
    <n v="1"/>
    <s v="Unique"/>
    <s v="01/30/2024"/>
    <s v="2024-02-01"/>
    <d v="2024-01-30T00:00:00"/>
    <d v="2024-01-02T00:00:00"/>
    <x v="8"/>
    <x v="0"/>
    <s v="Valid"/>
    <s v="Valid"/>
    <n v="-28"/>
    <s v="CUST-5070"/>
    <s v="Neha Gupta"/>
    <s v="Neha Gupta"/>
    <s v="Home Office"/>
    <x v="3"/>
    <s v="East"/>
    <x v="1"/>
    <s v="Assam"/>
    <s v="Assam"/>
    <s v="Guwahati"/>
    <s v="Guwahati"/>
    <s v="Furniture"/>
    <x v="1"/>
    <s v="Chairs"/>
    <x v="4"/>
    <s v="Prime Chairs 765"/>
    <s v="First Class"/>
    <x v="2"/>
    <n v="2"/>
    <n v="4451.03"/>
    <n v="0.05"/>
    <n v="0.05"/>
    <s v="Valid"/>
    <n v="8456.9599999999991"/>
    <n v="8456.9569999999985"/>
    <n v="5462.85"/>
    <n v="2994.11"/>
    <n v="2994.1069999999982"/>
    <n v="-5462.85"/>
    <s v="Paid"/>
    <s v="Paid"/>
    <s v="Completed"/>
    <x v="0"/>
    <s v="Clean"/>
  </r>
  <r>
    <s v="ORD-2024-10626"/>
    <n v="1"/>
    <s v="Unique"/>
    <s v="12/15/2024"/>
    <s v="21 Dec 2024"/>
    <d v="2024-12-15T00:00:00"/>
    <d v="2024-12-21T00:00:00"/>
    <x v="7"/>
    <x v="0"/>
    <s v="Valid"/>
    <s v="Valid"/>
    <n v="6"/>
    <s v="CUST-7946"/>
    <s v="Diya Patel"/>
    <s v="Diya Patel"/>
    <s v="Corporate"/>
    <x v="2"/>
    <s v="West"/>
    <x v="3"/>
    <s v="Rajasthan"/>
    <s v="Rajasthan"/>
    <s v="Udaipur"/>
    <s v="Udaipur"/>
    <s v="Furniture"/>
    <x v="1"/>
    <s v="Chairs"/>
    <x v="4"/>
    <s v="Elite Chairs 358"/>
    <s v="Same Day"/>
    <x v="1"/>
    <n v="3"/>
    <n v="527.66999999999996"/>
    <n v="0.2"/>
    <n v="0.2"/>
    <s v="Valid"/>
    <n v="1266.4100000000001"/>
    <n v="1266.4079999999999"/>
    <n v="983.92"/>
    <n v="282.49"/>
    <n v="282.48799999999994"/>
    <n v="-983.92"/>
    <s v="Paid"/>
    <s v="Paid"/>
    <s v="Completed"/>
    <x v="0"/>
    <s v="Clean"/>
  </r>
  <r>
    <s v="ORD-2025-10627"/>
    <n v="4"/>
    <s v="Unique"/>
    <s v="04-06-2025"/>
    <s v="06/07/2025"/>
    <d v="2025-04-06T00:00:00"/>
    <d v="2025-06-07T00:00:00"/>
    <x v="5"/>
    <x v="1"/>
    <s v="Valid"/>
    <s v="Valid"/>
    <n v="62"/>
    <s v="CUST-1793"/>
    <s v="Sneha Kapoor"/>
    <s v="Sneha Kapoor"/>
    <s v="Home Office"/>
    <x v="3"/>
    <s v="East"/>
    <x v="1"/>
    <s v="Assam"/>
    <s v="Assam"/>
    <s v="Guwahati"/>
    <s v="Guwahati"/>
    <s v="Technology"/>
    <x v="2"/>
    <s v="Machines"/>
    <x v="12"/>
    <s v="Elite Machines 971"/>
    <s v="Standard Class"/>
    <x v="3"/>
    <n v="8"/>
    <n v="1434.13"/>
    <n v="0"/>
    <n v="0"/>
    <s v="Valid"/>
    <n v="11473.04"/>
    <n v="11473.04"/>
    <n v="8931.33"/>
    <n v="2541.71"/>
    <n v="2541.7100000000009"/>
    <n v="-8931.33"/>
    <s v="Pending"/>
    <s v="Pending"/>
    <s v="Returned"/>
    <x v="2"/>
    <s v="Clean"/>
  </r>
  <r>
    <s v="ORD-2025-10628"/>
    <n v="2"/>
    <s v="Unique"/>
    <s v="02/13/2025"/>
    <s v="21-02-2025"/>
    <d v="2025-02-13T00:00:00"/>
    <d v="2025-02-21T00:00:00"/>
    <x v="6"/>
    <x v="1"/>
    <s v="Valid"/>
    <s v="Valid"/>
    <n v="8"/>
    <s v="CUST-8839"/>
    <s v="Karan Malhotra"/>
    <s v="Karan Malhotra"/>
    <s v="Small Business"/>
    <x v="1"/>
    <s v="South"/>
    <x v="2"/>
    <s v="Kerala"/>
    <s v="Kerala"/>
    <s v="Kochi"/>
    <s v="Kochi"/>
    <s v="Technology"/>
    <x v="2"/>
    <s v="Phones"/>
    <x v="11"/>
    <s v="Max Phones 825"/>
    <s v="Second Class"/>
    <x v="0"/>
    <n v="2"/>
    <n v="2360.02"/>
    <n v="0.15"/>
    <n v="0.15"/>
    <s v="Valid"/>
    <n v="4012.03"/>
    <n v="4012.0339999999997"/>
    <n v="3142.92"/>
    <n v="869.11"/>
    <n v="869.11399999999958"/>
    <n v="-3142.92"/>
    <s v="Pending"/>
    <s v="Pending"/>
    <s v="Cancelled"/>
    <x v="1"/>
    <s v="Clean"/>
  </r>
  <r>
    <s v="ORD-2025-10629"/>
    <n v="2"/>
    <s v="Unique"/>
    <s v="2025-10-05"/>
    <s v="12 Oct 2025"/>
    <d v="2025-05-10T00:00:00"/>
    <d v="2025-12-10T00:00:00"/>
    <x v="4"/>
    <x v="1"/>
    <s v="Valid"/>
    <s v="Valid"/>
    <n v="214"/>
    <s v="CUST-6725"/>
    <s v="Ananya Rao"/>
    <s v="Ananya Rao"/>
    <s v="Home Office"/>
    <x v="3"/>
    <s v="East"/>
    <x v="1"/>
    <s v="Jharkhand"/>
    <s v="Jharkhand"/>
    <s v="Ranchi"/>
    <s v="Ranchi"/>
    <s v="Technology"/>
    <x v="2"/>
    <s v="Accessories"/>
    <x v="5"/>
    <s v="Eco Accessories 933"/>
    <s v="Same Day"/>
    <x v="1"/>
    <n v="7"/>
    <n v="806.67"/>
    <n v="0.05"/>
    <n v="0.05"/>
    <s v="Valid"/>
    <n v="5364.36"/>
    <n v="5364.3554999999997"/>
    <n v="4391.29"/>
    <n v="973.07"/>
    <n v="973.0654999999997"/>
    <n v="-4391.29"/>
    <s v="Paid"/>
    <s v="Paid"/>
    <s v="Completed"/>
    <x v="0"/>
    <s v="Clean"/>
  </r>
  <r>
    <s v="ORD-2025-10630"/>
    <n v="1"/>
    <s v="Unique"/>
    <s v="09/10/2025"/>
    <s v="14 Sep 2025"/>
    <d v="2025-09-10T00:00:00"/>
    <d v="2025-09-14T00:00:00"/>
    <x v="9"/>
    <x v="1"/>
    <s v="Valid"/>
    <s v="Valid"/>
    <n v="4"/>
    <s v="CUST-3793"/>
    <s v="Arjun Bose"/>
    <s v="Arjun Bose"/>
    <s v="Home Office"/>
    <x v="3"/>
    <s v="West"/>
    <x v="3"/>
    <s v="Gujarat"/>
    <s v="Gujarat"/>
    <s v="Ahmedabad"/>
    <s v="Ahmedabad"/>
    <s v="Furniture"/>
    <x v="1"/>
    <s v="Tables"/>
    <x v="1"/>
    <s v="Max Tables 908"/>
    <s v="Same Day"/>
    <x v="1"/>
    <n v="3"/>
    <n v="4198.46"/>
    <n v="0.15"/>
    <n v="0.15"/>
    <s v="Valid"/>
    <n v="10706.07"/>
    <n v="10706.073"/>
    <n v="5927.1"/>
    <n v="4778.97"/>
    <n v="4778.973"/>
    <n v="-5927.1"/>
    <s v="Paid"/>
    <s v="Paid"/>
    <s v="Completed"/>
    <x v="0"/>
    <s v="Clean"/>
  </r>
  <r>
    <s v="ORD-2024-10631"/>
    <n v="2"/>
    <s v="Unique"/>
    <s v="2024-04-09"/>
    <s v="2024-04-10"/>
    <d v="2024-09-04T00:00:00"/>
    <d v="2024-10-04T00:00:00"/>
    <x v="9"/>
    <x v="0"/>
    <s v="Valid"/>
    <s v="Valid"/>
    <n v="30"/>
    <s v="CUST-6075"/>
    <s v="Priya Menon"/>
    <s v="Priya Menon"/>
    <s v="Corporate"/>
    <x v="2"/>
    <s v="East"/>
    <x v="1"/>
    <s v="Assam"/>
    <s v="Assam"/>
    <s v="Guwahati"/>
    <s v="Guwahati"/>
    <s v="Office Supplies"/>
    <x v="0"/>
    <s v="Paper"/>
    <x v="0"/>
    <s v="Elite Paper 239"/>
    <s v="Standard Class"/>
    <x v="3"/>
    <n v="4"/>
    <n v="3047.05"/>
    <n v="0.1"/>
    <n v="0.1"/>
    <s v="Valid"/>
    <n v="10969.38"/>
    <n v="10969.380000000001"/>
    <n v="9254.4599999999991"/>
    <n v="1714.92"/>
    <n v="1714.9200000000019"/>
    <n v="-9254.4599999999991"/>
    <s v="Paid"/>
    <s v="Paid"/>
    <s v="Completed"/>
    <x v="0"/>
    <s v="Clean"/>
  </r>
  <r>
    <s v="ORD-2024-10632"/>
    <n v="2"/>
    <s v="Unique"/>
    <s v="10 Apr 2024"/>
    <s v="15-04-2024"/>
    <d v="2024-10-04T00:00:00"/>
    <d v="2024-04-15T00:00:00"/>
    <x v="10"/>
    <x v="0"/>
    <s v="Valid"/>
    <s v="Valid"/>
    <n v="-172"/>
    <s v="CUST-6381"/>
    <s v="Aarav Sharma"/>
    <s v="Aarav Sharma"/>
    <s v="Home Office"/>
    <x v="3"/>
    <s v="West"/>
    <x v="3"/>
    <s v="Rajasthan"/>
    <s v="Rajasthan"/>
    <s v="Udaipur"/>
    <s v="Udaipur"/>
    <s v="Furniture"/>
    <x v="1"/>
    <s v="Chairs"/>
    <x v="4"/>
    <s v="Eco Chairs 452"/>
    <s v="Standard Class"/>
    <x v="3"/>
    <n v="8"/>
    <n v="4362.4799999999996"/>
    <n v="0.1"/>
    <n v="0.1"/>
    <s v="Valid"/>
    <n v="31409.86"/>
    <n v="31409.855999999996"/>
    <n v="22523.54"/>
    <n v="8886.32"/>
    <n v="8886.3159999999953"/>
    <n v="-22523.54"/>
    <s v="Paid"/>
    <s v="Paid"/>
    <s v="Completed"/>
    <x v="0"/>
    <s v="Clean"/>
  </r>
  <r>
    <s v="ORD-2025-10633"/>
    <n v="2"/>
    <s v="Exact Duplicate"/>
    <s v="15-04-2025"/>
    <s v="16-04-2025"/>
    <d v="2025-04-15T00:00:00"/>
    <d v="2025-04-16T00:00:00"/>
    <x v="5"/>
    <x v="1"/>
    <s v="Valid"/>
    <s v="Valid"/>
    <n v="1"/>
    <s v="CUST-4593"/>
    <s v="Sneha Kapoor"/>
    <s v="Sneha Kapoor"/>
    <s v="Small Business"/>
    <x v="1"/>
    <s v="South"/>
    <x v="2"/>
    <s v="Karnataka"/>
    <s v="Karnataka"/>
    <s v="Bengaluru"/>
    <s v="Bengaluru"/>
    <s v="Furniture"/>
    <x v="1"/>
    <s v="Furnishings"/>
    <x v="3"/>
    <s v="Smart Furnishings 721"/>
    <s v="First Class"/>
    <x v="2"/>
    <n v="5"/>
    <n v="2850.53"/>
    <n v="0"/>
    <n v="0"/>
    <s v="Valid"/>
    <n v="14252.65"/>
    <n v="14252.650000000001"/>
    <n v="11558.31"/>
    <n v="2694.34"/>
    <n v="2694.340000000002"/>
    <n v="-11558.31"/>
    <s v="Paid"/>
    <s v="Paid"/>
    <s v="Completed"/>
    <x v="0"/>
    <s v="Clean"/>
  </r>
  <r>
    <s v="ORD-2025-10634"/>
    <n v="1"/>
    <s v="Unique"/>
    <s v="04/18/2025"/>
    <s v="20 Apr 2025"/>
    <d v="2025-04-18T00:00:00"/>
    <d v="2025-04-20T00:00:00"/>
    <x v="5"/>
    <x v="1"/>
    <s v="Valid"/>
    <s v="Valid"/>
    <n v="2"/>
    <s v="CUST-5043"/>
    <s v="Aarav Sharma"/>
    <s v="Aarav Sharma"/>
    <s v="Small Business"/>
    <x v="1"/>
    <s v="South"/>
    <x v="2"/>
    <s v="Tamil Nadu"/>
    <s v="Tamil Nadu"/>
    <s v="Chennai"/>
    <s v="Chennai"/>
    <s v="Technology"/>
    <x v="2"/>
    <s v="Accessories"/>
    <x v="5"/>
    <s v="Basic Accessories 729"/>
    <s v="Second Class"/>
    <x v="0"/>
    <n v="1"/>
    <n v="1626.08"/>
    <n v="0.15"/>
    <n v="0.15"/>
    <s v="Valid"/>
    <n v="1382.17"/>
    <n v="1382.1679999999999"/>
    <n v="810.03"/>
    <n v="572.14"/>
    <n v="572.13799999999992"/>
    <n v="-810.03"/>
    <s v="Paid"/>
    <s v="Paid"/>
    <s v="Completed"/>
    <x v="0"/>
    <s v="Clean"/>
  </r>
  <r>
    <s v="ORD-2025-10635"/>
    <n v="1"/>
    <s v="Unique"/>
    <s v="01/11/2025"/>
    <s v="12 Jan 2025"/>
    <d v="2025-01-11T00:00:00"/>
    <d v="2025-12-01T00:00:00"/>
    <x v="8"/>
    <x v="1"/>
    <s v="Valid"/>
    <s v="Valid"/>
    <n v="324"/>
    <s v="CUST-4722"/>
    <s v="Aditi Sen"/>
    <s v="Aditi Sen"/>
    <s v="Consumer"/>
    <x v="0"/>
    <s v="South"/>
    <x v="2"/>
    <s v="Telangana"/>
    <s v="Telangana"/>
    <s v="Hyderabad"/>
    <s v="Hyderabad"/>
    <s v="Furniture"/>
    <x v="1"/>
    <s v="Chairs"/>
    <x v="4"/>
    <s v="Classic Chairs 220"/>
    <s v="Second Class"/>
    <x v="0"/>
    <n v="4"/>
    <n v="2427.15"/>
    <n v="0.05"/>
    <n v="0.05"/>
    <s v="Valid"/>
    <n v="9223.17"/>
    <n v="9223.17"/>
    <n v="5103.7"/>
    <n v="4119.47"/>
    <n v="4119.47"/>
    <n v="-5103.7"/>
    <s v="Paid"/>
    <s v="Paid"/>
    <s v="Completed"/>
    <x v="0"/>
    <s v="Clean"/>
  </r>
  <r>
    <s v="ORD-2024-10636"/>
    <n v="2"/>
    <s v="Unique"/>
    <s v="20 May 2024"/>
    <s v="2024-05-25"/>
    <d v="2024-05-20T00:00:00"/>
    <d v="2024-05-25T00:00:00"/>
    <x v="4"/>
    <x v="0"/>
    <s v="Valid"/>
    <s v="Valid"/>
    <n v="5"/>
    <s v="CUST-7931"/>
    <s v="Mira Das"/>
    <s v="Mira Das"/>
    <s v="Corporate"/>
    <x v="2"/>
    <s v="South"/>
    <x v="2"/>
    <s v="Andhra Pradesh"/>
    <s v="Andhra Pradesh"/>
    <s v="Vijayawada"/>
    <s v="Vijayawada"/>
    <s v="Furniture"/>
    <x v="1"/>
    <s v="Chairs"/>
    <x v="4"/>
    <s v="Max Chairs 305"/>
    <s v="Same Day"/>
    <x v="1"/>
    <n v="7"/>
    <n v="3122.85"/>
    <n v="0.25"/>
    <n v="0.25"/>
    <s v="Valid"/>
    <n v="16394.96"/>
    <n v="16394.962500000001"/>
    <n v="10404.17"/>
    <n v="5990.79"/>
    <n v="5990.7925000000014"/>
    <n v="-10404.17"/>
    <s v="Paid"/>
    <s v="Paid"/>
    <s v="Completed"/>
    <x v="0"/>
    <s v="Clean"/>
  </r>
  <r>
    <s v="ORD-2024-10637"/>
    <n v="1"/>
    <s v="Unique"/>
    <s v="02 Oct 2024"/>
    <s v="09 Oct 2024"/>
    <d v="2024-02-10T00:00:00"/>
    <d v="2024-09-10T00:00:00"/>
    <x v="6"/>
    <x v="0"/>
    <s v="Valid"/>
    <s v="Valid"/>
    <n v="213"/>
    <s v="CUST-7221"/>
    <s v="Ananya Rao"/>
    <s v="Ananya Rao"/>
    <s v="Consumer"/>
    <x v="0"/>
    <s v="South"/>
    <x v="2"/>
    <s v="Tamil Nadu"/>
    <s v="Tamil Nadu"/>
    <s v="Chennai"/>
    <s v="Chennai"/>
    <s v="Office Supplies"/>
    <x v="0"/>
    <s v="Paper"/>
    <x v="0"/>
    <s v="Smart Paper 872"/>
    <s v="Standard Class"/>
    <x v="3"/>
    <n v="8"/>
    <n v="1910.31"/>
    <n v="0.15"/>
    <n v="0.15"/>
    <s v="Valid"/>
    <n v="12990.11"/>
    <n v="12990.108"/>
    <n v="10200.799999999999"/>
    <n v="2789.31"/>
    <n v="2789.3080000000009"/>
    <n v="-10200.799999999999"/>
    <s v="Paid"/>
    <s v="Paid"/>
    <s v="Completed"/>
    <x v="0"/>
    <s v="Clean"/>
  </r>
  <r>
    <s v="ORD-2024-10638"/>
    <n v="1"/>
    <s v="Unique"/>
    <s v="26-05-2024"/>
    <s v="2024-05-26"/>
    <d v="2024-05-26T00:00:00"/>
    <d v="2024-05-26T00:00:00"/>
    <x v="4"/>
    <x v="0"/>
    <s v="Valid"/>
    <s v="Valid"/>
    <n v="0"/>
    <s v="CUST-2594"/>
    <s v="Rahul Verma"/>
    <s v="Rahul Verma"/>
    <s v="Small Business"/>
    <x v="1"/>
    <s v="West"/>
    <x v="3"/>
    <s v="Goa"/>
    <s v="Goa"/>
    <s v="Panaji"/>
    <s v="Panaji"/>
    <s v="Technology"/>
    <x v="2"/>
    <s v="Copiers"/>
    <x v="6"/>
    <s v="Max Copiers 994"/>
    <s v="First Class"/>
    <x v="2"/>
    <n v="2"/>
    <n v="3192.47"/>
    <n v="0.2"/>
    <n v="0.2"/>
    <s v="Valid"/>
    <n v="5107.95"/>
    <n v="5107.9520000000002"/>
    <n v="3133.08"/>
    <n v="1974.87"/>
    <n v="1974.8720000000003"/>
    <n v="-3133.08"/>
    <s v="Paid"/>
    <s v="Paid"/>
    <s v="Completed"/>
    <x v="0"/>
    <s v="Clean"/>
  </r>
  <r>
    <s v="ORD-2024-10639"/>
    <n v="3"/>
    <s v="Unique"/>
    <s v="26 Jan 2024"/>
    <s v="31-01-2024"/>
    <d v="2024-01-26T00:00:00"/>
    <d v="2024-01-31T00:00:00"/>
    <x v="8"/>
    <x v="0"/>
    <s v="Valid"/>
    <s v="Valid"/>
    <n v="5"/>
    <s v="CUST-2111"/>
    <s v="Karan Malhotra"/>
    <s v="Karan Malhotra"/>
    <s v="Corporate"/>
    <x v="2"/>
    <s v="South"/>
    <x v="2"/>
    <s v="Kerala"/>
    <s v="Kerala"/>
    <s v="Kochi"/>
    <s v="Kochi"/>
    <s v="Office Supplies"/>
    <x v="0"/>
    <s v="Storage"/>
    <x v="8"/>
    <s v="Pro Storage 744"/>
    <s v="Second Class"/>
    <x v="0"/>
    <n v="3"/>
    <n v="3224.32"/>
    <n v="0.2"/>
    <n v="0.2"/>
    <s v="Valid"/>
    <n v="7738.37"/>
    <n v="7738.3680000000013"/>
    <n v="4626.8500000000004"/>
    <n v="3111.52"/>
    <n v="3111.5180000000009"/>
    <n v="-4626.8500000000004"/>
    <s v="Failed"/>
    <s v="Failed"/>
    <s v="Returned"/>
    <x v="2"/>
    <s v="Clean"/>
  </r>
  <r>
    <s v="ORD-2024-10640"/>
    <n v="1"/>
    <s v="Unique"/>
    <s v="12/27/2024"/>
    <s v="31-12-2024"/>
    <d v="2024-12-27T00:00:00"/>
    <d v="2024-12-31T00:00:00"/>
    <x v="7"/>
    <x v="0"/>
    <s v="Valid"/>
    <s v="Valid"/>
    <n v="4"/>
    <s v="CUST-6829"/>
    <s v="Isha Nair"/>
    <s v="Isha Nair"/>
    <s v="Small Business"/>
    <x v="1"/>
    <s v="East"/>
    <x v="1"/>
    <s v="Odisha"/>
    <s v="Odisha"/>
    <s v="Bhubaneswar"/>
    <s v="Bhubaneswar"/>
    <s v="Furniture"/>
    <x v="1"/>
    <s v="Chairs"/>
    <x v="4"/>
    <s v="Elite Chairs 744"/>
    <s v="Second Class"/>
    <x v="0"/>
    <n v="1"/>
    <n v="1594.7"/>
    <n v="0.05"/>
    <n v="0.05"/>
    <s v="Valid"/>
    <n v="1514.96"/>
    <n v="1514.9649999999999"/>
    <n v="1046.17"/>
    <n v="468.79"/>
    <n v="468.79499999999985"/>
    <n v="-1046.17"/>
    <s v="Paid"/>
    <s v="Paid"/>
    <s v="Completed"/>
    <x v="0"/>
    <s v="Clean"/>
  </r>
  <r>
    <s v="ORD-2025-10641"/>
    <n v="1"/>
    <s v="Unique"/>
    <s v="14-01-2025"/>
    <s v="17 Jan 2025"/>
    <d v="2025-01-14T00:00:00"/>
    <d v="2025-01-17T00:00:00"/>
    <x v="8"/>
    <x v="1"/>
    <s v="Valid"/>
    <s v="Valid"/>
    <n v="3"/>
    <s v="CUST-5061"/>
    <s v="Vikram Iyer"/>
    <s v="Vikram Iyer"/>
    <s v="Consumer"/>
    <x v="0"/>
    <s v="West"/>
    <x v="3"/>
    <s v="Goa"/>
    <s v="Goa"/>
    <s v="Panaji"/>
    <s v="Panaji"/>
    <s v="Office Supplies"/>
    <x v="0"/>
    <s v="Storage"/>
    <x v="8"/>
    <s v="Basic Storage 973"/>
    <s v="First Class"/>
    <x v="2"/>
    <n v="1"/>
    <n v="1584.12"/>
    <n v="0.2"/>
    <n v="0.2"/>
    <s v="Valid"/>
    <n v="1267.3"/>
    <n v="1267.296"/>
    <n v="923.53"/>
    <n v="343.77"/>
    <n v="343.76600000000008"/>
    <n v="-923.53"/>
    <s v="Paid"/>
    <s v="Paid"/>
    <s v="Completed"/>
    <x v="0"/>
    <s v="Clean"/>
  </r>
  <r>
    <s v="ORD-2025-10642"/>
    <n v="1"/>
    <s v="Unique"/>
    <s v="2025-04-09"/>
    <s v="2025-04-14"/>
    <d v="2025-09-04T00:00:00"/>
    <d v="2025-04-14T00:00:00"/>
    <x v="9"/>
    <x v="1"/>
    <s v="Valid"/>
    <s v="Valid"/>
    <n v="-143"/>
    <s v="CUST-7915"/>
    <s v="Karan Malhotra"/>
    <s v="Karan Malhotra"/>
    <s v="Consumer"/>
    <x v="0"/>
    <s v="North"/>
    <x v="0"/>
    <s v="Delhi"/>
    <s v="Delhi"/>
    <s v="New Delhi"/>
    <s v="New Delhi"/>
    <s v="Furniture"/>
    <x v="1"/>
    <s v="Furnishings"/>
    <x v="3"/>
    <s v="Smart Furnishings 783"/>
    <s v="Same Day"/>
    <x v="1"/>
    <n v="2"/>
    <n v="3202.87"/>
    <n v="0"/>
    <n v="0"/>
    <s v="Valid"/>
    <n v="6405.74"/>
    <n v="6405.74"/>
    <n v="3561.87"/>
    <n v="2843.87"/>
    <n v="2843.87"/>
    <n v="-3561.87"/>
    <s v="Paid"/>
    <s v="Paid"/>
    <s v="Completed"/>
    <x v="0"/>
    <s v="Clean"/>
  </r>
  <r>
    <s v="ORD-2024-10643"/>
    <n v="2"/>
    <s v="Unique"/>
    <s v="08/29/2024"/>
    <s v="08/31/2024"/>
    <d v="2024-08-29T00:00:00"/>
    <d v="2024-08-31T00:00:00"/>
    <x v="1"/>
    <x v="0"/>
    <s v="Valid"/>
    <s v="Valid"/>
    <n v="2"/>
    <s v="CUST-1940"/>
    <s v="Isha Nair"/>
    <s v="Isha Nair"/>
    <s v="Home Office"/>
    <x v="3"/>
    <s v="East"/>
    <x v="1"/>
    <s v="Assam"/>
    <s v="Assam"/>
    <s v="Guwahati"/>
    <s v="Guwahati"/>
    <s v="Office Supplies"/>
    <x v="0"/>
    <s v="Binders"/>
    <x v="9"/>
    <s v="Prime Binders 287"/>
    <s v="Second Class"/>
    <x v="0"/>
    <n v="9"/>
    <n v="1275.21"/>
    <n v="0.25"/>
    <n v="0.25"/>
    <s v="Valid"/>
    <n v="8607.67"/>
    <n v="8607.6674999999996"/>
    <n v="5337.64"/>
    <n v="3270.03"/>
    <n v="3270.0274999999992"/>
    <n v="-5337.64"/>
    <s v="Failed"/>
    <s v="Failed"/>
    <s v="Returned"/>
    <x v="2"/>
    <s v="Clean"/>
  </r>
  <r>
    <s v="ORD-2024-10644"/>
    <n v="1"/>
    <s v="Unique"/>
    <s v="05-02-2024"/>
    <s v="2024-02-13"/>
    <d v="2024-05-02T00:00:00"/>
    <d v="2024-02-13T00:00:00"/>
    <x v="4"/>
    <x v="0"/>
    <s v="Valid"/>
    <s v="Valid"/>
    <n v="-79"/>
    <s v="CUST-1986"/>
    <s v="Aarav Sharma"/>
    <s v="Aarav Sharma"/>
    <s v="Home Office"/>
    <x v="3"/>
    <s v="North"/>
    <x v="0"/>
    <s v="Uttar Pradesh"/>
    <s v="Uttar Pradesh"/>
    <s v="Noida"/>
    <s v="Noida"/>
    <s v="Office Supplies"/>
    <x v="0"/>
    <s v="Labels"/>
    <x v="7"/>
    <s v="Elite Labels 654"/>
    <s v="Standard Class"/>
    <x v="3"/>
    <n v="8"/>
    <n v="3871.18"/>
    <n v="0.15"/>
    <n v="0.15"/>
    <s v="Valid"/>
    <n v="26324.02"/>
    <n v="26324.023999999998"/>
    <n v="16277.96"/>
    <n v="10046.06"/>
    <n v="10046.063999999998"/>
    <n v="-16277.96"/>
    <s v="Failed"/>
    <s v="Failed"/>
    <s v="Returned"/>
    <x v="2"/>
    <s v="Clean"/>
  </r>
  <r>
    <s v="ORD-2025-10645"/>
    <n v="3"/>
    <s v="Unique"/>
    <s v="2025-04-10"/>
    <s v="04/17/2025"/>
    <d v="2025-10-04T00:00:00"/>
    <d v="2025-04-17T00:00:00"/>
    <x v="10"/>
    <x v="1"/>
    <s v="Valid"/>
    <s v="Valid"/>
    <n v="-170"/>
    <s v="CUST-5549"/>
    <s v="Vikram Iyer"/>
    <s v="Vikram Iyer"/>
    <s v="Consumer"/>
    <x v="0"/>
    <s v="East"/>
    <x v="1"/>
    <s v="West Bengal"/>
    <s v="West Bengal"/>
    <s v="Kolkata"/>
    <s v="Kolkata"/>
    <s v="Furniture"/>
    <x v="1"/>
    <s v="Chairs"/>
    <x v="4"/>
    <s v="Pro Chairs 812"/>
    <s v="Standard Class"/>
    <x v="3"/>
    <n v="4"/>
    <n v="3750.02"/>
    <n v="0.05"/>
    <n v="0.05"/>
    <s v="Valid"/>
    <n v="14250.08"/>
    <n v="14250.075999999999"/>
    <n v="10914.92"/>
    <n v="3335.16"/>
    <n v="3335.155999999999"/>
    <n v="-10914.92"/>
    <s v="Paid"/>
    <s v="Paid"/>
    <s v="Completed"/>
    <x v="0"/>
    <s v="Clean"/>
  </r>
  <r>
    <s v="ORD-2024-10646"/>
    <n v="3"/>
    <s v="Unique"/>
    <s v="2024-01-04"/>
    <s v="09-01-2024"/>
    <d v="2024-04-01T00:00:00"/>
    <d v="2024-09-01T00:00:00"/>
    <x v="5"/>
    <x v="0"/>
    <s v="Valid"/>
    <s v="Valid"/>
    <n v="153"/>
    <s v="CUST-2314"/>
    <s v="Kabir Singh"/>
    <s v="Kabir Singh"/>
    <s v="Consumer"/>
    <x v="0"/>
    <s v="East"/>
    <x v="1"/>
    <s v="Bihar"/>
    <s v="Bihar"/>
    <s v="Patna"/>
    <s v="Patna"/>
    <s v="Furniture"/>
    <x v="1"/>
    <s v="Chairs"/>
    <x v="4"/>
    <s v="Basic Chairs 480"/>
    <s v="Second Class"/>
    <x v="0"/>
    <n v="6"/>
    <n v="2423.61"/>
    <n v="0.1"/>
    <n v="0.1"/>
    <s v="Valid"/>
    <n v="13087.49"/>
    <n v="13087.494000000001"/>
    <n v="7608.89"/>
    <n v="5133.22"/>
    <n v="5478.6040000000003"/>
    <n v="-7608.89"/>
    <s v="Paid"/>
    <s v="Paid"/>
    <s v="Completed"/>
    <x v="0"/>
    <s v="Clean"/>
  </r>
  <r>
    <s v="ORD-2024-10647"/>
    <n v="1"/>
    <s v="Unique"/>
    <s v="09/18/2024"/>
    <s v="24-09-2024"/>
    <d v="2024-09-18T00:00:00"/>
    <d v="2024-09-24T00:00:00"/>
    <x v="9"/>
    <x v="0"/>
    <s v="Valid"/>
    <s v="Valid"/>
    <n v="6"/>
    <s v="CUST-6360"/>
    <s v="Vikram Iyer"/>
    <s v="Vikram Iyer"/>
    <s v="Small Business"/>
    <x v="1"/>
    <s v="East"/>
    <x v="1"/>
    <s v="Jharkhand"/>
    <s v="Jharkhand"/>
    <s v="Ranchi"/>
    <s v="Ranchi"/>
    <s v="Technology"/>
    <x v="2"/>
    <s v="Machines"/>
    <x v="12"/>
    <s v="Elite Machines 955"/>
    <s v="First Class"/>
    <x v="2"/>
    <n v="3"/>
    <n v="729.14"/>
    <n v="0.25"/>
    <n v="0.25"/>
    <s v="Valid"/>
    <n v="1640.57"/>
    <n v="1640.5650000000001"/>
    <n v="1136.98"/>
    <n v="503.59"/>
    <n v="503.58500000000004"/>
    <n v="-1136.98"/>
    <s v="Paid"/>
    <s v="Paid"/>
    <s v="Completed"/>
    <x v="0"/>
    <s v="Clean"/>
  </r>
  <r>
    <s v="ORD-2025-10648"/>
    <n v="2"/>
    <s v="Unique"/>
    <s v="01/01/2025"/>
    <s v="09-01-2025"/>
    <d v="2025-01-01T00:00:00"/>
    <d v="2025-09-01T00:00:00"/>
    <x v="8"/>
    <x v="1"/>
    <s v="Valid"/>
    <s v="Valid"/>
    <n v="243"/>
    <s v="CUST-9942"/>
    <s v="Rohan  Mehta"/>
    <s v="Rohan Mehta"/>
    <s v="Small Business"/>
    <x v="1"/>
    <s v="North"/>
    <x v="0"/>
    <s v="Punjab"/>
    <s v="Punjab"/>
    <s v="Ludhiana"/>
    <s v="Ludhiana"/>
    <s v="Office Supplies"/>
    <x v="0"/>
    <s v="Art"/>
    <x v="2"/>
    <s v="Prime Art 461"/>
    <s v="First Class"/>
    <x v="2"/>
    <n v="8"/>
    <n v="2123.81"/>
    <n v="0.15"/>
    <n v="0.15"/>
    <s v="Valid"/>
    <n v="14441.91"/>
    <n v="14441.907999999999"/>
    <n v="10872.89"/>
    <n v="3569.02"/>
    <n v="3569.018"/>
    <n v="-10872.89"/>
    <s v="Paid"/>
    <s v="Paid"/>
    <s v="Completed"/>
    <x v="0"/>
    <s v="Clean"/>
  </r>
  <r>
    <s v="ORD-2024-10649"/>
    <n v="1"/>
    <s v="Unique"/>
    <s v="21-04-2024"/>
    <s v="24 Apr 2024"/>
    <d v="2024-04-21T00:00:00"/>
    <d v="2024-04-24T00:00:00"/>
    <x v="5"/>
    <x v="0"/>
    <s v="Valid"/>
    <s v="Valid"/>
    <n v="3"/>
    <s v="CUST-1808"/>
    <s v="Neha Gupta"/>
    <s v="Neha Gupta"/>
    <s v="Small Business"/>
    <x v="1"/>
    <s v="South"/>
    <x v="2"/>
    <s v="Andhra Pradesh"/>
    <s v="Andhra Pradesh"/>
    <s v="Vijayawada"/>
    <s v="Vijayawada"/>
    <s v="Office Supplies"/>
    <x v="0"/>
    <s v="Art"/>
    <x v="2"/>
    <s v="Prime Art 301"/>
    <s v="Same Day"/>
    <x v="1"/>
    <n v="9"/>
    <n v="703.59"/>
    <n v="0.2"/>
    <n v="0.2"/>
    <s v="Valid"/>
    <n v="5065.8500000000004"/>
    <n v="5065.8480000000009"/>
    <n v="3517.23"/>
    <n v="1548.62"/>
    <n v="1548.6180000000008"/>
    <n v="-3517.23"/>
    <s v="Failed"/>
    <s v="Failed"/>
    <s v="Returned"/>
    <x v="2"/>
    <s v="Clean"/>
  </r>
  <r>
    <s v="ORD-2025-10650"/>
    <n v="1"/>
    <s v="Unique"/>
    <s v="11 Aug 2025"/>
    <s v="19-08-2025"/>
    <d v="2025-11-08T00:00:00"/>
    <d v="2025-08-19T00:00:00"/>
    <x v="3"/>
    <x v="1"/>
    <s v="Valid"/>
    <s v="Valid"/>
    <n v="-81"/>
    <s v="CUST-7277"/>
    <s v="Kabir Singh"/>
    <s v="Kabir Singh"/>
    <s v="Small Business"/>
    <x v="1"/>
    <s v="South"/>
    <x v="2"/>
    <s v="Kerala"/>
    <s v="Kerala"/>
    <s v="Kochi"/>
    <s v="Kochi"/>
    <s v="Technology"/>
    <x v="2"/>
    <s v="Accessories"/>
    <x v="5"/>
    <s v="Classic Accessories 354"/>
    <s v="Standard Class"/>
    <x v="3"/>
    <n v="4"/>
    <n v="2258.96"/>
    <n v="0.25"/>
    <n v="0.25"/>
    <s v="Valid"/>
    <n v="6776.88"/>
    <n v="6776.88"/>
    <n v="3836.24"/>
    <n v="2940.64"/>
    <n v="2940.6400000000003"/>
    <n v="-3836.24"/>
    <s v="Paid"/>
    <s v="Paid"/>
    <s v="Completed"/>
    <x v="0"/>
    <s v="Clean"/>
  </r>
  <r>
    <s v="ORD-2024-10651"/>
    <n v="1"/>
    <s v="Unique"/>
    <s v="04/13/2024"/>
    <s v="21 Apr 2024"/>
    <d v="2024-04-13T00:00:00"/>
    <d v="2024-04-21T00:00:00"/>
    <x v="5"/>
    <x v="0"/>
    <s v="Valid"/>
    <s v="Valid"/>
    <n v="8"/>
    <s v="CUST-7744"/>
    <s v="Aarav Sharma"/>
    <s v="Aarav Sharma"/>
    <s v="Home Office"/>
    <x v="3"/>
    <s v="East"/>
    <x v="1"/>
    <s v="Bihar"/>
    <s v="Bihar"/>
    <s v="Patna"/>
    <s v="Patna"/>
    <s v="Technology"/>
    <x v="2"/>
    <s v="Accessories"/>
    <x v="5"/>
    <s v="Basic Accessories 210"/>
    <s v="Same Day"/>
    <x v="1"/>
    <n v="7"/>
    <n v="2648.76"/>
    <n v="0.15"/>
    <n v="0.15"/>
    <s v="Valid"/>
    <n v="15760.12"/>
    <n v="15760.121999999999"/>
    <n v="9931.5300000000007"/>
    <n v="5828.59"/>
    <n v="5828.5919999999987"/>
    <n v="-9931.5300000000007"/>
    <s v="Failed"/>
    <s v="Failed"/>
    <s v="Returned"/>
    <x v="2"/>
    <s v="Clean"/>
  </r>
  <r>
    <s v="ORD-2025-10652"/>
    <n v="2"/>
    <s v="Unique"/>
    <s v="06 Aug 2025"/>
    <s v="09-08-2025"/>
    <d v="2025-06-08T00:00:00"/>
    <d v="2025-09-08T00:00:00"/>
    <x v="2"/>
    <x v="1"/>
    <s v="Valid"/>
    <s v="Valid"/>
    <n v="92"/>
    <s v="CUST-2660"/>
    <s v="Mira Das"/>
    <s v="Mira Das"/>
    <s v="Small Business"/>
    <x v="1"/>
    <s v="South"/>
    <x v="2"/>
    <s v="Andhra Pradesh"/>
    <s v="Andhra Pradesh"/>
    <s v="Vijayawada"/>
    <s v="Vijayawada"/>
    <s v="Office Supplies"/>
    <x v="0"/>
    <s v="Paper"/>
    <x v="0"/>
    <s v="Smart Paper 364"/>
    <s v="Second Class"/>
    <x v="0"/>
    <n v="3"/>
    <n v="598.54999999999995"/>
    <n v="0"/>
    <n v="0"/>
    <s v="Valid"/>
    <n v="1795.65"/>
    <n v="1795.6499999999999"/>
    <n v="996.72"/>
    <n v="798.93"/>
    <n v="798.92999999999984"/>
    <n v="-996.72"/>
    <s v="Paid"/>
    <s v="Paid"/>
    <s v="Completed"/>
    <x v="0"/>
    <s v="Clean"/>
  </r>
  <r>
    <s v="ORD-2025-10653"/>
    <n v="1"/>
    <s v="Unique"/>
    <s v="03/17/2025"/>
    <s v="2025-03-21"/>
    <d v="2025-03-17T00:00:00"/>
    <d v="2025-03-21T00:00:00"/>
    <x v="11"/>
    <x v="1"/>
    <s v="Valid"/>
    <s v="Valid"/>
    <n v="4"/>
    <s v="CUST-8177"/>
    <s v="Sneha Kapoor"/>
    <s v="Sneha Kapoor"/>
    <s v="Consumer"/>
    <x v="0"/>
    <s v="North"/>
    <x v="0"/>
    <s v="Uttar Pradesh"/>
    <s v="Uttar Pradesh"/>
    <s v="Noida"/>
    <s v="Noida"/>
    <s v="Office Supplies"/>
    <x v="0"/>
    <s v="Binders"/>
    <x v="9"/>
    <s v="Smart Binders 999"/>
    <s v="Standard Class"/>
    <x v="3"/>
    <n v="5"/>
    <n v="4320.59"/>
    <n v="0.15"/>
    <n v="0.15"/>
    <s v="Valid"/>
    <n v="18362.509999999998"/>
    <n v="18362.5075"/>
    <n v="11133.97"/>
    <n v="7228.54"/>
    <n v="7228.5375000000004"/>
    <n v="-11133.97"/>
    <s v="Paid"/>
    <s v="Paid"/>
    <s v="Completed"/>
    <x v="0"/>
    <s v="Clean"/>
  </r>
  <r>
    <s v="ORD-2025-10654"/>
    <n v="1"/>
    <s v="Unique"/>
    <s v="04-04-2025"/>
    <s v="04/07/2025"/>
    <d v="2025-04-04T00:00:00"/>
    <d v="2025-04-07T00:00:00"/>
    <x v="5"/>
    <x v="1"/>
    <s v="Valid"/>
    <s v="Valid"/>
    <n v="3"/>
    <s v="CUST-3970"/>
    <s v="Priya Menon"/>
    <s v="Priya Menon"/>
    <s v="Small Business"/>
    <x v="1"/>
    <s v="South"/>
    <x v="2"/>
    <s v="Tamil Nadu"/>
    <s v="Tamil Nadu"/>
    <s v="Chennai"/>
    <s v="Chennai"/>
    <s v="Technology"/>
    <x v="2"/>
    <s v="Copiers"/>
    <x v="6"/>
    <s v="Max Copiers 356"/>
    <s v="Second Class"/>
    <x v="0"/>
    <n v="7"/>
    <n v="4457.93"/>
    <n v="0.15"/>
    <n v="0.15"/>
    <s v="Valid"/>
    <n v="26524.68"/>
    <n v="26524.683500000003"/>
    <n v="20574.3"/>
    <n v="5950.38"/>
    <n v="5950.3835000000036"/>
    <n v="-20574.3"/>
    <s v="Paid"/>
    <s v="Paid"/>
    <s v="Completed"/>
    <x v="0"/>
    <s v="Clean"/>
  </r>
  <r>
    <s v="ORD-2025-10655"/>
    <n v="1"/>
    <s v="Unique"/>
    <s v="10/12/2025"/>
    <s v="16-10-2025"/>
    <d v="2025-10-12T00:00:00"/>
    <d v="2025-10-16T00:00:00"/>
    <x v="10"/>
    <x v="1"/>
    <s v="Valid"/>
    <s v="Valid"/>
    <n v="4"/>
    <s v="CUST-8249"/>
    <s v="Diya Patel"/>
    <s v="Diya Patel"/>
    <s v="Corporate"/>
    <x v="2"/>
    <s v="East"/>
    <x v="1"/>
    <s v="Bihar"/>
    <s v="Bihar"/>
    <s v="Patna"/>
    <s v="Patna"/>
    <s v="Technology"/>
    <x v="2"/>
    <s v="Machines"/>
    <x v="12"/>
    <s v="Classic Machines 639"/>
    <s v="Same Day"/>
    <x v="1"/>
    <n v="1"/>
    <n v="2570.06"/>
    <n v="0.2"/>
    <n v="0.2"/>
    <s v="Valid"/>
    <n v="2056.0500000000002"/>
    <n v="2056.0480000000002"/>
    <n v="1662.39"/>
    <n v="393.66"/>
    <n v="393.65800000000013"/>
    <n v="-1662.39"/>
    <s v="Paid"/>
    <s v="Paid"/>
    <s v="Completed"/>
    <x v="0"/>
    <s v="Clean"/>
  </r>
  <r>
    <s v="ORD-2025-10656"/>
    <n v="1"/>
    <s v="Unique"/>
    <s v="08/26/2025"/>
    <s v="08/26/2025"/>
    <d v="2025-08-26T00:00:00"/>
    <d v="2025-08-26T00:00:00"/>
    <x v="1"/>
    <x v="1"/>
    <s v="Valid"/>
    <s v="Valid"/>
    <n v="0"/>
    <s v="CUST-8039"/>
    <s v="Neha Gupta"/>
    <s v="Neha Gupta"/>
    <s v="Home Office"/>
    <x v="3"/>
    <s v="East"/>
    <x v="1"/>
    <s v="West Bengal"/>
    <s v="West Bengal"/>
    <s v="Kolkata"/>
    <s v="Kolkata"/>
    <s v="Furniture"/>
    <x v="1"/>
    <s v="Furnishings"/>
    <x v="3"/>
    <s v="Smart Furnishings 748"/>
    <s v="Standard Class"/>
    <x v="3"/>
    <n v="4"/>
    <n v="2151.8200000000002"/>
    <n v="0"/>
    <n v="0"/>
    <s v="Valid"/>
    <n v="8607.2800000000007"/>
    <n v="8607.2800000000007"/>
    <n v="5124.01"/>
    <n v="3483.27"/>
    <n v="3483.2700000000004"/>
    <n v="-5124.01"/>
    <s v="Paid"/>
    <s v="Paid"/>
    <s v="Completed"/>
    <x v="0"/>
    <s v="Clean"/>
  </r>
  <r>
    <s v="ORD-2024-10657"/>
    <n v="1"/>
    <s v="Unique"/>
    <s v="07-05-2024"/>
    <s v="05/14/2024"/>
    <d v="2024-07-05T00:00:00"/>
    <d v="2024-05-14T00:00:00"/>
    <x v="0"/>
    <x v="0"/>
    <s v="Valid"/>
    <s v="Valid"/>
    <n v="-52"/>
    <s v="CUST-4446"/>
    <s v="Neha Gupta"/>
    <s v="Neha Gupta"/>
    <s v="Small Business"/>
    <x v="1"/>
    <s v="North"/>
    <x v="0"/>
    <s v="Haryana"/>
    <s v="Haryana"/>
    <s v="Gurugram"/>
    <s v="Gurugram"/>
    <s v="Technology"/>
    <x v="2"/>
    <s v="Machines"/>
    <x v="12"/>
    <s v="Pro Machines 589"/>
    <s v="Same Day"/>
    <x v="1"/>
    <n v="4"/>
    <n v="2751.1"/>
    <n v="-0.05"/>
    <n v="-0.05"/>
    <s v="Invalid - Negative Discount"/>
    <n v="9903.9599999999991"/>
    <n v="11554.62"/>
    <n v="7696.28"/>
    <n v="2207.6799999999998"/>
    <n v="3858.3400000000011"/>
    <n v="-7696.28"/>
    <s v="Paid"/>
    <s v="Paid"/>
    <s v="Completed"/>
    <x v="0"/>
    <s v="Clean"/>
  </r>
  <r>
    <s v="ORD-2025-10658"/>
    <n v="4"/>
    <s v="Unique"/>
    <s v="08/07/2025"/>
    <s v="2025-08-10"/>
    <d v="2025-08-07T00:00:00"/>
    <d v="2025-10-08T00:00:00"/>
    <x v="1"/>
    <x v="1"/>
    <s v="Valid"/>
    <s v="Valid"/>
    <n v="62"/>
    <s v="CUST-7787"/>
    <s v="Aditi Sen"/>
    <s v="Aditi Sen"/>
    <s v="Home Office"/>
    <x v="3"/>
    <s v="East"/>
    <x v="1"/>
    <s v="Bihar"/>
    <s v="Bihar"/>
    <s v="Patna"/>
    <s v="Patna"/>
    <s v="Office Supplies"/>
    <x v="0"/>
    <s v="Storage"/>
    <x v="8"/>
    <s v="Eco Storage 316"/>
    <s v="Second Class"/>
    <x v="0"/>
    <n v="1"/>
    <n v="2541.25"/>
    <n v="0.2"/>
    <n v="0.2"/>
    <s v="Valid"/>
    <n v="2033"/>
    <n v="2033"/>
    <n v="1291.4100000000001"/>
    <n v="741.59"/>
    <n v="741.58999999999992"/>
    <n v="-1291.4100000000001"/>
    <s v="Paid"/>
    <s v="Paid"/>
    <s v="Completed"/>
    <x v="0"/>
    <s v="Clean"/>
  </r>
  <r>
    <s v="ORD-2025-10659"/>
    <n v="2"/>
    <s v="Unique"/>
    <s v="2025-06-09"/>
    <s v="06/12/2025"/>
    <d v="2025-09-06T00:00:00"/>
    <d v="2025-06-12T00:00:00"/>
    <x v="9"/>
    <x v="1"/>
    <s v="Valid"/>
    <s v="Valid"/>
    <n v="-86"/>
    <s v="CUST-9074"/>
    <s v="Sneha Kapoor"/>
    <s v="Sneha Kapoor"/>
    <s v="Consumer"/>
    <x v="0"/>
    <s v="Unknown"/>
    <x v="4"/>
    <s v="Bihar"/>
    <s v="Bihar"/>
    <s v="Patna"/>
    <s v="Patna"/>
    <s v="Office Supplies"/>
    <x v="0"/>
    <s v="Art"/>
    <x v="2"/>
    <s v="Eco Art 763"/>
    <s v="First Class"/>
    <x v="2"/>
    <n v="7"/>
    <n v="2852.42"/>
    <n v="0"/>
    <n v="0"/>
    <s v="Valid"/>
    <n v="19966.939999999999"/>
    <n v="19966.940000000002"/>
    <n v="12690.83"/>
    <n v="7276.11"/>
    <n v="7276.1100000000024"/>
    <n v="-12690.83"/>
    <s v="Refunded"/>
    <s v="Refunded"/>
    <s v="Cancelled"/>
    <x v="1"/>
    <s v="Clean"/>
  </r>
  <r>
    <s v="ORD-2025-10660"/>
    <n v="3"/>
    <s v="Unique"/>
    <s v="21-01-2025"/>
    <s v="2025-01-22"/>
    <d v="2025-01-21T00:00:00"/>
    <d v="2025-01-22T00:00:00"/>
    <x v="8"/>
    <x v="1"/>
    <s v="Valid"/>
    <s v="Valid"/>
    <n v="1"/>
    <s v="CUST-8330"/>
    <s v="Diya Patel"/>
    <s v="Diya Patel"/>
    <s v="Corporate"/>
    <x v="2"/>
    <s v="South"/>
    <x v="2"/>
    <s v="Karnataka"/>
    <s v="Karnataka"/>
    <s v="Bengaluru"/>
    <s v="Bengaluru"/>
    <s v="Technology"/>
    <x v="2"/>
    <s v="Phones"/>
    <x v="11"/>
    <s v="Pro Phones 356"/>
    <s v="Second Class"/>
    <x v="0"/>
    <n v="2"/>
    <n v="444.31"/>
    <n v="0.2"/>
    <n v="0.2"/>
    <s v="Valid"/>
    <n v="710.9"/>
    <n v="710.89600000000007"/>
    <n v="513.88"/>
    <n v="197.02"/>
    <n v="197.01600000000008"/>
    <n v="-513.88"/>
    <s v="Refunded"/>
    <s v="Refunded"/>
    <s v="Cancelled"/>
    <x v="1"/>
    <s v="Clean"/>
  </r>
  <r>
    <s v="ORD-2025-10661"/>
    <n v="2"/>
    <s v="Unique"/>
    <s v="07/15/2025"/>
    <s v="15-07-2025"/>
    <d v="2025-07-15T00:00:00"/>
    <d v="2025-07-15T00:00:00"/>
    <x v="0"/>
    <x v="1"/>
    <s v="Valid"/>
    <s v="Valid"/>
    <n v="0"/>
    <s v="CUST-5638"/>
    <s v="Arjun Bose"/>
    <s v="Arjun Bose"/>
    <s v="Small Business"/>
    <x v="1"/>
    <s v="East"/>
    <x v="1"/>
    <s v="Jharkhand"/>
    <s v="Jharkhand"/>
    <s v="Ranchi"/>
    <s v="Ranchi"/>
    <s v="Technology"/>
    <x v="2"/>
    <s v="Phones"/>
    <x v="11"/>
    <s v="Basic Phones 865"/>
    <s v="Same Day"/>
    <x v="1"/>
    <n v="4"/>
    <n v="4442.91"/>
    <n v="0.1"/>
    <n v="0.1"/>
    <s v="Valid"/>
    <n v="15994.48"/>
    <n v="15994.476000000001"/>
    <n v="9224.2800000000007"/>
    <n v="6770.2"/>
    <n v="6770.1959999999999"/>
    <n v="-9224.2800000000007"/>
    <s v="Paid"/>
    <s v="Paid"/>
    <s v="Completed"/>
    <x v="0"/>
    <s v="Clean"/>
  </r>
  <r>
    <s v="ORD-2024-10662"/>
    <n v="1"/>
    <s v="Unique"/>
    <s v="17-05-2024"/>
    <s v="2024-05-22"/>
    <d v="2024-05-17T00:00:00"/>
    <d v="2024-05-22T00:00:00"/>
    <x v="4"/>
    <x v="0"/>
    <s v="Valid"/>
    <s v="Valid"/>
    <n v="5"/>
    <s v="CUST-4537"/>
    <s v="Sneha Kapoor"/>
    <s v="Sneha Kapoor"/>
    <s v="Consumer"/>
    <x v="0"/>
    <s v="South"/>
    <x v="2"/>
    <s v="Andhra Pradesh"/>
    <s v="Andhra Pradesh"/>
    <s v="Vijayawada"/>
    <s v="Vijayawada"/>
    <s v="Technology"/>
    <x v="2"/>
    <s v="Machines"/>
    <x v="12"/>
    <s v="Max Machines 595"/>
    <s v="Second Class"/>
    <x v="0"/>
    <n v="7"/>
    <n v="232.5"/>
    <n v="0"/>
    <n v="0"/>
    <s v="Valid"/>
    <n v="1627.5"/>
    <n v="1627.5"/>
    <n v="939.9"/>
    <n v="687.6"/>
    <n v="687.6"/>
    <n v="-939.9"/>
    <s v="Paid"/>
    <s v="Paid"/>
    <s v="Completed"/>
    <x v="0"/>
    <s v="Clean"/>
  </r>
  <r>
    <s v="ORD-2024-10663"/>
    <n v="1"/>
    <s v="Unique"/>
    <s v="2024-01-14"/>
    <s v="18-01-2024"/>
    <d v="2024-01-14T00:00:00"/>
    <d v="2024-01-18T00:00:00"/>
    <x v="8"/>
    <x v="0"/>
    <s v="Valid"/>
    <s v="Valid"/>
    <n v="4"/>
    <s v="CUST-3181"/>
    <s v="Mira Das"/>
    <s v="Mira Das"/>
    <s v="Home Office"/>
    <x v="3"/>
    <s v="West"/>
    <x v="3"/>
    <s v="Rajasthan"/>
    <s v="Rajasthan"/>
    <s v="Udaipur"/>
    <s v="Udaipur"/>
    <s v="Technology"/>
    <x v="2"/>
    <s v="Machines"/>
    <x v="12"/>
    <s v="Elite Machines 367"/>
    <s v="Same Day"/>
    <x v="1"/>
    <n v="6"/>
    <n v="1784.8"/>
    <n v="0.1"/>
    <n v="0.1"/>
    <s v="Valid"/>
    <n v="9637.92"/>
    <n v="9637.92"/>
    <n v="7329.29"/>
    <n v="2308.63"/>
    <n v="2308.63"/>
    <n v="-7329.29"/>
    <s v="Paid"/>
    <s v="Paid"/>
    <s v="Completed"/>
    <x v="0"/>
    <s v="Clean"/>
  </r>
  <r>
    <s v="ORD-2024-10664"/>
    <n v="2"/>
    <s v="Unique"/>
    <s v="05/02/2024"/>
    <s v="2024-05-08"/>
    <d v="2024-05-02T00:00:00"/>
    <d v="2024-08-05T00:00:00"/>
    <x v="4"/>
    <x v="0"/>
    <s v="Valid"/>
    <s v="Valid"/>
    <n v="95"/>
    <s v="CUST-1015"/>
    <s v="Rahul Verma"/>
    <s v="Rahul Verma"/>
    <s v="Home Office"/>
    <x v="3"/>
    <s v="East"/>
    <x v="1"/>
    <s v="Jharkhand"/>
    <s v="Jharkhand"/>
    <s v="Ranchi"/>
    <s v="Ranchi"/>
    <s v="Technology"/>
    <x v="2"/>
    <s v="Copiers"/>
    <x v="6"/>
    <s v="Basic Copiers 787"/>
    <s v="Second Class"/>
    <x v="0"/>
    <n v="2"/>
    <n v="3185.01"/>
    <n v="-0.24"/>
    <n v="-0.24"/>
    <s v="Invalid - Negative Discount"/>
    <n v="4777.5200000000004"/>
    <n v="7898.8248000000003"/>
    <n v="3152.98"/>
    <n v="1624.54"/>
    <n v="4745.8448000000008"/>
    <n v="-3152.9799999999996"/>
    <s v="Paid"/>
    <s v="Paid"/>
    <s v="Completed"/>
    <x v="0"/>
    <s v="Clean"/>
  </r>
  <r>
    <s v="ORD-2024-10665"/>
    <n v="1"/>
    <s v="Unique"/>
    <s v="07 Dec 2024"/>
    <s v="10 Dec 2024"/>
    <d v="2024-07-12T00:00:00"/>
    <d v="2024-10-12T00:00:00"/>
    <x v="0"/>
    <x v="0"/>
    <s v="Valid"/>
    <s v="Valid"/>
    <n v="92"/>
    <s v="CUST-2709"/>
    <s v="Mira Das"/>
    <s v="Mira Das"/>
    <s v="Home Office"/>
    <x v="3"/>
    <s v="South"/>
    <x v="2"/>
    <s v="Telangana"/>
    <s v="Telangana"/>
    <s v="Hyderabad"/>
    <s v="Hyderabad"/>
    <s v="Technology"/>
    <x v="2"/>
    <s v="Accessories"/>
    <x v="5"/>
    <s v="Max Accessories 903"/>
    <s v="Standard Class"/>
    <x v="3"/>
    <n v="1"/>
    <n v="1908.83"/>
    <n v="0.2"/>
    <n v="0.2"/>
    <s v="Valid"/>
    <n v="1527.06"/>
    <n v="1527.0640000000001"/>
    <n v="1055.8900000000001"/>
    <n v="471.17"/>
    <n v="471.17399999999998"/>
    <n v="-1055.8900000000001"/>
    <s v="Paid"/>
    <s v="Paid"/>
    <s v="Completed"/>
    <x v="0"/>
    <s v="Clean"/>
  </r>
  <r>
    <s v="ORD-2025-10666"/>
    <n v="1"/>
    <s v="Unique"/>
    <s v="2025-01-13"/>
    <s v="01/13/2025"/>
    <d v="2025-01-13T00:00:00"/>
    <d v="2025-01-13T00:00:00"/>
    <x v="8"/>
    <x v="1"/>
    <s v="Valid"/>
    <s v="Valid"/>
    <n v="0"/>
    <s v="CUST-1197"/>
    <s v="Rahul Verma"/>
    <s v="Rahul Verma"/>
    <s v="Home Office"/>
    <x v="3"/>
    <s v="West"/>
    <x v="3"/>
    <s v="Gujarat"/>
    <s v="Gujarat"/>
    <s v="Ahmedabad"/>
    <s v="Ahmedabad"/>
    <s v="Office Supplies"/>
    <x v="0"/>
    <s v="Art"/>
    <x v="2"/>
    <s v="Max Art 660"/>
    <s v="Standard Class"/>
    <x v="3"/>
    <n v="3"/>
    <n v="2110.52"/>
    <n v="0.1"/>
    <n v="0.1"/>
    <s v="Valid"/>
    <n v="5698.4"/>
    <n v="5698.4039999999995"/>
    <n v="3640.89"/>
    <n v="2057.5100000000002"/>
    <n v="2057.5139999999997"/>
    <n v="-3640.89"/>
    <s v="Failed"/>
    <s v="Failed"/>
    <s v="Cancelled"/>
    <x v="1"/>
    <s v="Clean"/>
  </r>
  <r>
    <s v="ORD-2024-10667"/>
    <n v="2"/>
    <s v="Unique"/>
    <s v="21 Jun 2024"/>
    <s v="06/26/2024"/>
    <d v="2024-06-21T00:00:00"/>
    <d v="2024-06-26T00:00:00"/>
    <x v="2"/>
    <x v="0"/>
    <s v="Valid"/>
    <s v="Valid"/>
    <n v="5"/>
    <s v="CUST-7758"/>
    <s v="Rohan Mehta"/>
    <s v="Rohan Mehta"/>
    <s v="Small Business"/>
    <x v="1"/>
    <s v="North"/>
    <x v="0"/>
    <s v="Punjab"/>
    <s v="Punjab"/>
    <s v="Ludhiana"/>
    <s v="Ludhiana"/>
    <s v="Technology"/>
    <x v="2"/>
    <s v="Copiers"/>
    <x v="6"/>
    <s v="Classic Copiers 908"/>
    <s v="Same Day"/>
    <x v="1"/>
    <n v="1"/>
    <n v="279.83"/>
    <n v="0.05"/>
    <n v="0.05"/>
    <s v="Valid"/>
    <n v="265.83999999999997"/>
    <n v="265.83849999999995"/>
    <n v="223.49"/>
    <n v="42.35"/>
    <n v="42.348499999999945"/>
    <n v="-223.49"/>
    <s v="Paid"/>
    <s v="Paid"/>
    <s v="Completed"/>
    <x v="0"/>
    <s v="Clean"/>
  </r>
  <r>
    <s v="ORD-2025-10668"/>
    <n v="2"/>
    <s v="Unique"/>
    <s v="20-05-2025"/>
    <s v="27-05-2025"/>
    <d v="2025-05-20T00:00:00"/>
    <d v="2025-05-27T00:00:00"/>
    <x v="4"/>
    <x v="1"/>
    <s v="Valid"/>
    <s v="Valid"/>
    <n v="7"/>
    <s v="CUST-3912"/>
    <s v="Diya Patel"/>
    <s v="Diya Patel"/>
    <s v="Small Business"/>
    <x v="1"/>
    <s v="East"/>
    <x v="1"/>
    <s v="Bihar"/>
    <s v="Bihar"/>
    <s v="Patna"/>
    <s v="Patna"/>
    <s v="Technology"/>
    <x v="2"/>
    <s v="Machines"/>
    <x v="12"/>
    <s v="Pro Machines 706"/>
    <s v="Standard Class"/>
    <x v="3"/>
    <n v="1"/>
    <n v="3959.14"/>
    <n v="0"/>
    <n v="0"/>
    <s v="Valid"/>
    <n v="3959.14"/>
    <n v="3959.14"/>
    <n v="3239.53"/>
    <n v="719.61"/>
    <n v="719.60999999999967"/>
    <n v="-3239.53"/>
    <s v="Pending"/>
    <s v="Pending"/>
    <s v="Returned"/>
    <x v="2"/>
    <s v="Clean"/>
  </r>
  <r>
    <s v="ORD-2024-10669"/>
    <n v="1"/>
    <s v="Unique"/>
    <s v="11/21/2024"/>
    <s v="23 Nov 2024"/>
    <d v="2024-11-21T00:00:00"/>
    <d v="2024-11-23T00:00:00"/>
    <x v="3"/>
    <x v="0"/>
    <s v="Valid"/>
    <s v="Valid"/>
    <n v="2"/>
    <s v="CUST-4190"/>
    <s v="Mira Das"/>
    <s v="Mira Das"/>
    <s v="Corporate"/>
    <x v="2"/>
    <s v="West"/>
    <x v="3"/>
    <s v="Gujarat"/>
    <s v="Gujarat"/>
    <s v="Ahmedabad"/>
    <s v="Ahmedabad"/>
    <s v="Office Supplies"/>
    <x v="0"/>
    <s v="Paper"/>
    <x v="0"/>
    <s v="Pro Paper 187"/>
    <s v="Second Class"/>
    <x v="0"/>
    <n v="5"/>
    <n v="600.46"/>
    <n v="0.2"/>
    <n v="0.2"/>
    <s v="Valid"/>
    <n v="2401.84"/>
    <n v="2401.84"/>
    <n v="1873.11"/>
    <n v="528.73"/>
    <n v="528.73000000000025"/>
    <n v="-1873.11"/>
    <s v="Paid"/>
    <s v="Paid"/>
    <s v="Completed"/>
    <x v="0"/>
    <s v="Clean"/>
  </r>
  <r>
    <s v="ORD-2024-10670"/>
    <n v="2"/>
    <s v="Unique"/>
    <s v="2024-03-24"/>
    <s v="01 Apr 2024"/>
    <d v="2024-03-24T00:00:00"/>
    <d v="2024-01-04T00:00:00"/>
    <x v="11"/>
    <x v="0"/>
    <s v="Valid"/>
    <s v="Valid"/>
    <n v="-80"/>
    <s v="CUST-7568"/>
    <s v="Ananya Rao"/>
    <s v="Ananya Rao"/>
    <s v="Home Office"/>
    <x v="3"/>
    <s v="West"/>
    <x v="3"/>
    <s v="Maharashtra"/>
    <s v="Maharashtra"/>
    <s v="Mumbai"/>
    <s v="Mumbai"/>
    <s v="Furniture"/>
    <x v="1"/>
    <s v="Tables"/>
    <x v="1"/>
    <s v="Classic Tables 606"/>
    <s v="Second Class"/>
    <x v="0"/>
    <n v="4"/>
    <n v="1700.72"/>
    <n v="0.25"/>
    <n v="0.25"/>
    <s v="Valid"/>
    <n v="5102.16"/>
    <n v="5102.16"/>
    <n v="3226.45"/>
    <n v="1875.71"/>
    <n v="1875.71"/>
    <n v="-3226.45"/>
    <s v="Paid"/>
    <s v="Paid"/>
    <s v="Completed"/>
    <x v="0"/>
    <s v="Clean"/>
  </r>
  <r>
    <s v="ORD-2025-10671"/>
    <n v="1"/>
    <s v="Unique"/>
    <s v="02/02/2025"/>
    <s v="06 Feb 2025"/>
    <d v="2025-02-02T00:00:00"/>
    <d v="2025-06-02T00:00:00"/>
    <x v="6"/>
    <x v="1"/>
    <s v="Valid"/>
    <s v="Valid"/>
    <n v="120"/>
    <s v="CUST-5604"/>
    <s v="Sneha Kapoor"/>
    <s v="Sneha Kapoor"/>
    <s v="Corporate"/>
    <x v="2"/>
    <s v="North"/>
    <x v="0"/>
    <s v="Uttar Pradesh"/>
    <s v="Uttar Pradesh"/>
    <s v="Noida"/>
    <s v="Noida"/>
    <s v="Furniture"/>
    <x v="1"/>
    <s v="Tables"/>
    <x v="1"/>
    <s v="Smart Tables 835"/>
    <s v="Standard Class"/>
    <x v="3"/>
    <n v="8"/>
    <n v="857.86"/>
    <n v="0.1"/>
    <n v="0.1"/>
    <s v="Valid"/>
    <n v="6176.59"/>
    <n v="6176.5920000000006"/>
    <n v="3560.96"/>
    <n v="2615.63"/>
    <n v="2615.6320000000005"/>
    <n v="-3560.96"/>
    <s v="Paid"/>
    <s v="Paid"/>
    <s v="Completed"/>
    <x v="0"/>
    <s v="Clean"/>
  </r>
  <r>
    <s v="ORD-2024-10672"/>
    <n v="2"/>
    <s v="Unique"/>
    <s v="2024-03-22"/>
    <s v="27-03-2024"/>
    <d v="2024-03-22T00:00:00"/>
    <d v="2024-03-27T00:00:00"/>
    <x v="11"/>
    <x v="0"/>
    <s v="Valid"/>
    <s v="Valid"/>
    <n v="5"/>
    <s v="CUST-3293"/>
    <s v="Aditi Sen"/>
    <s v="Aditi Sen"/>
    <s v="Home Office"/>
    <x v="3"/>
    <s v="West"/>
    <x v="3"/>
    <s v="Goa"/>
    <s v="Goa"/>
    <s v="Panaji"/>
    <s v="Panaji"/>
    <s v="Technology"/>
    <x v="2"/>
    <s v="Copiers"/>
    <x v="6"/>
    <s v="Classic Copiers 583"/>
    <s v="Second Class"/>
    <x v="0"/>
    <n v="9"/>
    <n v="3649.51"/>
    <n v="0.05"/>
    <n v="0.05"/>
    <s v="Valid"/>
    <n v="31203.31"/>
    <n v="31203.310500000003"/>
    <n v="17738.13"/>
    <n v="13465.18"/>
    <n v="13465.180500000002"/>
    <n v="-17738.13"/>
    <s v="Paid"/>
    <s v="Paid"/>
    <s v="Completed"/>
    <x v="0"/>
    <s v="Clean"/>
  </r>
  <r>
    <s v="ORD-2024-10673"/>
    <n v="2"/>
    <s v="Unique"/>
    <s v="2024-09-04"/>
    <s v="2024-09-05"/>
    <d v="2024-04-09T00:00:00"/>
    <d v="2024-05-09T00:00:00"/>
    <x v="5"/>
    <x v="0"/>
    <s v="Valid"/>
    <s v="Valid"/>
    <n v="30"/>
    <s v="CUST-8180"/>
    <s v="Aditi Sen"/>
    <s v="Aditi Sen"/>
    <s v="Corporate"/>
    <x v="2"/>
    <s v="West"/>
    <x v="3"/>
    <s v="Madhya Pradesh"/>
    <s v="Madhya Pradesh"/>
    <s v="Indore"/>
    <s v="Indore"/>
    <s v="Furniture"/>
    <x v="1"/>
    <s v="Chairs"/>
    <x v="4"/>
    <s v="Classic Chairs 460"/>
    <s v="Standard Class"/>
    <x v="3"/>
    <n v="5"/>
    <n v="2528.5300000000002"/>
    <n v="0.05"/>
    <n v="0.05"/>
    <s v="Valid"/>
    <n v="12010.52"/>
    <n v="12010.5175"/>
    <n v="7864.61"/>
    <n v="4145.91"/>
    <n v="4145.9075000000003"/>
    <n v="-7864.61"/>
    <s v="Paid"/>
    <s v="Paid"/>
    <s v="Returned"/>
    <x v="2"/>
    <s v="Clean"/>
  </r>
  <r>
    <s v="ORD-2025-10674"/>
    <n v="3"/>
    <s v="Unique"/>
    <s v="2025-02-13"/>
    <s v="16 Feb 2025"/>
    <d v="2025-02-13T00:00:00"/>
    <d v="2025-02-16T00:00:00"/>
    <x v="6"/>
    <x v="1"/>
    <s v="Valid"/>
    <s v="Valid"/>
    <n v="3"/>
    <s v="CUST-2807"/>
    <s v="Arjun Bose"/>
    <s v="Arjun Bose"/>
    <s v="Small Business"/>
    <x v="1"/>
    <s v="West"/>
    <x v="3"/>
    <s v="Rajasthan"/>
    <s v="Rajasthan"/>
    <s v="Udaipur"/>
    <s v="Udaipur"/>
    <s v="Furniture"/>
    <x v="1"/>
    <s v="Bookcases"/>
    <x v="10"/>
    <s v="Classic Bookcases 488"/>
    <s v="Second Class"/>
    <x v="0"/>
    <n v="4"/>
    <n v="4072.9"/>
    <n v="0.15"/>
    <n v="0.15"/>
    <s v="Valid"/>
    <n v="13847.86"/>
    <n v="13847.86"/>
    <n v="8471.7800000000007"/>
    <n v="5376.08"/>
    <n v="5376.08"/>
    <n v="-8471.7800000000007"/>
    <s v="Paid"/>
    <s v="Paid"/>
    <s v="Completed"/>
    <x v="0"/>
    <s v="Clean"/>
  </r>
  <r>
    <s v="ORD-2024-10675"/>
    <n v="1"/>
    <s v="Unique"/>
    <s v="2024-05-18"/>
    <s v="2024-05-21"/>
    <d v="2024-05-18T00:00:00"/>
    <d v="2024-05-21T00:00:00"/>
    <x v="4"/>
    <x v="0"/>
    <s v="Valid"/>
    <s v="Valid"/>
    <n v="3"/>
    <s v="CUST-4081"/>
    <s v="Vikram Iyer"/>
    <s v="Vikram Iyer"/>
    <s v="Corporate"/>
    <x v="2"/>
    <s v="East"/>
    <x v="1"/>
    <s v="Jharkhand"/>
    <s v="Jharkhand"/>
    <s v="Ranchi"/>
    <s v="Ranchi"/>
    <s v="Technology"/>
    <x v="2"/>
    <s v="Accessories"/>
    <x v="5"/>
    <s v="Basic Accessories 944"/>
    <s v="Second Class"/>
    <x v="0"/>
    <n v="1"/>
    <n v="1033.71"/>
    <n v="0"/>
    <n v="0"/>
    <s v="Valid"/>
    <n v="1033.71"/>
    <n v="1033.71"/>
    <n v="630.82000000000005"/>
    <n v="402.89"/>
    <n v="402.89"/>
    <n v="-630.82000000000005"/>
    <s v="Pending"/>
    <s v="Pending"/>
    <s v="Returned"/>
    <x v="2"/>
    <s v="Clean"/>
  </r>
  <r>
    <s v="ORD-2025-10676"/>
    <n v="2"/>
    <s v="Unique"/>
    <s v="07-06-2025"/>
    <s v="06/10/2025"/>
    <d v="2025-07-06T00:00:00"/>
    <d v="2025-06-10T00:00:00"/>
    <x v="0"/>
    <x v="1"/>
    <s v="Valid"/>
    <s v="Valid"/>
    <n v="-26"/>
    <s v="CUST-5061"/>
    <s v="Aarav Sharma"/>
    <s v="Aarav Sharma"/>
    <s v="Consumer"/>
    <x v="0"/>
    <s v="North"/>
    <x v="0"/>
    <s v="Rajasthan"/>
    <s v="Rajasthan"/>
    <s v="Jaipur"/>
    <s v="Jaipur"/>
    <s v="Furniture"/>
    <x v="1"/>
    <s v="Furnishings"/>
    <x v="3"/>
    <s v="Eco Furnishings 217"/>
    <s v="Same Day"/>
    <x v="1"/>
    <n v="3"/>
    <n v="963.26"/>
    <n v="0"/>
    <n v="0"/>
    <s v="Valid"/>
    <n v="2889.78"/>
    <n v="2889.7799999999997"/>
    <n v="1811.23"/>
    <n v="1078.55"/>
    <n v="1078.5499999999997"/>
    <n v="-1811.23"/>
    <s v="Paid"/>
    <s v="Paid"/>
    <s v="Completed"/>
    <x v="0"/>
    <s v="Clean"/>
  </r>
  <r>
    <s v="ORD-2025-10677"/>
    <n v="1"/>
    <s v="Exact Duplicate"/>
    <s v="09/11/2025"/>
    <s v="09/18/2025"/>
    <d v="2025-09-11T00:00:00"/>
    <d v="2025-09-18T00:00:00"/>
    <x v="9"/>
    <x v="1"/>
    <s v="Valid"/>
    <s v="Valid"/>
    <n v="7"/>
    <s v="CUST-9212"/>
    <s v="Rahul Verma"/>
    <s v="Rahul Verma"/>
    <s v="Small Business"/>
    <x v="1"/>
    <s v="North"/>
    <x v="0"/>
    <s v="Delhi"/>
    <s v="Delhi"/>
    <s v="New Delhi"/>
    <s v="New Delhi"/>
    <s v="Technology"/>
    <x v="2"/>
    <s v="Phones"/>
    <x v="11"/>
    <s v="Smart Phones 967"/>
    <s v="Same Day"/>
    <x v="1"/>
    <n v="7"/>
    <n v="3411.21"/>
    <n v="0.15"/>
    <n v="0.15"/>
    <s v="Valid"/>
    <n v="20296.7"/>
    <n v="20296.699499999999"/>
    <n v="14920.87"/>
    <n v="5375.83"/>
    <n v="5375.829499999998"/>
    <n v="-14920.87"/>
    <s v="Paid"/>
    <s v="Paid"/>
    <s v="Completed"/>
    <x v="0"/>
    <s v="Clean"/>
  </r>
  <r>
    <s v="ORD-2024-10678"/>
    <n v="1"/>
    <s v="Unique"/>
    <s v="2024-06-22"/>
    <s v="27-06-2024"/>
    <d v="2024-06-22T00:00:00"/>
    <d v="2024-06-27T00:00:00"/>
    <x v="2"/>
    <x v="0"/>
    <s v="Valid"/>
    <s v="Valid"/>
    <n v="5"/>
    <s v="CUST-4655"/>
    <s v="Isha Nair"/>
    <s v="Isha Nair"/>
    <s v="Home Office"/>
    <x v="3"/>
    <s v="South"/>
    <x v="2"/>
    <s v="Karnataka"/>
    <s v="Karnataka"/>
    <s v="Bengaluru"/>
    <s v="Bengaluru"/>
    <s v="Furniture"/>
    <x v="1"/>
    <s v="Chairs"/>
    <x v="4"/>
    <s v="Smart Chairs 610"/>
    <s v="Same Day"/>
    <x v="1"/>
    <n v="7"/>
    <n v="2623.48"/>
    <n v="0"/>
    <n v="0"/>
    <s v="Valid"/>
    <n v="18364.36"/>
    <n v="18364.36"/>
    <n v="15445.81"/>
    <n v="2918.55"/>
    <n v="2918.5500000000011"/>
    <n v="-15445.81"/>
    <s v="Paid"/>
    <s v="Paid"/>
    <s v="Completed"/>
    <x v="0"/>
    <s v="Clean"/>
  </r>
  <r>
    <s v="ORD-2024-10679"/>
    <n v="1"/>
    <s v="Unique"/>
    <s v="24-11-2024"/>
    <s v="12/01/2024"/>
    <d v="2024-11-24T00:00:00"/>
    <d v="2024-12-01T00:00:00"/>
    <x v="3"/>
    <x v="0"/>
    <s v="Valid"/>
    <s v="Valid"/>
    <n v="7"/>
    <s v="CUST-1674"/>
    <s v="Kabir Singh"/>
    <s v="Kabir Singh"/>
    <s v="Corporate"/>
    <x v="2"/>
    <s v="South"/>
    <x v="2"/>
    <s v="Karnataka"/>
    <s v="Karnataka"/>
    <s v="Bengaluru"/>
    <s v="Bengaluru"/>
    <s v="Furniture"/>
    <x v="1"/>
    <s v="Tables"/>
    <x v="1"/>
    <s v="Prime Tables 123"/>
    <s v="Second Class"/>
    <x v="0"/>
    <n v="9"/>
    <n v="2763.61"/>
    <n v="0.15"/>
    <n v="0.15"/>
    <s v="Valid"/>
    <n v="21141.62"/>
    <n v="21141.6165"/>
    <n v="11676.33"/>
    <n v="9465.2900000000009"/>
    <n v="9465.2865000000002"/>
    <n v="-11676.33"/>
    <s v="Paid"/>
    <s v="Paid"/>
    <s v="Completed"/>
    <x v="0"/>
    <s v="Clean"/>
  </r>
  <r>
    <s v="ORD-2025-10680"/>
    <n v="2"/>
    <s v="Unique"/>
    <s v="16-08-2025"/>
    <s v="23-08-2025"/>
    <d v="2025-08-16T00:00:00"/>
    <d v="2025-08-23T00:00:00"/>
    <x v="1"/>
    <x v="1"/>
    <s v="Valid"/>
    <s v="Valid"/>
    <n v="7"/>
    <s v="CUST-2897"/>
    <s v="Rohan Mehta"/>
    <s v="Rohan Mehta"/>
    <s v="Corporate"/>
    <x v="2"/>
    <s v="North"/>
    <x v="0"/>
    <s v="Punjab"/>
    <s v="Punjab"/>
    <s v="Ludhiana"/>
    <s v="Ludhiana"/>
    <s v="Technology"/>
    <x v="2"/>
    <s v="Copiers"/>
    <x v="6"/>
    <s v="Smart Copiers 579"/>
    <s v="Same Day"/>
    <x v="1"/>
    <n v="4"/>
    <n v="1410.57"/>
    <s v="70%"/>
    <n v="0.7"/>
    <s v="Invalid - Above Range"/>
    <n v="5360.17"/>
    <n v="1692.6840000000002"/>
    <n v="3881.51"/>
    <n v="1478.66"/>
    <n v="-2188.826"/>
    <n v="-3881.51"/>
    <s v="Refunded"/>
    <s v="Refunded"/>
    <s v="Cancelled"/>
    <x v="1"/>
    <s v="Clean"/>
  </r>
  <r>
    <s v="ORD-2024-10681"/>
    <n v="4"/>
    <s v="Unique"/>
    <s v="29 May 2024"/>
    <s v="05 Jun 2024"/>
    <d v="2024-05-29T00:00:00"/>
    <d v="2024-05-06T00:00:00"/>
    <x v="4"/>
    <x v="0"/>
    <s v="Valid"/>
    <s v="Valid"/>
    <n v="-23"/>
    <s v="CUST-1136"/>
    <s v="Kabir Singh"/>
    <s v="Kabir Singh"/>
    <s v="Corporate"/>
    <x v="2"/>
    <s v="South"/>
    <x v="2"/>
    <s v="Tamil Nadu"/>
    <s v="Tamil Nadu"/>
    <s v="Chennai"/>
    <s v="Chennai"/>
    <s v="Technology"/>
    <x v="2"/>
    <s v="Accessories"/>
    <x v="5"/>
    <s v="Eco Accessories 658"/>
    <s v="First Class"/>
    <x v="2"/>
    <n v="4"/>
    <n v="3700.24"/>
    <n v="0"/>
    <n v="0"/>
    <s v="Valid"/>
    <n v="14800.96"/>
    <n v="14800.96"/>
    <n v="12048.39"/>
    <n v="2752.57"/>
    <n v="2752.5699999999997"/>
    <n v="-12048.39"/>
    <s v="Paid"/>
    <s v="Paid"/>
    <s v="Completed"/>
    <x v="0"/>
    <s v="Clean"/>
  </r>
  <r>
    <s v="ORD-2024-10682"/>
    <n v="3"/>
    <s v="Unique"/>
    <s v="07/04/2024"/>
    <s v="2024-07-10"/>
    <d v="2024-07-04T00:00:00"/>
    <d v="2024-10-07T00:00:00"/>
    <x v="0"/>
    <x v="0"/>
    <s v="Valid"/>
    <s v="Valid"/>
    <n v="95"/>
    <s v="CUST-1376"/>
    <s v="Vikram Iyer"/>
    <s v="Vikram Iyer"/>
    <s v="Corporate"/>
    <x v="2"/>
    <s v="North"/>
    <x v="0"/>
    <s v="Delhi"/>
    <s v="Delhi"/>
    <s v="New Delhi"/>
    <s v="New Delhi"/>
    <s v="Furniture"/>
    <x v="1"/>
    <s v="Tables"/>
    <x v="1"/>
    <s v="Smart Tables 777"/>
    <s v="Second Class"/>
    <x v="0"/>
    <n v="5"/>
    <n v="1200.27"/>
    <n v="0"/>
    <n v="0"/>
    <s v="Valid"/>
    <n v="6001.35"/>
    <n v="6001.35"/>
    <n v="4182.99"/>
    <n v="1818.36"/>
    <n v="1818.3600000000006"/>
    <n v="-4182.99"/>
    <s v="Paid"/>
    <s v="Paid"/>
    <s v="Cancelled"/>
    <x v="1"/>
    <s v="Clean"/>
  </r>
  <r>
    <s v="ORD-2025-10683"/>
    <n v="3"/>
    <s v="Unique"/>
    <s v="05 Feb 2025"/>
    <s v="05-02-2025"/>
    <d v="2025-05-02T00:00:00"/>
    <d v="2025-05-02T00:00:00"/>
    <x v="4"/>
    <x v="1"/>
    <s v="Valid"/>
    <s v="Valid"/>
    <n v="0"/>
    <s v="CUST-1553"/>
    <s v="Ananya Rao"/>
    <s v="Ananya Rao"/>
    <s v="Corporate"/>
    <x v="2"/>
    <s v="North"/>
    <x v="0"/>
    <s v="Haryana"/>
    <s v="Haryana"/>
    <s v="Gurugram"/>
    <s v="Gurugram"/>
    <s v="Office Supplies"/>
    <x v="0"/>
    <s v="Storage"/>
    <x v="8"/>
    <s v="Eco Storage 861"/>
    <s v="Same Day"/>
    <x v="1"/>
    <n v="3"/>
    <n v="2590.7800000000002"/>
    <s v="Unknown"/>
    <s v="Unknown"/>
    <s v="Invalid - Above Range"/>
    <n v="7383.72"/>
    <s v="Unknown"/>
    <n v="4113.66"/>
    <n v="3270.06"/>
    <s v="Unknown"/>
    <s v="Unknown"/>
    <s v="Paid"/>
    <s v="Paid"/>
    <s v="Completed"/>
    <x v="0"/>
    <s v="Needs Review"/>
  </r>
  <r>
    <s v="ORD-2025-10684"/>
    <n v="2"/>
    <s v="Unique"/>
    <s v="2025-07-20"/>
    <s v="24-07-2025"/>
    <d v="2025-07-20T00:00:00"/>
    <d v="2025-07-24T00:00:00"/>
    <x v="0"/>
    <x v="1"/>
    <s v="Valid"/>
    <s v="Valid"/>
    <n v="4"/>
    <s v="CUST-5704"/>
    <s v="Arjun Bose"/>
    <s v="Arjun Bose"/>
    <s v="Small Business"/>
    <x v="1"/>
    <s v="South"/>
    <x v="2"/>
    <s v="Telangana"/>
    <s v="Telangana"/>
    <s v="Hyderabad"/>
    <s v="Hyderabad"/>
    <s v="Furniture"/>
    <x v="1"/>
    <s v="Furnishings"/>
    <x v="3"/>
    <s v="Eco Furnishings 875"/>
    <s v="Second Class"/>
    <x v="0"/>
    <n v="6"/>
    <n v="1646.45"/>
    <n v="0.2"/>
    <n v="0.2"/>
    <s v="Valid"/>
    <n v="7902.96"/>
    <n v="7902.9600000000009"/>
    <n v="5512.03"/>
    <n v="2390.9299999999998"/>
    <n v="2390.9300000000012"/>
    <n v="-5512.03"/>
    <s v="Refunded"/>
    <s v="Refunded"/>
    <s v="Cancelled"/>
    <x v="1"/>
    <s v="Clean"/>
  </r>
  <r>
    <s v="ORD-2025-10685"/>
    <n v="1"/>
    <s v="Unique"/>
    <s v="2025-07-21"/>
    <s v="21-07-2025"/>
    <d v="2025-07-21T00:00:00"/>
    <d v="2025-07-21T00:00:00"/>
    <x v="0"/>
    <x v="1"/>
    <s v="Valid"/>
    <s v="Valid"/>
    <n v="0"/>
    <s v="CUST-6738"/>
    <s v="Isha Nair"/>
    <s v="Isha Nair"/>
    <s v="Home Office"/>
    <x v="3"/>
    <s v="South"/>
    <x v="2"/>
    <s v="Tamil Nadu"/>
    <s v="Tamil Nadu"/>
    <s v="Chennai"/>
    <s v="Chennai"/>
    <s v="Furniture"/>
    <x v="1"/>
    <s v="Bookcases"/>
    <x v="10"/>
    <s v="Prime Bookcases 784"/>
    <s v="First Class"/>
    <x v="2"/>
    <n v="7"/>
    <n v="4396.6499999999996"/>
    <n v="0.2"/>
    <n v="0.2"/>
    <s v="Valid"/>
    <n v="24621.24"/>
    <n v="24621.239999999998"/>
    <n v="17155.48"/>
    <n v="7465.76"/>
    <n v="7465.7599999999984"/>
    <n v="-17155.48"/>
    <s v="Refunded"/>
    <s v="Refunded"/>
    <s v="Cancelled"/>
    <x v="1"/>
    <s v="Clean"/>
  </r>
  <r>
    <s v="ORD-2025-10686"/>
    <n v="2"/>
    <s v="Unique"/>
    <s v="01 Oct 2025"/>
    <s v="2025-10-03"/>
    <d v="2025-01-10T00:00:00"/>
    <d v="2025-03-10T00:00:00"/>
    <x v="8"/>
    <x v="1"/>
    <s v="Valid"/>
    <s v="Valid"/>
    <n v="59"/>
    <s v="CUST-2586"/>
    <s v="Neha Gupta"/>
    <s v="Neha Gupta"/>
    <s v="Corporate"/>
    <x v="2"/>
    <s v="West"/>
    <x v="3"/>
    <s v="Goa"/>
    <s v="Goa"/>
    <s v="Panaji"/>
    <s v="Panaji"/>
    <s v="Office Supplies"/>
    <x v="0"/>
    <s v="Art"/>
    <x v="2"/>
    <s v="Classic Art 380"/>
    <s v="Standard Class"/>
    <x v="3"/>
    <n v="9"/>
    <n v="818.15"/>
    <n v="0.55000000000000004"/>
    <n v="0.55000000000000004"/>
    <s v="Valid"/>
    <n v="6627.01"/>
    <n v="3313.5074999999993"/>
    <n v="5606.79"/>
    <n v="1020.22"/>
    <n v="-2293.2825000000007"/>
    <n v="-5606.79"/>
    <s v="Failed"/>
    <s v="Failed"/>
    <s v="Cancelled"/>
    <x v="1"/>
    <s v="Clean"/>
  </r>
  <r>
    <s v="ORD-2024-10687"/>
    <n v="1"/>
    <s v="Unique"/>
    <s v="25-03-2024"/>
    <s v="04/02/2024"/>
    <d v="2024-03-25T00:00:00"/>
    <d v="2024-04-02T00:00:00"/>
    <x v="11"/>
    <x v="0"/>
    <s v="Valid"/>
    <s v="Valid"/>
    <n v="8"/>
    <s v="CUST-3127"/>
    <s v="Sneha Kapoor"/>
    <s v="Sneha Kapoor"/>
    <s v="Home Office"/>
    <x v="3"/>
    <s v="South"/>
    <x v="2"/>
    <s v="Tamil Nadu"/>
    <s v="Tamil Nadu"/>
    <s v="Chennai"/>
    <s v="Chennai"/>
    <s v="Technology"/>
    <x v="2"/>
    <s v="Copiers"/>
    <x v="6"/>
    <s v="Pro Copiers 502"/>
    <s v="Standard Class"/>
    <x v="3"/>
    <n v="2"/>
    <n v="2349.13"/>
    <n v="0"/>
    <n v="0"/>
    <s v="Valid"/>
    <n v="4698.26"/>
    <n v="4698.26"/>
    <n v="2654.92"/>
    <n v="2043.34"/>
    <n v="2043.3400000000001"/>
    <n v="-2654.92"/>
    <s v="Paid"/>
    <s v="Paid"/>
    <s v="Completed"/>
    <x v="0"/>
    <s v="Clean"/>
  </r>
  <r>
    <s v="ORD-2025-10688"/>
    <n v="2"/>
    <s v="Unique"/>
    <s v="08 Oct 2025"/>
    <s v="13-10-2025"/>
    <d v="2025-08-10T00:00:00"/>
    <d v="2025-10-13T00:00:00"/>
    <x v="1"/>
    <x v="1"/>
    <s v="Valid"/>
    <s v="Valid"/>
    <n v="64"/>
    <s v="CUST-9347"/>
    <s v="Mira Das"/>
    <s v="Mira Das"/>
    <s v="Home Office"/>
    <x v="3"/>
    <s v="North"/>
    <x v="0"/>
    <s v="Punjab"/>
    <s v="Punjab"/>
    <s v="Ludhiana"/>
    <s v="Ludhiana"/>
    <s v="Furniture"/>
    <x v="1"/>
    <s v="Tables"/>
    <x v="1"/>
    <s v="Prime Tables 604"/>
    <s v="First Class"/>
    <x v="2"/>
    <n v="4"/>
    <n v="172.05"/>
    <n v="0"/>
    <n v="0"/>
    <s v="Valid"/>
    <n v="688.2"/>
    <n v="688.2"/>
    <n v="497.68"/>
    <n v="190.52"/>
    <n v="190.52000000000004"/>
    <n v="-497.68"/>
    <s v="Failed"/>
    <s v="Failed"/>
    <s v="Cancelled"/>
    <x v="1"/>
    <s v="Clean"/>
  </r>
  <r>
    <s v="ORD-2025-10689"/>
    <n v="2"/>
    <s v="Unique"/>
    <s v="26 Feb 2025"/>
    <s v="27 Feb 2025"/>
    <d v="2025-02-26T00:00:00"/>
    <d v="2025-02-27T00:00:00"/>
    <x v="6"/>
    <x v="1"/>
    <s v="Valid"/>
    <s v="Valid"/>
    <n v="1"/>
    <s v="CUST-8575"/>
    <s v="Neha Gupta"/>
    <s v="Neha Gupta"/>
    <s v="Home Office"/>
    <x v="3"/>
    <s v="North"/>
    <x v="0"/>
    <s v="Haryana"/>
    <s v="Haryana"/>
    <s v="Gurugram"/>
    <s v="Gurugram"/>
    <s v="Office Supplies"/>
    <x v="0"/>
    <s v="Art"/>
    <x v="2"/>
    <s v="Basic Art 798"/>
    <s v="Second Class"/>
    <x v="0"/>
    <n v="6"/>
    <n v="3037.66"/>
    <n v="0.15"/>
    <n v="0.15"/>
    <s v="Valid"/>
    <n v="15492.07"/>
    <n v="15492.065999999999"/>
    <n v="12581.23"/>
    <n v="2910.84"/>
    <n v="2910.8359999999993"/>
    <n v="-12581.23"/>
    <s v="Paid"/>
    <s v="Paid"/>
    <s v="Completed"/>
    <x v="0"/>
    <s v="Clean"/>
  </r>
  <r>
    <s v="ORD-2024-10690"/>
    <n v="2"/>
    <s v="Unique"/>
    <s v="05-10-2024"/>
    <s v="06 Oct 2024"/>
    <d v="2024-05-10T00:00:00"/>
    <d v="2024-06-10T00:00:00"/>
    <x v="4"/>
    <x v="0"/>
    <s v="Valid"/>
    <s v="Valid"/>
    <n v="31"/>
    <s v="CUST-4382"/>
    <s v="Rohan Mehta"/>
    <s v="Rohan Mehta"/>
    <s v="Small Business"/>
    <x v="1"/>
    <s v="North"/>
    <x v="0"/>
    <s v="Punjab"/>
    <s v="Punjab"/>
    <s v="Ludhiana"/>
    <s v="Ludhiana"/>
    <s v="Furniture"/>
    <x v="1"/>
    <s v="Tables"/>
    <x v="1"/>
    <s v="Elite Tables 717"/>
    <s v="Standard Class"/>
    <x v="3"/>
    <n v="9"/>
    <n v="489.58"/>
    <n v="0.15"/>
    <n v="0.15"/>
    <s v="Valid"/>
    <n v="3745.29"/>
    <n v="3745.2870000000003"/>
    <n v="2302.65"/>
    <n v="1442.64"/>
    <n v="1442.6370000000002"/>
    <n v="-2302.65"/>
    <s v="Failed"/>
    <s v="Failed"/>
    <s v="Cancelled"/>
    <x v="1"/>
    <s v="Clean"/>
  </r>
  <r>
    <s v="ORD-2024-10691"/>
    <n v="2"/>
    <s v="Unique"/>
    <s v="09/11/2024"/>
    <s v="2024-09-15"/>
    <d v="2024-09-11T00:00:00"/>
    <d v="2024-09-15T00:00:00"/>
    <x v="9"/>
    <x v="0"/>
    <s v="Valid"/>
    <s v="Valid"/>
    <n v="4"/>
    <s v="CUST-6815"/>
    <s v="Sneha Kapoor"/>
    <s v="Sneha Kapoor"/>
    <s v="Corporate"/>
    <x v="2"/>
    <s v="South"/>
    <x v="2"/>
    <s v="Tamil Nadu"/>
    <s v="Tamil Nadu"/>
    <s v="Chennai"/>
    <s v="Chennai"/>
    <s v="Office Supplies"/>
    <x v="0"/>
    <s v="Art"/>
    <x v="2"/>
    <s v="Max Art 725"/>
    <s v="Standard Class"/>
    <x v="3"/>
    <n v="4"/>
    <n v="865.63"/>
    <n v="0"/>
    <n v="0"/>
    <s v="Valid"/>
    <n v="3462.52"/>
    <n v="3462.52"/>
    <n v="2797.29"/>
    <n v="665.23"/>
    <n v="665.23"/>
    <n v="-2797.29"/>
    <s v="Failed"/>
    <s v="Failed"/>
    <s v="Returned"/>
    <x v="2"/>
    <s v="Clean"/>
  </r>
  <r>
    <s v="ORD-2024-10692"/>
    <n v="2"/>
    <s v="Unique"/>
    <s v="15-12-2024"/>
    <s v="16-12-2024"/>
    <d v="2024-12-15T00:00:00"/>
    <d v="2024-12-16T00:00:00"/>
    <x v="7"/>
    <x v="0"/>
    <s v="Valid"/>
    <s v="Valid"/>
    <n v="1"/>
    <s v="CUST-7309"/>
    <s v="Rohan Mehta"/>
    <s v="Rohan Mehta"/>
    <s v="Consumer"/>
    <x v="0"/>
    <s v="East"/>
    <x v="1"/>
    <s v="Odisha"/>
    <s v="Odisha"/>
    <s v="Bhubaneswar"/>
    <s v="Bhubaneswar"/>
    <s v="Technology"/>
    <x v="2"/>
    <s v="Copiers"/>
    <x v="6"/>
    <s v="Smart Copiers 456"/>
    <s v="Second Class"/>
    <x v="0"/>
    <n v="6"/>
    <n v="1538.1"/>
    <n v="0.05"/>
    <n v="0.05"/>
    <s v="Valid"/>
    <n v="8767.17"/>
    <n v="8767.1699999999983"/>
    <n v="5098.2"/>
    <n v="3668.97"/>
    <n v="3668.9699999999984"/>
    <n v="-5098.2"/>
    <s v="Paid"/>
    <s v="Paid"/>
    <s v="Completed"/>
    <x v="0"/>
    <s v="Clean"/>
  </r>
  <r>
    <s v="ORD-2025-10693"/>
    <n v="3"/>
    <s v="Unique"/>
    <s v="05-10-2025"/>
    <s v="10-10-2025"/>
    <d v="2025-05-10T00:00:00"/>
    <d v="2025-10-10T00:00:00"/>
    <x v="4"/>
    <x v="1"/>
    <s v="Valid"/>
    <s v="Valid"/>
    <n v="153"/>
    <s v="CUST-9531"/>
    <s v="Isha Nair"/>
    <s v="Isha Nair"/>
    <s v="Corporate"/>
    <x v="2"/>
    <s v="South"/>
    <x v="2"/>
    <s v="Karnataka"/>
    <s v="Karnataka"/>
    <s v="Bengaluru"/>
    <s v="Bengaluru"/>
    <s v="Furniture"/>
    <x v="1"/>
    <s v="Furnishings"/>
    <x v="3"/>
    <s v="Prime Furnishings 883"/>
    <s v="Second Class"/>
    <x v="0"/>
    <n v="4"/>
    <n v="2365.6799999999998"/>
    <n v="0.1"/>
    <n v="0.1"/>
    <s v="Valid"/>
    <n v="8516.4500000000007"/>
    <n v="8516.4480000000003"/>
    <n v="5903.81"/>
    <n v="2612.64"/>
    <n v="2612.6379999999999"/>
    <n v="-5903.81"/>
    <s v="Paid"/>
    <s v="Paid"/>
    <s v="Completed"/>
    <x v="0"/>
    <s v="Clean"/>
  </r>
  <r>
    <s v="ORD-2025-10694"/>
    <n v="1"/>
    <s v="Unique"/>
    <s v="03-04-2025"/>
    <s v="2025-04-11"/>
    <d v="2025-03-04T00:00:00"/>
    <d v="2025-11-04T00:00:00"/>
    <x v="11"/>
    <x v="1"/>
    <s v="Valid"/>
    <s v="Valid"/>
    <n v="245"/>
    <s v="CUST-6032"/>
    <s v="Arjun Bose"/>
    <s v="Arjun Bose"/>
    <s v="Consumer"/>
    <x v="0"/>
    <s v="South"/>
    <x v="2"/>
    <s v="Tamil Nadu"/>
    <s v="Tamil Nadu"/>
    <s v="Chennai"/>
    <s v="Chennai"/>
    <s v="Furniture"/>
    <x v="1"/>
    <s v="Bookcases"/>
    <x v="10"/>
    <s v="Smart Bookcases 828"/>
    <s v="Second Class"/>
    <x v="0"/>
    <n v="3"/>
    <n v="4149.7700000000004"/>
    <n v="0.05"/>
    <n v="0.05"/>
    <s v="Valid"/>
    <n v="11826.84"/>
    <n v="11826.844500000001"/>
    <n v="8035.96"/>
    <n v="3790.88"/>
    <n v="3790.884500000001"/>
    <n v="-8035.96"/>
    <s v="Paid"/>
    <s v="Paid"/>
    <s v="Completed"/>
    <x v="0"/>
    <s v="Clean"/>
  </r>
  <r>
    <s v="ORD-2025-10695"/>
    <n v="1"/>
    <s v="Exact Duplicate"/>
    <s v="01-08-2025"/>
    <s v="09-08-2025"/>
    <d v="2025-01-08T00:00:00"/>
    <d v="2025-09-08T00:00:00"/>
    <x v="8"/>
    <x v="1"/>
    <s v="Valid"/>
    <s v="Valid"/>
    <n v="243"/>
    <s v="CUST-8025"/>
    <s v="Isha Nair"/>
    <s v="Isha Nair"/>
    <s v="Consumer"/>
    <x v="0"/>
    <s v="South"/>
    <x v="2"/>
    <s v="Andhra Pradesh"/>
    <s v="Andhra Pradesh"/>
    <s v="Vijayawada"/>
    <s v="Vijayawada"/>
    <s v="Office Supplies"/>
    <x v="0"/>
    <s v="Storage"/>
    <x v="8"/>
    <s v="Classic Storage 291"/>
    <s v="First Class"/>
    <x v="2"/>
    <n v="5"/>
    <n v="2736.24"/>
    <n v="0.15"/>
    <n v="0.15"/>
    <s v="Valid"/>
    <n v="11629.02"/>
    <n v="11629.019999999999"/>
    <n v="9627.2099999999991"/>
    <n v="2001.81"/>
    <n v="2001.8099999999995"/>
    <n v="-9627.2099999999991"/>
    <s v="Paid"/>
    <s v="Paid"/>
    <s v="Completed"/>
    <x v="0"/>
    <s v="Clean"/>
  </r>
  <r>
    <s v="ORD-2024-10696"/>
    <n v="4"/>
    <s v="Unique"/>
    <s v="2024-07-01"/>
    <s v="01-07-2024"/>
    <d v="2024-01-07T00:00:00"/>
    <d v="2024-01-07T00:00:00"/>
    <x v="8"/>
    <x v="0"/>
    <s v="Valid"/>
    <s v="Valid"/>
    <n v="0"/>
    <s v="CUST-6257"/>
    <s v="Aarav Sharma"/>
    <s v="Aarav Sharma"/>
    <s v="Consumer"/>
    <x v="0"/>
    <s v="West"/>
    <x v="3"/>
    <s v="Madhya Pradesh"/>
    <s v="Madhya Pradesh"/>
    <s v="Indore"/>
    <s v="Indore"/>
    <s v="Technology"/>
    <x v="2"/>
    <s v="Machines"/>
    <x v="12"/>
    <s v="Prime Machines 102"/>
    <s v="Standard Class"/>
    <x v="3"/>
    <n v="4"/>
    <n v="257.39"/>
    <n v="0"/>
    <n v="0"/>
    <s v="Valid"/>
    <n v="1029.56"/>
    <n v="1029.56"/>
    <n v="626.33000000000004"/>
    <n v="403.23"/>
    <n v="403.2299999999999"/>
    <n v="-626.33000000000004"/>
    <s v="Paid"/>
    <s v="Paid"/>
    <s v="Completed"/>
    <x v="0"/>
    <s v="Clean"/>
  </r>
  <r>
    <s v="ORD-2025-10697"/>
    <n v="1"/>
    <s v="Unique"/>
    <s v="22 Sep 2025"/>
    <s v="25 Sep 2025"/>
    <d v="2025-09-22T00:00:00"/>
    <d v="2025-09-25T00:00:00"/>
    <x v="9"/>
    <x v="1"/>
    <s v="Valid"/>
    <s v="Valid"/>
    <n v="3"/>
    <s v="CUST-7812"/>
    <s v="Isha Nair"/>
    <s v="Isha Nair"/>
    <s v="Small Business"/>
    <x v="1"/>
    <s v="South"/>
    <x v="2"/>
    <s v="Kerala"/>
    <s v="Kerala"/>
    <s v="Kochi"/>
    <s v="Kochi"/>
    <s v="Technology"/>
    <x v="2"/>
    <s v="Phones"/>
    <x v="11"/>
    <s v="Classic Phones 842"/>
    <s v="Unknown"/>
    <x v="4"/>
    <n v="4"/>
    <n v="1178.8399999999999"/>
    <n v="0.25"/>
    <n v="0.25"/>
    <s v="Valid"/>
    <n v="3536.52"/>
    <n v="3536.5199999999995"/>
    <n v="2102.41"/>
    <n v="1363.28"/>
    <n v="1434.1099999999997"/>
    <n v="-2102.41"/>
    <s v="Paid"/>
    <s v="Paid"/>
    <s v="Completed"/>
    <x v="0"/>
    <s v="Clean"/>
  </r>
  <r>
    <s v="ORD-2025-10698"/>
    <n v="2"/>
    <s v="Unique"/>
    <s v="03/01/2025"/>
    <s v="07-03-2025"/>
    <d v="2025-03-01T00:00:00"/>
    <d v="2025-07-03T00:00:00"/>
    <x v="11"/>
    <x v="1"/>
    <s v="Valid"/>
    <s v="Valid"/>
    <n v="124"/>
    <s v="CUST-6205"/>
    <s v="Arjun Bose"/>
    <s v="Arjun Bose"/>
    <s v="Corporate"/>
    <x v="2"/>
    <s v="South"/>
    <x v="2"/>
    <s v="Andhra Pradesh"/>
    <s v="Andhra Pradesh"/>
    <s v="Vijayawada"/>
    <s v="Vijayawada"/>
    <s v="Office Supplies"/>
    <x v="0"/>
    <s v="Labels"/>
    <x v="7"/>
    <s v="Max Labels 970"/>
    <s v="First Class"/>
    <x v="2"/>
    <n v="7"/>
    <n v="567.15"/>
    <s v="Unknown"/>
    <s v="Unknown"/>
    <s v="Invalid - Above Range"/>
    <n v="2977.54"/>
    <s v="Unknown"/>
    <n v="1849.3"/>
    <n v="1128.24"/>
    <s v="Unknown"/>
    <s v="Unknown"/>
    <s v="Refunded"/>
    <s v="Refunded"/>
    <s v="Returned"/>
    <x v="2"/>
    <s v="Needs Review"/>
  </r>
  <r>
    <s v="ORD-2024-10699"/>
    <n v="2"/>
    <s v="Unique"/>
    <s v="14-09-2024"/>
    <s v="2024-09-14"/>
    <d v="2024-09-14T00:00:00"/>
    <d v="2024-09-14T00:00:00"/>
    <x v="9"/>
    <x v="0"/>
    <s v="Valid"/>
    <s v="Valid"/>
    <n v="0"/>
    <s v="CUST-5357"/>
    <s v="Mira Das"/>
    <s v="Mira Das"/>
    <s v="Corporate"/>
    <x v="2"/>
    <s v="North"/>
    <x v="0"/>
    <s v="Rajasthan"/>
    <s v="Rajasthan"/>
    <s v="Jaipur"/>
    <s v="Jaipur"/>
    <s v="Technology"/>
    <x v="2"/>
    <s v="Machines"/>
    <x v="12"/>
    <s v="Classic Machines 648"/>
    <s v="Standard Class"/>
    <x v="3"/>
    <n v="8"/>
    <n v="4081.66"/>
    <n v="0.15"/>
    <n v="0.15"/>
    <s v="Valid"/>
    <n v="28208.1"/>
    <n v="27755.287999999997"/>
    <n v="23751.91"/>
    <n v="4003.38"/>
    <n v="4003.377999999997"/>
    <n v="-23751.91"/>
    <s v="Paid"/>
    <s v="Paid"/>
    <s v="Returned"/>
    <x v="2"/>
    <s v="Clean"/>
  </r>
  <r>
    <s v="ORD-2024-10700"/>
    <n v="1"/>
    <s v="Unique"/>
    <s v="2024-06-11"/>
    <s v="11 Jun 2024"/>
    <d v="2024-11-06T00:00:00"/>
    <d v="2024-11-06T00:00:00"/>
    <x v="3"/>
    <x v="0"/>
    <s v="Valid"/>
    <s v="Valid"/>
    <n v="0"/>
    <s v="CUST-9802"/>
    <s v="Arjun Bose"/>
    <s v="Arjun Bose"/>
    <s v="Small Business"/>
    <x v="1"/>
    <s v="South"/>
    <x v="2"/>
    <s v="Karnataka"/>
    <s v="Karnataka"/>
    <s v="Bengaluru"/>
    <s v="Bengaluru"/>
    <s v="Furniture"/>
    <x v="1"/>
    <s v="Bookcases"/>
    <x v="10"/>
    <s v="Max Bookcases 565"/>
    <s v="Standard Class"/>
    <x v="3"/>
    <n v="9"/>
    <n v="1400.11"/>
    <n v="0.25"/>
    <n v="0.25"/>
    <s v="Valid"/>
    <n v="9450.74"/>
    <n v="9450.7425000000003"/>
    <n v="7798.56"/>
    <n v="1652.18"/>
    <n v="1652.1824999999999"/>
    <n v="-7798.56"/>
    <s v="Paid"/>
    <s v="Paid"/>
    <s v="Completed"/>
    <x v="0"/>
    <s v="Clean"/>
  </r>
  <r>
    <s v="ORD-2024-10701"/>
    <n v="1"/>
    <s v="Unique"/>
    <s v="18-09-2024"/>
    <s v="09/21/2024"/>
    <d v="2024-09-18T00:00:00"/>
    <d v="2024-09-21T00:00:00"/>
    <x v="9"/>
    <x v="0"/>
    <s v="Valid"/>
    <s v="Valid"/>
    <n v="3"/>
    <s v="CUST-5646"/>
    <s v="Neha Gupta"/>
    <s v="Neha Gupta"/>
    <s v="Corporate"/>
    <x v="2"/>
    <s v="East"/>
    <x v="1"/>
    <s v="West Bengal"/>
    <s v="West Bengal"/>
    <s v="Kolkata"/>
    <s v="Kolkata"/>
    <s v="Technology"/>
    <x v="2"/>
    <s v="Machines"/>
    <x v="12"/>
    <s v="Basic Machines 220"/>
    <s v="Standard Class"/>
    <x v="3"/>
    <n v="3"/>
    <n v="3055.9"/>
    <n v="0.15"/>
    <n v="0.15"/>
    <s v="Valid"/>
    <n v="7792.55"/>
    <n v="7792.5450000000001"/>
    <n v="4691.7299999999996"/>
    <n v="3100.82"/>
    <n v="3100.8150000000005"/>
    <n v="-4691.7299999999996"/>
    <s v="Paid"/>
    <s v="Paid"/>
    <s v="Completed"/>
    <x v="0"/>
    <s v="Clean"/>
  </r>
  <r>
    <s v="ORD-2024-10702"/>
    <n v="1"/>
    <s v="Unique"/>
    <s v="30-04-2024"/>
    <s v="04 May 2024"/>
    <d v="2024-04-30T00:00:00"/>
    <d v="2024-04-05T00:00:00"/>
    <x v="5"/>
    <x v="0"/>
    <s v="Valid"/>
    <s v="Valid"/>
    <n v="-25"/>
    <s v="CUST-7171"/>
    <s v="Rohan Mehta"/>
    <s v="Rohan Mehta"/>
    <s v="Small Business"/>
    <x v="1"/>
    <s v="West"/>
    <x v="3"/>
    <s v="Gujarat"/>
    <s v="Gujarat"/>
    <s v="Ahmedabad"/>
    <s v="Ahmedabad"/>
    <s v="Office Supplies"/>
    <x v="0"/>
    <s v="Art"/>
    <x v="2"/>
    <s v="Pro Art 151"/>
    <s v="Same Day"/>
    <x v="1"/>
    <n v="7"/>
    <n v="1224.94"/>
    <n v="0"/>
    <n v="0"/>
    <s v="Valid"/>
    <n v="8574.58"/>
    <n v="8574.58"/>
    <n v="6685.81"/>
    <n v="1888.77"/>
    <n v="1888.7699999999995"/>
    <n v="-6685.81"/>
    <s v="Paid"/>
    <s v="Paid"/>
    <s v="Returned"/>
    <x v="2"/>
    <s v="Clean"/>
  </r>
  <r>
    <s v="ORD-2025-10703"/>
    <n v="2"/>
    <s v="Unique"/>
    <s v="2025-02-02"/>
    <s v="02/06/2025"/>
    <d v="2025-02-02T00:00:00"/>
    <d v="2025-02-06T00:00:00"/>
    <x v="6"/>
    <x v="1"/>
    <s v="Valid"/>
    <s v="Valid"/>
    <n v="4"/>
    <s v="CUST-5231"/>
    <s v="Karan Malhotra"/>
    <s v="Karan Malhotra"/>
    <s v="Small Business"/>
    <x v="1"/>
    <s v="West"/>
    <x v="3"/>
    <s v="Rajasthan"/>
    <s v="Rajasthan"/>
    <s v="Udaipur"/>
    <s v="Udaipur"/>
    <s v="Furniture"/>
    <x v="1"/>
    <s v="Tables"/>
    <x v="1"/>
    <s v="Pro Tables 980"/>
    <s v="Second Class"/>
    <x v="0"/>
    <n v="3"/>
    <n v="997.34"/>
    <n v="0.1"/>
    <n v="0.1"/>
    <s v="Valid"/>
    <n v="2692.82"/>
    <n v="2692.8180000000002"/>
    <n v="1820.08"/>
    <n v="872.74"/>
    <n v="872.73800000000028"/>
    <n v="-1820.08"/>
    <s v="Paid"/>
    <s v="Paid"/>
    <s v="Completed"/>
    <x v="0"/>
    <s v="Clean"/>
  </r>
  <r>
    <s v="ORD-2024-10704"/>
    <n v="2"/>
    <s v="Unique"/>
    <s v="19 Oct 2024"/>
    <s v="2024-10-20"/>
    <d v="2024-10-19T00:00:00"/>
    <d v="2024-10-20T00:00:00"/>
    <x v="10"/>
    <x v="0"/>
    <s v="Valid"/>
    <s v="Valid"/>
    <n v="1"/>
    <s v="CUST-8734"/>
    <s v="Aditi Sen"/>
    <s v="Aditi Sen"/>
    <s v="Corporate"/>
    <x v="2"/>
    <s v="North"/>
    <x v="0"/>
    <s v="Rajasthan"/>
    <s v="Rajasthan"/>
    <s v="Jaipur"/>
    <s v="Jaipur"/>
    <s v="Furniture"/>
    <x v="1"/>
    <s v="Tables"/>
    <x v="1"/>
    <s v="Classic Tables 997"/>
    <s v="First Class"/>
    <x v="2"/>
    <n v="1"/>
    <n v="1150.03"/>
    <n v="0.1"/>
    <n v="0.1"/>
    <s v="Valid"/>
    <n v="1035.03"/>
    <n v="1035.027"/>
    <n v="854.35"/>
    <n v="180.68"/>
    <n v="180.67700000000002"/>
    <n v="-854.35"/>
    <s v="Paid"/>
    <s v="Paid"/>
    <s v="Completed"/>
    <x v="0"/>
    <s v="Clean"/>
  </r>
  <r>
    <s v="ORD-2024-10705"/>
    <n v="1"/>
    <s v="Exact Duplicate"/>
    <s v="2024-03-13"/>
    <s v="03/20/2024"/>
    <d v="2024-03-13T00:00:00"/>
    <d v="2024-03-20T00:00:00"/>
    <x v="11"/>
    <x v="0"/>
    <s v="Valid"/>
    <s v="Valid"/>
    <n v="7"/>
    <s v="CUST-4916"/>
    <s v="Priya Menon"/>
    <s v="Priya Menon"/>
    <s v="Home Office"/>
    <x v="3"/>
    <s v="South"/>
    <x v="2"/>
    <s v="Tamil Nadu"/>
    <s v="Tamil Nadu"/>
    <s v="Chennai"/>
    <s v="Chennai"/>
    <s v="Furniture"/>
    <x v="1"/>
    <s v="Bookcases"/>
    <x v="10"/>
    <s v="Max Bookcases 738"/>
    <s v="Unknown"/>
    <x v="4"/>
    <n v="1"/>
    <n v="2825.63"/>
    <n v="0.15"/>
    <n v="0.15"/>
    <s v="Valid"/>
    <n v="2401.79"/>
    <n v="2401.7855"/>
    <n v="1820.34"/>
    <n v="581.45000000000005"/>
    <n v="581.44550000000004"/>
    <n v="-1820.34"/>
    <s v="Paid"/>
    <s v="Paid"/>
    <s v="Completed"/>
    <x v="0"/>
    <s v="Clean"/>
  </r>
  <r>
    <s v="ORD-2024-10706"/>
    <n v="1"/>
    <s v="Unique"/>
    <s v="08 Sep 2024"/>
    <s v="09/14/2024"/>
    <d v="2024-08-09T00:00:00"/>
    <d v="2024-09-14T00:00:00"/>
    <x v="1"/>
    <x v="0"/>
    <s v="Valid"/>
    <s v="Valid"/>
    <n v="36"/>
    <s v="CUST-3289"/>
    <s v="Rohan Mehta"/>
    <s v="Rohan Mehta"/>
    <s v="Consumer"/>
    <x v="0"/>
    <s v="North"/>
    <x v="0"/>
    <s v="Rajasthan"/>
    <s v="Rajasthan"/>
    <s v="Jaipur"/>
    <s v="Jaipur"/>
    <s v="Office Supplies"/>
    <x v="0"/>
    <s v="Binders"/>
    <x v="9"/>
    <s v="Max Binders 411"/>
    <s v="Standard Class"/>
    <x v="3"/>
    <n v="5"/>
    <n v="3371.75"/>
    <n v="0.05"/>
    <n v="0.05"/>
    <s v="Valid"/>
    <n v="16015.81"/>
    <n v="16015.8125"/>
    <n v="11352.38"/>
    <n v="4663.43"/>
    <n v="4663.4325000000008"/>
    <n v="-11352.38"/>
    <s v="Paid"/>
    <s v="Paid"/>
    <s v="Completed"/>
    <x v="0"/>
    <s v="Clean"/>
  </r>
  <r>
    <s v="ORD-2024-10707"/>
    <n v="2"/>
    <s v="Unique"/>
    <s v="24-06-2024"/>
    <s v="28-06-2024"/>
    <d v="2024-06-24T00:00:00"/>
    <d v="2024-06-28T00:00:00"/>
    <x v="2"/>
    <x v="0"/>
    <s v="Valid"/>
    <s v="Valid"/>
    <n v="4"/>
    <s v="CUST-4928"/>
    <s v="Isha Nair"/>
    <s v="Isha Nair"/>
    <s v="Small Business"/>
    <x v="1"/>
    <s v="East"/>
    <x v="1"/>
    <s v="Odisha"/>
    <s v="Odisha"/>
    <s v="Bhubaneswar"/>
    <s v="Bhubaneswar"/>
    <s v="Office Supplies"/>
    <x v="0"/>
    <s v="Paper"/>
    <x v="0"/>
    <s v="Max Paper 343"/>
    <s v="Same Day"/>
    <x v="1"/>
    <n v="1"/>
    <n v="2112.75"/>
    <n v="0.1"/>
    <n v="0.1"/>
    <s v="Valid"/>
    <n v="1901.48"/>
    <n v="1901.4750000000001"/>
    <n v="1354.28"/>
    <n v="547.20000000000005"/>
    <n v="547.19500000000016"/>
    <n v="-1354.28"/>
    <s v="Paid"/>
    <s v="Paid"/>
    <s v="Completed"/>
    <x v="0"/>
    <s v="Clean"/>
  </r>
  <r>
    <s v="ORD-2025-10708"/>
    <n v="3"/>
    <s v="Unique"/>
    <s v="24-06-2025"/>
    <s v="06/26/2025"/>
    <d v="2025-06-24T00:00:00"/>
    <d v="2025-06-26T00:00:00"/>
    <x v="2"/>
    <x v="1"/>
    <s v="Valid"/>
    <s v="Valid"/>
    <n v="2"/>
    <s v="CUST-4902"/>
    <s v="Vikram Iyer"/>
    <s v="Vikram Iyer"/>
    <s v="Consumer"/>
    <x v="0"/>
    <s v="North"/>
    <x v="0"/>
    <s v="Rajasthan"/>
    <s v="Rajasthan"/>
    <s v="Jaipur"/>
    <s v="Jaipur"/>
    <s v="Technology"/>
    <x v="2"/>
    <s v="Accessories"/>
    <x v="5"/>
    <s v="Pro Accessories 485"/>
    <s v="Same Day"/>
    <x v="1"/>
    <n v="5"/>
    <n v="3722.66"/>
    <n v="0.55000000000000004"/>
    <n v="0.55000000000000004"/>
    <s v="Valid"/>
    <n v="16751.97"/>
    <n v="8375.9849999999988"/>
    <n v="11678.32"/>
    <n v="5073.6499999999996"/>
    <n v="-3302.3350000000009"/>
    <n v="-11678.32"/>
    <s v="Paid"/>
    <s v="Paid"/>
    <s v="Completed"/>
    <x v="0"/>
    <s v="Clean"/>
  </r>
  <r>
    <s v="ORD-2025-10709"/>
    <n v="1"/>
    <s v="Unique"/>
    <s v="03/20/2025"/>
    <s v="2025-03-26"/>
    <d v="2025-03-20T00:00:00"/>
    <d v="2025-03-26T00:00:00"/>
    <x v="11"/>
    <x v="1"/>
    <s v="Valid"/>
    <s v="Valid"/>
    <n v="6"/>
    <s v="CUST-6504"/>
    <s v="Sneha Kapoor"/>
    <s v="Sneha Kapoor"/>
    <s v="Consumer"/>
    <x v="0"/>
    <s v="East"/>
    <x v="1"/>
    <s v="Assam"/>
    <s v="Assam"/>
    <s v="Guwahati"/>
    <s v="Guwahati"/>
    <s v="Furniture"/>
    <x v="1"/>
    <s v="Bookcases"/>
    <x v="10"/>
    <s v="Elite Bookcases 113"/>
    <s v="First Class"/>
    <x v="2"/>
    <n v="4"/>
    <n v="4357.66"/>
    <n v="0.05"/>
    <n v="0.05"/>
    <s v="Valid"/>
    <n v="16559.11"/>
    <n v="16559.108"/>
    <n v="13233.79"/>
    <n v="3325.32"/>
    <n v="3325.3179999999993"/>
    <n v="-13233.79"/>
    <s v="Paid"/>
    <s v="Paid"/>
    <s v="Completed"/>
    <x v="0"/>
    <s v="Clean"/>
  </r>
  <r>
    <s v="ORD-2025-10710"/>
    <n v="2"/>
    <s v="Unique"/>
    <s v="19 Jan 2025"/>
    <s v="23 Jan 2025"/>
    <d v="2025-01-19T00:00:00"/>
    <d v="2025-01-23T00:00:00"/>
    <x v="8"/>
    <x v="1"/>
    <s v="Valid"/>
    <s v="Valid"/>
    <n v="4"/>
    <s v="CUST-8036"/>
    <s v="Kabir Singh"/>
    <s v="Kabir Singh"/>
    <s v="Home Office"/>
    <x v="3"/>
    <s v="North"/>
    <x v="0"/>
    <s v="Punjab"/>
    <s v="Punjab"/>
    <s v="Ludhiana"/>
    <s v="Ludhiana"/>
    <s v="Technology"/>
    <x v="2"/>
    <s v="Phones"/>
    <x v="11"/>
    <s v="Eco Phones 787"/>
    <s v="Same Day"/>
    <x v="1"/>
    <n v="7"/>
    <n v="1363.04"/>
    <n v="0.15"/>
    <n v="0.15"/>
    <s v="Valid"/>
    <n v="8110.09"/>
    <n v="8110.0879999999988"/>
    <n v="6417.32"/>
    <n v="1692.77"/>
    <n v="1692.7679999999991"/>
    <n v="-6417.32"/>
    <s v="Paid"/>
    <s v="Paid"/>
    <s v="Cancelled"/>
    <x v="1"/>
    <s v="Clean"/>
  </r>
  <r>
    <s v="ORD-2024-10711"/>
    <n v="2"/>
    <s v="Unique"/>
    <s v="07/12/2024"/>
    <s v="07/19/2024"/>
    <d v="2024-07-12T00:00:00"/>
    <d v="2024-07-19T00:00:00"/>
    <x v="0"/>
    <x v="0"/>
    <s v="Valid"/>
    <s v="Valid"/>
    <n v="7"/>
    <s v="CUST-7199"/>
    <s v="Vikram Iyer"/>
    <s v="Vikram Iyer"/>
    <s v="Corporate"/>
    <x v="2"/>
    <s v="North"/>
    <x v="0"/>
    <s v="Punjab"/>
    <s v="Punjab"/>
    <s v="Ludhiana"/>
    <s v="Ludhiana"/>
    <s v="Office Supplies"/>
    <x v="0"/>
    <s v="Art"/>
    <x v="2"/>
    <s v="Smart Art 279"/>
    <s v="Second Class"/>
    <x v="0"/>
    <n v="5"/>
    <n v="1559.16"/>
    <n v="0.05"/>
    <n v="0.05"/>
    <s v="Valid"/>
    <n v="7406.01"/>
    <n v="7406.01"/>
    <n v="5941.74"/>
    <n v="1464.27"/>
    <n v="1464.2700000000004"/>
    <n v="-5941.74"/>
    <s v="Paid"/>
    <s v="Paid"/>
    <s v="Completed"/>
    <x v="0"/>
    <s v="Clean"/>
  </r>
  <r>
    <s v="ORD-2025-10712"/>
    <n v="3"/>
    <s v="Unique"/>
    <s v="02-02-2025"/>
    <s v="2025-02-02"/>
    <d v="2025-02-02T00:00:00"/>
    <d v="2025-02-02T00:00:00"/>
    <x v="6"/>
    <x v="1"/>
    <s v="Valid"/>
    <s v="Valid"/>
    <n v="0"/>
    <s v="CUST-6176"/>
    <s v="Kabir Singh"/>
    <s v="Kabir Singh"/>
    <s v="Corporate"/>
    <x v="2"/>
    <s v="East"/>
    <x v="1"/>
    <s v="West Bengal"/>
    <s v="West Bengal"/>
    <s v="Kolkata"/>
    <s v="Kolkata"/>
    <s v="Technology"/>
    <x v="2"/>
    <s v="Machines"/>
    <x v="12"/>
    <s v="Basic Machines 172"/>
    <s v="First Class"/>
    <x v="2"/>
    <n v="1"/>
    <n v="4326.75"/>
    <n v="0.05"/>
    <n v="0.05"/>
    <s v="Valid"/>
    <n v="4110.41"/>
    <n v="4110.4124999999995"/>
    <n v="2394.14"/>
    <n v="1716.27"/>
    <n v="1716.2724999999996"/>
    <n v="-2394.14"/>
    <s v="Pending"/>
    <s v="Pending"/>
    <s v="Returned"/>
    <x v="2"/>
    <s v="Clean"/>
  </r>
  <r>
    <s v="ORD-2024-10713"/>
    <n v="3"/>
    <s v="Exact Duplicate"/>
    <s v="10 Feb 2024"/>
    <s v="18 Feb 2024"/>
    <d v="2024-10-02T00:00:00"/>
    <d v="2024-02-18T00:00:00"/>
    <x v="10"/>
    <x v="0"/>
    <s v="Valid"/>
    <s v="Valid"/>
    <n v="-227"/>
    <s v="CUST-5127"/>
    <s v="Isha Nair"/>
    <s v="Isha Nair"/>
    <s v="Home Office"/>
    <x v="3"/>
    <s v="West"/>
    <x v="3"/>
    <s v="Madhya Pradesh"/>
    <s v="Madhya Pradesh"/>
    <s v="Indore"/>
    <s v="Indore"/>
    <s v="Furniture"/>
    <x v="1"/>
    <s v="Chairs"/>
    <x v="4"/>
    <s v="Smart Chairs 259"/>
    <s v="First Class"/>
    <x v="2"/>
    <n v="7"/>
    <n v="1382.86"/>
    <n v="0"/>
    <n v="0"/>
    <s v="Valid"/>
    <n v="9680.02"/>
    <n v="9680.0199999999986"/>
    <n v="6876.66"/>
    <n v="2803.36"/>
    <n v="2803.3599999999988"/>
    <n v="-6876.66"/>
    <s v="Paid"/>
    <s v="Paid"/>
    <s v="Completed"/>
    <x v="0"/>
    <s v="Clean"/>
  </r>
  <r>
    <s v="ORD-2025-10714"/>
    <n v="2"/>
    <s v="Unique"/>
    <s v="06/06/2025"/>
    <s v="06/10/2025"/>
    <d v="2025-06-06T00:00:00"/>
    <d v="2025-06-10T00:00:00"/>
    <x v="2"/>
    <x v="1"/>
    <s v="Valid"/>
    <s v="Valid"/>
    <n v="4"/>
    <s v="CUST-2548"/>
    <s v="Mira Das"/>
    <s v="Mira Das"/>
    <s v="Consumer"/>
    <x v="0"/>
    <s v="West"/>
    <x v="3"/>
    <s v="Rajasthan"/>
    <s v="Rajasthan"/>
    <s v="Udaipur"/>
    <s v="Udaipur"/>
    <s v="Technology"/>
    <x v="2"/>
    <s v="Machines"/>
    <x v="12"/>
    <s v="Pro Machines 987"/>
    <s v="Second Class"/>
    <x v="0"/>
    <n v="1"/>
    <n v="289.97000000000003"/>
    <n v="0.25"/>
    <n v="0.25"/>
    <s v="Valid"/>
    <n v="217.48"/>
    <n v="217.47750000000002"/>
    <n v="132.13"/>
    <n v="85.35"/>
    <n v="85.347500000000025"/>
    <n v="-132.13"/>
    <s v="Paid"/>
    <s v="Paid"/>
    <s v="Completed"/>
    <x v="0"/>
    <s v="Clean"/>
  </r>
  <r>
    <s v="ORD-2025-10715"/>
    <n v="1"/>
    <s v="Unique"/>
    <s v="22 Mar 2025"/>
    <s v="2025-03-23"/>
    <d v="2025-03-22T00:00:00"/>
    <d v="2025-03-23T00:00:00"/>
    <x v="11"/>
    <x v="1"/>
    <s v="Valid"/>
    <s v="Valid"/>
    <n v="1"/>
    <s v="CUST-9902"/>
    <s v="Karan Malhotra"/>
    <s v="Karan Malhotra"/>
    <s v="Home Office"/>
    <x v="3"/>
    <s v="North"/>
    <x v="0"/>
    <s v="Delhi"/>
    <s v="Delhi"/>
    <s v="New Delhi"/>
    <s v="New Delhi"/>
    <s v="Technology"/>
    <x v="2"/>
    <s v="Copiers"/>
    <x v="6"/>
    <s v="Pro Copiers 206"/>
    <s v="Standard Class"/>
    <x v="3"/>
    <n v="9"/>
    <n v="2075.02"/>
    <n v="0"/>
    <n v="0"/>
    <s v="Valid"/>
    <n v="18675.18"/>
    <n v="18675.18"/>
    <n v="13974.7"/>
    <n v="4700.4799999999996"/>
    <n v="4700.4799999999996"/>
    <n v="-13974.7"/>
    <s v="Paid"/>
    <s v="Paid"/>
    <s v="Completed"/>
    <x v="0"/>
    <s v="Clean"/>
  </r>
  <r>
    <s v="ORD-2025-10716"/>
    <n v="4"/>
    <s v="Unique"/>
    <s v="2025-08-22"/>
    <s v="27 Aug 2025"/>
    <d v="2025-08-22T00:00:00"/>
    <d v="2025-08-27T00:00:00"/>
    <x v="1"/>
    <x v="1"/>
    <s v="Valid"/>
    <s v="Valid"/>
    <n v="5"/>
    <s v="CUST-7446"/>
    <s v="Priya Menon"/>
    <s v="Priya Menon"/>
    <s v="Consumer"/>
    <x v="0"/>
    <s v="North"/>
    <x v="0"/>
    <s v="Haryana"/>
    <s v="Haryana"/>
    <s v="Gurugram"/>
    <s v="Gurugram"/>
    <s v="Furniture"/>
    <x v="1"/>
    <s v="Chairs"/>
    <x v="4"/>
    <s v="Max Chairs 372"/>
    <s v="Second Class"/>
    <x v="0"/>
    <n v="7"/>
    <n v="2843.09"/>
    <n v="0"/>
    <n v="0"/>
    <s v="Valid"/>
    <n v="19901.63"/>
    <n v="19901.63"/>
    <n v="15492.03"/>
    <n v="4409.6000000000004"/>
    <n v="4409.6000000000004"/>
    <n v="-15492.03"/>
    <s v="Refunded"/>
    <s v="Refunded"/>
    <s v="Cancelled"/>
    <x v="1"/>
    <s v="Clean"/>
  </r>
  <r>
    <s v="ORD-2025-10717"/>
    <n v="1"/>
    <s v="Unique"/>
    <s v="26 Aug 2025"/>
    <s v="31-08-2025"/>
    <d v="2025-08-26T00:00:00"/>
    <d v="2025-08-31T00:00:00"/>
    <x v="1"/>
    <x v="1"/>
    <s v="Valid"/>
    <s v="Valid"/>
    <n v="5"/>
    <s v="CUST-7540"/>
    <s v="Diya Patel"/>
    <s v="Diya Patel"/>
    <s v="Small Business"/>
    <x v="1"/>
    <s v="North"/>
    <x v="0"/>
    <s v="Haryana"/>
    <s v="Haryana"/>
    <s v="Gurugram"/>
    <s v="Gurugram"/>
    <s v="Technology"/>
    <x v="2"/>
    <s v="Phones"/>
    <x v="11"/>
    <s v="Basic Phones 496"/>
    <s v="First Class"/>
    <x v="2"/>
    <n v="1"/>
    <n v="3388.02"/>
    <n v="0.15"/>
    <n v="0.15"/>
    <s v="Valid"/>
    <n v="2879.82"/>
    <n v="2879.817"/>
    <n v="1824.88"/>
    <n v="1054.94"/>
    <n v="1054.9369999999999"/>
    <n v="-1824.88"/>
    <s v="Paid"/>
    <s v="Paid"/>
    <s v="Completed"/>
    <x v="0"/>
    <s v="Clean"/>
  </r>
  <r>
    <s v="ORD-2025-10718"/>
    <n v="2"/>
    <s v="Unique"/>
    <s v="12-10-2025"/>
    <s v="15 Oct 2025"/>
    <d v="2025-12-10T00:00:00"/>
    <d v="2025-10-15T00:00:00"/>
    <x v="7"/>
    <x v="1"/>
    <s v="Valid"/>
    <s v="Valid"/>
    <n v="-56"/>
    <s v="CUST-8351"/>
    <s v="Kabir Singh"/>
    <s v="Kabir Singh"/>
    <s v="Small Business"/>
    <x v="1"/>
    <s v="North"/>
    <x v="0"/>
    <s v="Haryana"/>
    <s v="Haryana"/>
    <s v="Gurugram"/>
    <s v="Gurugram"/>
    <s v="Technology"/>
    <x v="2"/>
    <s v="Machines"/>
    <x v="12"/>
    <s v="Prime Machines 612"/>
    <s v="Standard Class"/>
    <x v="3"/>
    <n v="9"/>
    <n v="2598.92"/>
    <n v="0.2"/>
    <n v="0.2"/>
    <s v="Valid"/>
    <n v="18712.22"/>
    <n v="18712.223999999998"/>
    <n v="11852.22"/>
    <n v="6860"/>
    <n v="6860.003999999999"/>
    <n v="-11852.22"/>
    <s v="Pending"/>
    <s v="Pending"/>
    <s v="Cancelled"/>
    <x v="1"/>
    <s v="Clean"/>
  </r>
  <r>
    <s v="ORD-2024-10719"/>
    <n v="2"/>
    <s v="Unique"/>
    <s v="06 Sep 2024"/>
    <s v="2024-09-09"/>
    <d v="2024-06-09T00:00:00"/>
    <d v="2024-09-09T00:00:00"/>
    <x v="2"/>
    <x v="0"/>
    <s v="Valid"/>
    <s v="Valid"/>
    <n v="92"/>
    <s v="CUST-3918"/>
    <s v="Mira Das"/>
    <s v="Mira Das"/>
    <s v="Consumer"/>
    <x v="0"/>
    <s v="West"/>
    <x v="3"/>
    <s v="Maharashtra"/>
    <s v="Maharashtra"/>
    <s v="Mumbai"/>
    <s v="Mumbai"/>
    <s v="Office Supplies"/>
    <x v="0"/>
    <s v="Art"/>
    <x v="2"/>
    <s v="Smart Art 866"/>
    <s v="Same Day"/>
    <x v="1"/>
    <n v="3"/>
    <n v="1972.27"/>
    <n v="0.2"/>
    <n v="0.2"/>
    <s v="Valid"/>
    <n v="4733.45"/>
    <n v="4733.4479999999994"/>
    <n v="3672.32"/>
    <n v="1061.1300000000001"/>
    <n v="1061.1279999999992"/>
    <n v="-3672.32"/>
    <s v="Paid"/>
    <s v="Paid"/>
    <s v="Completed"/>
    <x v="0"/>
    <s v="Clean"/>
  </r>
  <r>
    <s v="ORD-2025-10720"/>
    <n v="3"/>
    <s v="Exact Duplicate"/>
    <s v="08 Sep 2025"/>
    <s v="2025-09-09"/>
    <d v="2025-08-09T00:00:00"/>
    <d v="2025-09-09T00:00:00"/>
    <x v="1"/>
    <x v="1"/>
    <s v="Valid"/>
    <s v="Valid"/>
    <n v="31"/>
    <s v="CUST-3190"/>
    <s v="Kabir Singh"/>
    <s v="Kabir Singh"/>
    <s v="Corporate"/>
    <x v="2"/>
    <s v="West"/>
    <x v="3"/>
    <s v="Gujarat"/>
    <s v="Gujarat"/>
    <s v="Ahmedabad"/>
    <s v="Ahmedabad"/>
    <s v="Office Supplies"/>
    <x v="0"/>
    <s v="Art"/>
    <x v="2"/>
    <s v="Pro Art 447"/>
    <s v="Same Day"/>
    <x v="1"/>
    <n v="2"/>
    <n v="2372.41"/>
    <n v="0.2"/>
    <n v="0.2"/>
    <s v="Valid"/>
    <n v="3795.86"/>
    <n v="3795.8559999999998"/>
    <n v="2264.92"/>
    <n v="1530.94"/>
    <n v="1530.9359999999997"/>
    <n v="-2264.92"/>
    <s v="Paid"/>
    <s v="Paid"/>
    <s v="Completed"/>
    <x v="0"/>
    <s v="Clean"/>
  </r>
  <r>
    <s v="ORD-2024-10721"/>
    <n v="2"/>
    <s v="Unique"/>
    <s v="2024-07-16"/>
    <s v="07/16/2024"/>
    <d v="2024-07-16T00:00:00"/>
    <d v="2024-07-16T00:00:00"/>
    <x v="0"/>
    <x v="0"/>
    <s v="Valid"/>
    <s v="Valid"/>
    <n v="0"/>
    <s v="CUST-1991"/>
    <s v="Aditi Sen"/>
    <s v="Aditi Sen"/>
    <s v="Home Office"/>
    <x v="3"/>
    <s v="West"/>
    <x v="3"/>
    <s v="Madhya Pradesh"/>
    <s v="Madhya Pradesh"/>
    <s v="Indore"/>
    <s v="Indore"/>
    <s v="Technology"/>
    <x v="2"/>
    <s v="Copiers"/>
    <x v="6"/>
    <s v="Smart Copiers 196"/>
    <s v="Same Day"/>
    <x v="1"/>
    <n v="4"/>
    <n v="4479.92"/>
    <n v="0.15"/>
    <n v="0.15"/>
    <s v="Valid"/>
    <n v="15231.73"/>
    <n v="15231.727999999999"/>
    <n v="12451.46"/>
    <n v="2780.27"/>
    <n v="2780.268"/>
    <n v="-12451.46"/>
    <s v="Paid"/>
    <s v="Paid"/>
    <s v="Completed"/>
    <x v="0"/>
    <s v="Clean"/>
  </r>
  <r>
    <s v="ORD-2025-10722"/>
    <n v="2"/>
    <s v="Unique"/>
    <s v="19-06-2025"/>
    <s v="23-06-2025"/>
    <d v="2025-06-19T00:00:00"/>
    <d v="2025-06-23T00:00:00"/>
    <x v="2"/>
    <x v="1"/>
    <s v="Valid"/>
    <s v="Valid"/>
    <n v="4"/>
    <s v="CUST-7606"/>
    <s v="Sneha Kapoor"/>
    <s v="Sneha Kapoor"/>
    <s v="Consumer"/>
    <x v="0"/>
    <s v="South"/>
    <x v="2"/>
    <s v="Karnataka"/>
    <s v="Karnataka"/>
    <s v="Bengaluru"/>
    <s v="Bengaluru"/>
    <s v="Technology"/>
    <x v="2"/>
    <s v="Copiers"/>
    <x v="6"/>
    <s v="Pro Copiers 532"/>
    <s v="First Class"/>
    <x v="2"/>
    <n v="5"/>
    <n v="2729.95"/>
    <n v="0"/>
    <n v="0"/>
    <s v="Valid"/>
    <n v="13649.75"/>
    <n v="13649.75"/>
    <n v="10288.030000000001"/>
    <n v="3361.72"/>
    <n v="3361.7199999999993"/>
    <n v="-10288.030000000001"/>
    <s v="Paid"/>
    <s v="Paid"/>
    <s v="Completed"/>
    <x v="0"/>
    <s v="Clean"/>
  </r>
  <r>
    <s v="ORD-2024-10723"/>
    <n v="2"/>
    <s v="Unique"/>
    <s v="2024-10-07"/>
    <s v="10 Oct 2024"/>
    <d v="2024-07-10T00:00:00"/>
    <d v="2024-10-10T00:00:00"/>
    <x v="0"/>
    <x v="0"/>
    <s v="Valid"/>
    <s v="Valid"/>
    <n v="92"/>
    <s v="CUST-8844"/>
    <s v="Vikram Iyer"/>
    <s v="Vikram Iyer"/>
    <s v="Consumer"/>
    <x v="0"/>
    <s v="East"/>
    <x v="1"/>
    <s v="West Bengal"/>
    <s v="West Bengal"/>
    <s v="Kolkata"/>
    <s v="Kolkata"/>
    <s v="Furniture"/>
    <x v="1"/>
    <s v="Chairs"/>
    <x v="4"/>
    <s v="Eco Chairs 442"/>
    <s v="Second Class"/>
    <x v="0"/>
    <n v="9"/>
    <n v="481.51"/>
    <s v="Unknown"/>
    <s v="Unknown"/>
    <s v="Invalid - Above Range"/>
    <n v="4333.59"/>
    <s v="Unknown"/>
    <n v="2533.59"/>
    <n v="1800"/>
    <s v="Unknown"/>
    <s v="Unknown"/>
    <s v="Refunded"/>
    <s v="Refunded"/>
    <s v="Cancelled"/>
    <x v="1"/>
    <s v="Needs Review"/>
  </r>
  <r>
    <s v="ORD-2025-10724"/>
    <n v="2"/>
    <s v="Unique"/>
    <s v="10/06/2025"/>
    <s v="2025-10-13"/>
    <d v="2025-10-06T00:00:00"/>
    <d v="2025-10-13T00:00:00"/>
    <x v="10"/>
    <x v="1"/>
    <s v="Valid"/>
    <s v="Valid"/>
    <n v="7"/>
    <s v="CUST-4335"/>
    <s v="Kabir Singh"/>
    <s v="Kabir Singh"/>
    <s v="Home Office"/>
    <x v="3"/>
    <s v="East"/>
    <x v="1"/>
    <s v="Jharkhand"/>
    <s v="Jharkhand"/>
    <s v="Ranchi"/>
    <s v="Ranchi"/>
    <s v="Technology"/>
    <x v="2"/>
    <s v="Accessories"/>
    <x v="5"/>
    <s v="Eco Accessories 364"/>
    <s v="Standard Class"/>
    <x v="3"/>
    <n v="6"/>
    <n v="2391.9299999999998"/>
    <n v="0.05"/>
    <n v="0.05"/>
    <s v="Valid"/>
    <n v="13634"/>
    <n v="13634.000999999998"/>
    <n v="9589.81"/>
    <n v="4044.19"/>
    <n v="4044.1909999999989"/>
    <n v="-9589.81"/>
    <s v="Failed"/>
    <s v="Failed"/>
    <s v="Returned"/>
    <x v="2"/>
    <s v="Clean"/>
  </r>
  <r>
    <s v="ORD-2024-10725"/>
    <n v="2"/>
    <s v="Unique"/>
    <s v="02/10/2024"/>
    <s v="16-02-2024"/>
    <d v="2024-02-10T00:00:00"/>
    <d v="2024-02-16T00:00:00"/>
    <x v="6"/>
    <x v="0"/>
    <s v="Valid"/>
    <s v="Valid"/>
    <n v="6"/>
    <s v="CUST-5891"/>
    <s v="Karan Malhotra"/>
    <s v="Karan Malhotra"/>
    <s v="Consumer"/>
    <x v="0"/>
    <s v="West"/>
    <x v="3"/>
    <s v="Goa"/>
    <s v="Goa"/>
    <s v="Panaji"/>
    <s v="Panaji"/>
    <s v="Furniture"/>
    <x v="1"/>
    <s v="Furnishings"/>
    <x v="3"/>
    <s v="Elite Furnishings 921"/>
    <s v="Second Class"/>
    <x v="0"/>
    <n v="3"/>
    <n v="253.43"/>
    <n v="0"/>
    <n v="0"/>
    <s v="Valid"/>
    <n v="760.29"/>
    <n v="760.29"/>
    <n v="497.77"/>
    <n v="262.52"/>
    <n v="262.52"/>
    <n v="-497.77"/>
    <s v="Paid"/>
    <s v="Paid"/>
    <s v="Completed"/>
    <x v="0"/>
    <s v="Clean"/>
  </r>
  <r>
    <s v="ORD-2025-10726"/>
    <n v="1"/>
    <s v="Unique"/>
    <s v="10/05/2025"/>
    <s v="2025-10-12"/>
    <d v="2025-10-05T00:00:00"/>
    <d v="2025-12-10T00:00:00"/>
    <x v="10"/>
    <x v="1"/>
    <s v="Valid"/>
    <s v="Valid"/>
    <n v="66"/>
    <s v="CUST-6371"/>
    <s v="Priya Menon"/>
    <s v="Priya Menon"/>
    <s v="Corporate"/>
    <x v="2"/>
    <s v="South"/>
    <x v="2"/>
    <s v="Karnataka"/>
    <s v="Karnataka"/>
    <s v="Bengaluru"/>
    <s v="Bengaluru"/>
    <s v="Furniture"/>
    <x v="1"/>
    <s v="Tables"/>
    <x v="1"/>
    <s v="Max Tables 309"/>
    <s v="Second Class"/>
    <x v="0"/>
    <n v="7"/>
    <n v="2134.73"/>
    <n v="0"/>
    <n v="0"/>
    <s v="Valid"/>
    <n v="14943.11"/>
    <n v="14943.11"/>
    <n v="8521.5"/>
    <n v="6421.61"/>
    <n v="6421.6100000000006"/>
    <n v="-8521.5"/>
    <s v="Paid"/>
    <s v="Paid"/>
    <s v="Completed"/>
    <x v="0"/>
    <s v="Clean"/>
  </r>
  <r>
    <s v="ORD-2024-10727"/>
    <n v="1"/>
    <s v="Unique"/>
    <s v="2024-01-17"/>
    <s v="01/23/2024"/>
    <d v="2024-01-17T00:00:00"/>
    <d v="2024-01-23T00:00:00"/>
    <x v="8"/>
    <x v="0"/>
    <s v="Valid"/>
    <s v="Valid"/>
    <n v="6"/>
    <s v="CUST-6655"/>
    <s v="Kabir Singh"/>
    <s v="Kabir Singh"/>
    <s v="Home Office"/>
    <x v="3"/>
    <s v="West"/>
    <x v="3"/>
    <s v="Gujarat"/>
    <s v="Gujarat"/>
    <s v="Ahmedabad"/>
    <s v="Ahmedabad"/>
    <s v="Technology"/>
    <x v="2"/>
    <s v="Phones"/>
    <x v="11"/>
    <s v="Pro Phones 857"/>
    <s v="Standard Class"/>
    <x v="3"/>
    <n v="5"/>
    <n v="2018"/>
    <n v="0.2"/>
    <n v="0.2"/>
    <s v="Valid"/>
    <n v="8072"/>
    <n v="8072"/>
    <n v="5379.22"/>
    <n v="2692.78"/>
    <n v="2692.7799999999997"/>
    <n v="-5379.22"/>
    <s v="Pending"/>
    <s v="Pending"/>
    <s v="Returned"/>
    <x v="2"/>
    <s v="Clean"/>
  </r>
  <r>
    <s v="ORD-2024-10728"/>
    <n v="1"/>
    <s v="Unique"/>
    <s v="13 Oct 2024"/>
    <s v="13 Oct 2024"/>
    <d v="2024-10-13T00:00:00"/>
    <d v="2024-10-13T00:00:00"/>
    <x v="10"/>
    <x v="0"/>
    <s v="Valid"/>
    <s v="Valid"/>
    <n v="0"/>
    <s v="CUST-6492"/>
    <s v="Aarav Sharma"/>
    <s v="Aarav Sharma"/>
    <s v="Small Business"/>
    <x v="1"/>
    <s v="East"/>
    <x v="1"/>
    <s v="Assam"/>
    <s v="Assam"/>
    <s v="Guwahati"/>
    <s v="Guwahati"/>
    <s v="Technology"/>
    <x v="2"/>
    <s v="Accessories"/>
    <x v="5"/>
    <s v="Max Accessories 567"/>
    <s v="Second Class"/>
    <x v="0"/>
    <n v="8"/>
    <n v="3730.66"/>
    <n v="0.05"/>
    <n v="0.05"/>
    <s v="Valid"/>
    <n v="28353.02"/>
    <n v="28353.015999999996"/>
    <n v="19257.849999999999"/>
    <n v="9095.17"/>
    <n v="9095.1659999999974"/>
    <n v="-19257.849999999999"/>
    <s v="Paid"/>
    <s v="Paid"/>
    <s v="Completed"/>
    <x v="0"/>
    <s v="Clean"/>
  </r>
  <r>
    <s v="ORD-2024-10729"/>
    <n v="4"/>
    <s v="Unique"/>
    <s v="2024-01-04"/>
    <s v="07-01-2024"/>
    <d v="2024-04-01T00:00:00"/>
    <d v="2024-07-01T00:00:00"/>
    <x v="5"/>
    <x v="0"/>
    <s v="Valid"/>
    <s v="Valid"/>
    <n v="91"/>
    <s v="CUST-1154"/>
    <s v="Sneha Kapoor"/>
    <s v="Sneha Kapoor"/>
    <s v="Small Business"/>
    <x v="1"/>
    <s v="South"/>
    <x v="2"/>
    <s v="Karnataka"/>
    <s v="Karnataka"/>
    <s v="Bengaluru"/>
    <s v="Bengaluru"/>
    <s v="Technology"/>
    <x v="2"/>
    <s v="Machines"/>
    <x v="12"/>
    <s v="Max Machines 200"/>
    <s v="First Class"/>
    <x v="2"/>
    <n v="1"/>
    <n v="2363.02"/>
    <n v="0.15"/>
    <n v="0.15"/>
    <s v="Valid"/>
    <n v="2008.57"/>
    <n v="2008.567"/>
    <n v="1194.83"/>
    <n v="813.74"/>
    <n v="813.73700000000008"/>
    <n v="-1194.83"/>
    <s v="Paid"/>
    <s v="Paid"/>
    <s v="Completed"/>
    <x v="0"/>
    <s v="Clean"/>
  </r>
  <r>
    <s v="ORD-2025-10730"/>
    <n v="1"/>
    <s v="Exact Duplicate"/>
    <s v="17-05-2025"/>
    <s v="25 May 2025"/>
    <d v="2025-05-17T00:00:00"/>
    <d v="2025-05-25T00:00:00"/>
    <x v="4"/>
    <x v="1"/>
    <s v="Valid"/>
    <s v="Valid"/>
    <n v="8"/>
    <s v="CUST-8713"/>
    <s v="Ananya Rao"/>
    <s v="Ananya Rao"/>
    <s v="Corporate"/>
    <x v="2"/>
    <s v="South"/>
    <x v="2"/>
    <s v="Tamil Nadu"/>
    <s v="Tamil Nadu"/>
    <s v="Chennai"/>
    <s v="Chennai"/>
    <s v="Technology"/>
    <x v="2"/>
    <s v="Machines"/>
    <x v="12"/>
    <s v="Pro Machines 563"/>
    <s v="Same Day"/>
    <x v="1"/>
    <n v="6"/>
    <n v="1810.63"/>
    <n v="0.15"/>
    <n v="0.15"/>
    <s v="Valid"/>
    <n v="9234.2099999999991"/>
    <n v="9234.2129999999997"/>
    <n v="5516.52"/>
    <n v="3717.69"/>
    <n v="3717.6929999999993"/>
    <n v="-5516.52"/>
    <s v="Paid"/>
    <s v="Paid"/>
    <s v="Completed"/>
    <x v="0"/>
    <s v="Clean"/>
  </r>
  <r>
    <s v="ORD-2025-10731"/>
    <n v="1"/>
    <s v="Unique"/>
    <s v="06/19/2025"/>
    <s v="24-06-2025"/>
    <d v="2025-06-19T00:00:00"/>
    <d v="2025-06-24T00:00:00"/>
    <x v="2"/>
    <x v="1"/>
    <s v="Valid"/>
    <s v="Valid"/>
    <n v="5"/>
    <s v="CUST-6765"/>
    <s v="Arjun Bose"/>
    <s v="Arjun Bose"/>
    <s v="Consumer"/>
    <x v="0"/>
    <s v="East"/>
    <x v="1"/>
    <s v="West Bengal"/>
    <s v="West Bengal"/>
    <s v="Kolkata"/>
    <s v="Kolkata"/>
    <s v="Office Supplies"/>
    <x v="0"/>
    <s v="Art"/>
    <x v="2"/>
    <s v="Elite Art 696"/>
    <s v="Second Class"/>
    <x v="0"/>
    <n v="4"/>
    <n v="782.01"/>
    <n v="0.15"/>
    <n v="0.15"/>
    <s v="Valid"/>
    <n v="2658.83"/>
    <n v="2658.8339999999998"/>
    <n v="2226.9699999999998"/>
    <n v="431.86"/>
    <n v="431.86400000000003"/>
    <n v="-2226.9699999999998"/>
    <s v="Refunded"/>
    <s v="Refunded"/>
    <s v="Returned"/>
    <x v="2"/>
    <s v="Clean"/>
  </r>
  <r>
    <s v="ORD-2024-10732"/>
    <n v="3"/>
    <s v="Unique"/>
    <s v="2024-03-17"/>
    <s v="19 Mar 2024"/>
    <d v="2024-03-17T00:00:00"/>
    <d v="2024-03-19T00:00:00"/>
    <x v="11"/>
    <x v="0"/>
    <s v="Valid"/>
    <s v="Valid"/>
    <n v="2"/>
    <s v="CUST-6849"/>
    <s v="Ananya Rao"/>
    <s v="Ananya Rao"/>
    <s v="Corporate"/>
    <x v="2"/>
    <s v="East"/>
    <x v="1"/>
    <s v="Odisha"/>
    <s v="Odisha"/>
    <s v="Bhubaneswar"/>
    <s v="Bhubaneswar"/>
    <s v="Office Supplies"/>
    <x v="0"/>
    <s v="Binders"/>
    <x v="9"/>
    <s v="Eco Binders 178"/>
    <s v="First Class"/>
    <x v="2"/>
    <n v="4"/>
    <n v="4376.68"/>
    <n v="0.1"/>
    <n v="0.1"/>
    <s v="Valid"/>
    <n v="15756.05"/>
    <n v="15756.048000000001"/>
    <n v="10245.44"/>
    <n v="5510.61"/>
    <n v="5510.6080000000002"/>
    <n v="-10245.44"/>
    <s v="Paid"/>
    <s v="Paid"/>
    <s v="Completed"/>
    <x v="0"/>
    <s v="Clean"/>
  </r>
  <r>
    <s v="ORD-2024-10733"/>
    <n v="3"/>
    <s v="Unique"/>
    <s v="2024-11-28"/>
    <s v="06 Dec 2024"/>
    <d v="2024-11-28T00:00:00"/>
    <d v="2024-06-12T00:00:00"/>
    <x v="3"/>
    <x v="0"/>
    <s v="Valid"/>
    <s v="Valid"/>
    <n v="-169"/>
    <s v="CUST-4973"/>
    <s v="Arjun Bose"/>
    <s v="Arjun Bose"/>
    <s v="Small Business"/>
    <x v="1"/>
    <s v="North"/>
    <x v="0"/>
    <s v="Punjab"/>
    <s v="Punjab"/>
    <s v="Ludhiana"/>
    <s v="Ludhiana"/>
    <s v="Technology"/>
    <x v="2"/>
    <s v="Phones"/>
    <x v="11"/>
    <s v="Max Phones 678"/>
    <s v="Standard Class"/>
    <x v="3"/>
    <n v="6"/>
    <n v="2464.63"/>
    <n v="0"/>
    <n v="0"/>
    <s v="Valid"/>
    <n v="14787.78"/>
    <n v="14787.78"/>
    <n v="8596.65"/>
    <n v="6191.13"/>
    <n v="6191.130000000001"/>
    <n v="-8596.65"/>
    <s v="Paid"/>
    <s v="Paid"/>
    <s v="Completed"/>
    <x v="0"/>
    <s v="Clean"/>
  </r>
  <r>
    <s v="ORD-2024-10734"/>
    <n v="3"/>
    <s v="Unique"/>
    <s v="21-06-2024"/>
    <s v="28 Jun 2024"/>
    <d v="2024-06-21T00:00:00"/>
    <d v="2024-06-28T00:00:00"/>
    <x v="2"/>
    <x v="0"/>
    <s v="Valid"/>
    <s v="Valid"/>
    <n v="7"/>
    <s v="CUST-2394"/>
    <s v="Aarav Sharma"/>
    <s v="Aarav Sharma"/>
    <s v="Home Office"/>
    <x v="3"/>
    <s v="North"/>
    <x v="0"/>
    <s v="Rajasthan"/>
    <s v="Rajasthan"/>
    <s v="Jaipur"/>
    <s v="Jaipur"/>
    <s v="Furniture"/>
    <x v="1"/>
    <s v="Furnishings"/>
    <x v="3"/>
    <s v="Classic Furnishings 582"/>
    <s v="First Class"/>
    <x v="2"/>
    <n v="9"/>
    <n v="2797.96"/>
    <n v="0"/>
    <n v="0"/>
    <s v="Valid"/>
    <n v="25181.64"/>
    <n v="25181.64"/>
    <n v="15337.9"/>
    <n v="9843.74"/>
    <n v="9843.74"/>
    <n v="-15337.9"/>
    <s v="Paid"/>
    <s v="Paid"/>
    <s v="Completed"/>
    <x v="0"/>
    <s v="Clean"/>
  </r>
  <r>
    <s v="ORD-2024-10735"/>
    <n v="1"/>
    <s v="Unique"/>
    <s v="24-08-2024"/>
    <s v="24-08-2024"/>
    <d v="2024-08-24T00:00:00"/>
    <d v="2024-08-24T00:00:00"/>
    <x v="1"/>
    <x v="0"/>
    <s v="Valid"/>
    <s v="Valid"/>
    <n v="0"/>
    <s v="CUST-5406"/>
    <s v="Ananya Rao"/>
    <s v="Ananya Rao"/>
    <s v="Small Business"/>
    <x v="1"/>
    <s v="North"/>
    <x v="0"/>
    <s v="Rajasthan"/>
    <s v="Rajasthan"/>
    <s v="Jaipur"/>
    <s v="Jaipur"/>
    <s v="Technology"/>
    <x v="2"/>
    <s v="Accessories"/>
    <x v="5"/>
    <s v="Classic Accessories 981"/>
    <s v="First Class"/>
    <x v="2"/>
    <n v="4"/>
    <n v="2761.86"/>
    <n v="0.2"/>
    <n v="0.2"/>
    <s v="Valid"/>
    <n v="8837.9500000000007"/>
    <n v="8837.9520000000011"/>
    <n v="6157.27"/>
    <n v="2680.68"/>
    <n v="2680.6820000000007"/>
    <n v="-6157.27"/>
    <s v="Paid"/>
    <s v="Paid"/>
    <s v="Completed"/>
    <x v="0"/>
    <s v="Clean"/>
  </r>
  <r>
    <s v="ORD-2024-10736"/>
    <n v="3"/>
    <s v="Unique"/>
    <s v="2024-08-11"/>
    <s v="19-08-2024"/>
    <d v="2024-11-08T00:00:00"/>
    <d v="2024-08-19T00:00:00"/>
    <x v="3"/>
    <x v="0"/>
    <s v="Valid"/>
    <s v="Valid"/>
    <n v="-81"/>
    <s v="CUST-1963"/>
    <s v="Mira Das"/>
    <s v="Mira Das"/>
    <s v="Consumer"/>
    <x v="0"/>
    <s v="West"/>
    <x v="3"/>
    <s v="Maharashtra"/>
    <s v="Maharashtra"/>
    <s v="Mumbai"/>
    <s v="Mumbai"/>
    <s v="Furniture"/>
    <x v="1"/>
    <s v="Tables"/>
    <x v="1"/>
    <s v="Classic Tables 534"/>
    <s v="Standard Class"/>
    <x v="3"/>
    <n v="6"/>
    <n v="1515.79"/>
    <n v="0.2"/>
    <n v="0.2"/>
    <s v="Valid"/>
    <n v="7275.79"/>
    <n v="7275.7920000000004"/>
    <n v="6152.87"/>
    <n v="1122.92"/>
    <n v="1122.9220000000005"/>
    <n v="-6152.87"/>
    <s v="Paid"/>
    <s v="Paid"/>
    <s v="Completed"/>
    <x v="0"/>
    <s v="Clean"/>
  </r>
  <r>
    <s v="ORD-2024-10737"/>
    <n v="2"/>
    <s v="Unique"/>
    <s v="06 Dec 2024"/>
    <s v="09-12-2024"/>
    <d v="2024-06-12T00:00:00"/>
    <d v="2024-09-12T00:00:00"/>
    <x v="2"/>
    <x v="0"/>
    <s v="Valid"/>
    <s v="Valid"/>
    <n v="92"/>
    <s v="CUST-9017"/>
    <s v="Aditi Sen"/>
    <s v="Aditi Sen"/>
    <s v="Consumer"/>
    <x v="0"/>
    <s v="West"/>
    <x v="3"/>
    <s v="Maharashtra"/>
    <s v="Maharashtra"/>
    <s v="Mumbai"/>
    <s v="Mumbai"/>
    <s v="Furniture"/>
    <x v="1"/>
    <s v="Chairs"/>
    <x v="4"/>
    <s v="Pro Chairs 383"/>
    <s v="Second Class"/>
    <x v="0"/>
    <n v="9"/>
    <n v="290.75"/>
    <n v="0.1"/>
    <n v="0.1"/>
    <s v="Valid"/>
    <n v="2355.08"/>
    <n v="2355.0750000000003"/>
    <n v="1350.03"/>
    <n v="1005.05"/>
    <n v="1005.0450000000003"/>
    <n v="-1350.03"/>
    <s v="Paid"/>
    <s v="Paid"/>
    <s v="Completed"/>
    <x v="0"/>
    <s v="Clean"/>
  </r>
  <r>
    <s v="ORD-2024-10738"/>
    <n v="4"/>
    <s v="Unique"/>
    <s v="2024-02-10"/>
    <s v="10 Feb 2024"/>
    <d v="2024-10-02T00:00:00"/>
    <d v="2024-10-02T00:00:00"/>
    <x v="10"/>
    <x v="0"/>
    <s v="Valid"/>
    <s v="Valid"/>
    <n v="0"/>
    <s v="CUST-7967"/>
    <s v="Isha Nair"/>
    <s v="Isha Nair"/>
    <s v="Home Office"/>
    <x v="3"/>
    <s v="West"/>
    <x v="3"/>
    <s v="Maharashtra"/>
    <s v="Maharashtra"/>
    <s v="Mumbai"/>
    <s v="Mumbai"/>
    <s v="Furniture"/>
    <x v="1"/>
    <s v="Chairs"/>
    <x v="4"/>
    <s v="Max Chairs 845"/>
    <s v="Same Day"/>
    <x v="1"/>
    <n v="6"/>
    <n v="601.52"/>
    <n v="0"/>
    <n v="0"/>
    <s v="Valid"/>
    <n v="3609.12"/>
    <n v="3609.12"/>
    <n v="2645.5"/>
    <n v="963.62"/>
    <n v="963.61999999999989"/>
    <n v="-2645.5"/>
    <s v="Paid"/>
    <s v="Paid"/>
    <s v="Completed"/>
    <x v="0"/>
    <s v="Clean"/>
  </r>
  <r>
    <s v="ORD-2025-10739"/>
    <n v="4"/>
    <s v="Unique"/>
    <s v="20 Feb 2025"/>
    <s v="02/22/2025"/>
    <d v="2025-02-20T00:00:00"/>
    <d v="2025-02-22T00:00:00"/>
    <x v="6"/>
    <x v="1"/>
    <s v="Valid"/>
    <s v="Valid"/>
    <n v="2"/>
    <s v="CUST-5334"/>
    <s v="Priya Menon"/>
    <s v="Priya Menon"/>
    <s v="Corporate"/>
    <x v="2"/>
    <s v="South"/>
    <x v="2"/>
    <s v="Kerala"/>
    <s v="Kerala"/>
    <s v="Kochi"/>
    <s v="Kochi"/>
    <s v="Office Supplies"/>
    <x v="0"/>
    <s v="Paper"/>
    <x v="0"/>
    <s v="Prime Paper 307"/>
    <s v="First Class"/>
    <x v="2"/>
    <n v="1"/>
    <n v="2188.19"/>
    <n v="0"/>
    <n v="0"/>
    <s v="Valid"/>
    <n v="2188.19"/>
    <n v="2188.19"/>
    <n v="1298.8399999999999"/>
    <n v="889.35"/>
    <n v="889.35000000000014"/>
    <n v="-1298.8399999999999"/>
    <s v="Paid"/>
    <s v="Paid"/>
    <s v="Completed"/>
    <x v="0"/>
    <s v="Clean"/>
  </r>
  <r>
    <s v="ORD-2024-10740"/>
    <n v="3"/>
    <s v="Unique"/>
    <s v="03 Dec 2024"/>
    <s v="12/10/2024"/>
    <d v="2024-03-12T00:00:00"/>
    <d v="2024-12-10T00:00:00"/>
    <x v="11"/>
    <x v="0"/>
    <s v="Valid"/>
    <s v="Valid"/>
    <n v="273"/>
    <s v="CUST-5846"/>
    <s v="Neha Gupta"/>
    <s v="Neha Gupta"/>
    <s v="Corporate"/>
    <x v="2"/>
    <s v="North"/>
    <x v="0"/>
    <s v="Rajasthan"/>
    <s v="Rajasthan"/>
    <s v="Jaipur"/>
    <s v="Jaipur"/>
    <s v="Technology"/>
    <x v="2"/>
    <s v="Phones"/>
    <x v="11"/>
    <s v="Basic Phones 859"/>
    <s v="Standard Class"/>
    <x v="3"/>
    <n v="5"/>
    <n v="2393.86"/>
    <n v="0.05"/>
    <n v="0.05"/>
    <s v="Valid"/>
    <n v="11370.84"/>
    <n v="11370.835000000001"/>
    <n v="7469.58"/>
    <n v="3901.26"/>
    <n v="3901.255000000001"/>
    <n v="-7469.58"/>
    <s v="Paid"/>
    <s v="Paid"/>
    <s v="Completed"/>
    <x v="0"/>
    <s v="Clean"/>
  </r>
  <r>
    <s v="ORD-2024-10741"/>
    <n v="3"/>
    <s v="Unique"/>
    <s v="02 Apr 2024"/>
    <s v="04/02/2024"/>
    <d v="2024-02-04T00:00:00"/>
    <d v="2024-04-02T00:00:00"/>
    <x v="6"/>
    <x v="0"/>
    <s v="Valid"/>
    <s v="Valid"/>
    <n v="58"/>
    <s v="CUST-7932"/>
    <s v="Sneha Kapoor"/>
    <s v="Sneha Kapoor"/>
    <s v="Small Business"/>
    <x v="1"/>
    <s v="West"/>
    <x v="3"/>
    <s v="Maharashtra"/>
    <s v="Maharashtra"/>
    <s v="Mumbai"/>
    <s v="Mumbai"/>
    <s v="Furniture"/>
    <x v="1"/>
    <s v="Chairs"/>
    <x v="4"/>
    <s v="Eco Chairs 883"/>
    <s v="First Class"/>
    <x v="2"/>
    <n v="4"/>
    <n v="2583"/>
    <n v="0.1"/>
    <n v="0.1"/>
    <s v="Valid"/>
    <n v="9298.7999999999993"/>
    <n v="9298.8000000000011"/>
    <n v="6548.5"/>
    <n v="2750.3"/>
    <n v="2750.3000000000011"/>
    <n v="-6548.5"/>
    <s v="Paid"/>
    <s v="Paid"/>
    <s v="Completed"/>
    <x v="0"/>
    <s v="Clean"/>
  </r>
  <r>
    <s v="ORD-2025-10742"/>
    <n v="1"/>
    <s v="Unique"/>
    <s v="04/23/2025"/>
    <s v="2025-04-25"/>
    <d v="2025-04-23T00:00:00"/>
    <d v="2025-04-25T00:00:00"/>
    <x v="5"/>
    <x v="1"/>
    <s v="Valid"/>
    <s v="Valid"/>
    <n v="2"/>
    <s v="CUST-3285"/>
    <s v="Isha Nair"/>
    <s v="Isha Nair"/>
    <s v="Home Office"/>
    <x v="3"/>
    <s v="South"/>
    <x v="2"/>
    <s v="Tamil Nadu"/>
    <s v="Tamil Nadu"/>
    <s v="Chennai"/>
    <s v="Chennai"/>
    <s v="Furniture"/>
    <x v="1"/>
    <s v="Chairs"/>
    <x v="4"/>
    <s v="Max Chairs 706"/>
    <s v="Second Class"/>
    <x v="0"/>
    <n v="3"/>
    <n v="2951.12"/>
    <s v="Unknown"/>
    <s v="Unknown"/>
    <s v="Invalid - Above Range"/>
    <n v="7082.69"/>
    <s v="Unknown"/>
    <n v="5596.34"/>
    <n v="1486.35"/>
    <s v="Unknown"/>
    <s v="Unknown"/>
    <s v="Paid"/>
    <s v="Paid"/>
    <s v="Cancelled"/>
    <x v="1"/>
    <s v="Needs Review"/>
  </r>
  <r>
    <s v="ORD-2024-10743"/>
    <n v="1"/>
    <s v="Unique"/>
    <s v="10/15/2024"/>
    <s v="22 Oct 2024"/>
    <d v="2024-10-15T00:00:00"/>
    <d v="2024-10-22T00:00:00"/>
    <x v="10"/>
    <x v="0"/>
    <s v="Valid"/>
    <s v="Valid"/>
    <n v="7"/>
    <s v="CUST-6368"/>
    <s v="Karan Malhotra"/>
    <s v="Karan Malhotra"/>
    <s v="Corporate"/>
    <x v="2"/>
    <s v="East"/>
    <x v="1"/>
    <s v="Odisha"/>
    <s v="Odisha"/>
    <s v="Bhubaneswar"/>
    <s v="Bhubaneswar"/>
    <s v="Office Supplies"/>
    <x v="0"/>
    <s v="Paper"/>
    <x v="0"/>
    <s v="Prime Paper 768"/>
    <s v="Standard Class"/>
    <x v="3"/>
    <n v="4"/>
    <n v="2260.9499999999998"/>
    <n v="0"/>
    <n v="0"/>
    <s v="Valid"/>
    <n v="9043.7999999999993"/>
    <n v="9043.7999999999993"/>
    <n v="5913.38"/>
    <n v="3130.42"/>
    <n v="3130.4199999999992"/>
    <n v="-5913.38"/>
    <s v="Paid"/>
    <s v="Paid"/>
    <s v="Completed"/>
    <x v="0"/>
    <s v="Clean"/>
  </r>
  <r>
    <s v="ORD-2025-10744"/>
    <n v="2"/>
    <s v="Unique"/>
    <s v="02/12/2025"/>
    <s v="14 Feb 2025"/>
    <d v="2025-02-12T00:00:00"/>
    <d v="2025-02-14T00:00:00"/>
    <x v="6"/>
    <x v="1"/>
    <s v="Valid"/>
    <s v="Valid"/>
    <n v="2"/>
    <s v="CUST-6231"/>
    <s v="Sneha Kapoor"/>
    <s v="Sneha Kapoor"/>
    <s v="Consumer"/>
    <x v="0"/>
    <s v="North"/>
    <x v="0"/>
    <s v="Uttar Pradesh"/>
    <s v="Uttar Pradesh"/>
    <s v="Noida"/>
    <s v="Noida"/>
    <s v="Office Supplies"/>
    <x v="0"/>
    <s v="Art"/>
    <x v="2"/>
    <s v="Basic Art 764"/>
    <s v="Standard Class"/>
    <x v="3"/>
    <n v="6"/>
    <n v="491.4"/>
    <n v="0.25"/>
    <n v="0.25"/>
    <s v="Valid"/>
    <n v="2211.3000000000002"/>
    <n v="2211.2999999999997"/>
    <n v="1735.64"/>
    <n v="475.66"/>
    <n v="475.65999999999963"/>
    <n v="-1735.64"/>
    <s v="Paid"/>
    <s v="Paid"/>
    <s v="Completed"/>
    <x v="0"/>
    <s v="Clean"/>
  </r>
  <r>
    <s v="ORD-2025-10745"/>
    <n v="1"/>
    <s v="Unique"/>
    <s v="2025-08-17"/>
    <s v="2025-08-20"/>
    <d v="2025-08-17T00:00:00"/>
    <d v="2025-08-20T00:00:00"/>
    <x v="1"/>
    <x v="1"/>
    <s v="Valid"/>
    <s v="Valid"/>
    <n v="3"/>
    <s v="CUST-2021"/>
    <s v="Mira Das"/>
    <s v="Mira Das"/>
    <s v="Home Office"/>
    <x v="3"/>
    <s v="North"/>
    <x v="0"/>
    <s v="Punjab"/>
    <s v="Punjab"/>
    <s v="Ludhiana"/>
    <s v="Ludhiana"/>
    <s v="Office Supplies"/>
    <x v="0"/>
    <s v="Binders"/>
    <x v="9"/>
    <s v="Prime Binders 181"/>
    <s v="First Class"/>
    <x v="2"/>
    <n v="5"/>
    <n v="2701.89"/>
    <n v="0.1"/>
    <n v="0.1"/>
    <s v="Valid"/>
    <n v="12158.5"/>
    <n v="12158.504999999999"/>
    <n v="10260.07"/>
    <n v="1898.43"/>
    <n v="1898.4349999999995"/>
    <n v="-10260.07"/>
    <s v="Paid"/>
    <s v="Paid"/>
    <s v="Cancelled"/>
    <x v="1"/>
    <s v="Clean"/>
  </r>
  <r>
    <s v="ORD-2024-10746"/>
    <n v="1"/>
    <s v="Unique"/>
    <s v="24 Oct 2024"/>
    <s v="28-10-2024"/>
    <d v="2024-10-24T00:00:00"/>
    <d v="2024-10-28T00:00:00"/>
    <x v="10"/>
    <x v="0"/>
    <s v="Valid"/>
    <s v="Valid"/>
    <n v="4"/>
    <s v="CUST-1493"/>
    <s v="Mira Das"/>
    <s v="Mira Das"/>
    <s v="Small Business"/>
    <x v="1"/>
    <s v="East"/>
    <x v="1"/>
    <s v="Assam"/>
    <s v="Assam"/>
    <s v="Guwahati"/>
    <s v="Guwahati"/>
    <s v="Technology"/>
    <x v="2"/>
    <s v="Copiers"/>
    <x v="6"/>
    <s v="Max Copiers 866"/>
    <s v="Standard Class"/>
    <x v="3"/>
    <n v="3"/>
    <n v="723.59"/>
    <n v="0.2"/>
    <n v="0.2"/>
    <s v="Valid"/>
    <n v="1736.62"/>
    <n v="1736.616"/>
    <n v="1059.52"/>
    <n v="677.1"/>
    <n v="677.096"/>
    <n v="-1059.52"/>
    <s v="Paid"/>
    <s v="Paid"/>
    <s v="Completed"/>
    <x v="0"/>
    <s v="Clean"/>
  </r>
  <r>
    <s v="ORD-2025-10747"/>
    <n v="1"/>
    <s v="Unique"/>
    <s v="2025-01-04"/>
    <s v="10-01-2025"/>
    <d v="2025-04-01T00:00:00"/>
    <d v="2025-10-01T00:00:00"/>
    <x v="5"/>
    <x v="1"/>
    <s v="Valid"/>
    <s v="Valid"/>
    <n v="183"/>
    <s v="CUST-2314"/>
    <s v="Aarav Sharma"/>
    <s v="Aarav Sharma"/>
    <s v="Home Office"/>
    <x v="3"/>
    <s v="East"/>
    <x v="1"/>
    <s v="West Bengal"/>
    <s v="West Bengal"/>
    <s v="Kolkata"/>
    <s v="Kolkata"/>
    <s v="Office Supplies"/>
    <x v="0"/>
    <s v="Paper"/>
    <x v="0"/>
    <s v="Pro Paper 662"/>
    <s v="Standard Class"/>
    <x v="3"/>
    <n v="4"/>
    <n v="2583.19"/>
    <n v="0.2"/>
    <n v="0.2"/>
    <s v="Valid"/>
    <n v="8266.2099999999991"/>
    <n v="8266.2080000000005"/>
    <n v="6236.32"/>
    <n v="2029.89"/>
    <n v="2029.8880000000008"/>
    <n v="-6236.32"/>
    <s v="Paid"/>
    <s v="Paid"/>
    <s v="Completed"/>
    <x v="0"/>
    <s v="Clean"/>
  </r>
  <r>
    <s v="ORD-2024-10748"/>
    <n v="2"/>
    <s v="Unique"/>
    <s v="2024-05-01"/>
    <s v="07 May 2024"/>
    <d v="2024-01-05T00:00:00"/>
    <d v="2024-07-05T00:00:00"/>
    <x v="8"/>
    <x v="0"/>
    <s v="Valid"/>
    <s v="Valid"/>
    <n v="182"/>
    <s v="CUST-8416"/>
    <s v="Isha Nair"/>
    <s v="Isha Nair"/>
    <s v="Home Office"/>
    <x v="3"/>
    <s v="East"/>
    <x v="1"/>
    <s v="Odisha"/>
    <s v="Odisha"/>
    <s v="Bhubaneswar"/>
    <s v="Bhubaneswar"/>
    <s v="Office Supplies"/>
    <x v="0"/>
    <s v="Paper"/>
    <x v="0"/>
    <s v="Classic Paper 388"/>
    <s v="Same Day"/>
    <x v="1"/>
    <n v="8"/>
    <n v="1473.83"/>
    <n v="0.15"/>
    <n v="0.15"/>
    <s v="Valid"/>
    <n v="10022.040000000001"/>
    <n v="10022.044"/>
    <n v="5576.98"/>
    <n v="4445.0600000000004"/>
    <n v="4445.0640000000003"/>
    <n v="-5576.98"/>
    <s v="Paid"/>
    <s v="Paid"/>
    <s v="Completed"/>
    <x v="0"/>
    <s v="Clean"/>
  </r>
  <r>
    <s v="ORD-2024-10749"/>
    <n v="1"/>
    <s v="Unique"/>
    <s v="30-05-2024"/>
    <s v="05/30/2024"/>
    <d v="2024-05-30T00:00:00"/>
    <d v="2024-05-30T00:00:00"/>
    <x v="4"/>
    <x v="0"/>
    <s v="Valid"/>
    <s v="Valid"/>
    <n v="0"/>
    <s v="CUST-3103"/>
    <s v="Diya Patel"/>
    <s v="Diya Patel"/>
    <s v="Home Office"/>
    <x v="3"/>
    <s v="North"/>
    <x v="0"/>
    <s v="Haryana"/>
    <s v="Haryana"/>
    <s v="Gurugram"/>
    <s v="Gurugram"/>
    <s v="Technology"/>
    <x v="2"/>
    <s v="Phones"/>
    <x v="11"/>
    <s v="Pro Phones 765"/>
    <s v="Second Class"/>
    <x v="0"/>
    <n v="1"/>
    <n v="3848.04"/>
    <n v="0.25"/>
    <n v="0.25"/>
    <s v="Valid"/>
    <n v="2886.03"/>
    <n v="2886.0299999999997"/>
    <n v="2064.83"/>
    <n v="821.2"/>
    <n v="821.19999999999982"/>
    <n v="-2064.83"/>
    <s v="Paid"/>
    <s v="Paid"/>
    <s v="Completed"/>
    <x v="0"/>
    <s v="Clean"/>
  </r>
  <r>
    <s v="ORD-2024-10750"/>
    <n v="1"/>
    <s v="Unique"/>
    <s v="21 Mar 2024"/>
    <s v="2024-03-25"/>
    <d v="2024-03-21T00:00:00"/>
    <d v="2024-03-25T00:00:00"/>
    <x v="11"/>
    <x v="0"/>
    <s v="Valid"/>
    <s v="Valid"/>
    <n v="4"/>
    <s v="CUST-4457"/>
    <s v="Aditi Sen"/>
    <s v="Aditi Sen"/>
    <s v="Home Office"/>
    <x v="3"/>
    <s v="East"/>
    <x v="1"/>
    <s v="Assam"/>
    <s v="Assam"/>
    <s v="Guwahati"/>
    <s v="Guwahati"/>
    <s v="Technology"/>
    <x v="2"/>
    <s v="Machines"/>
    <x v="12"/>
    <s v="Classic Machines 543"/>
    <s v="Standard Class"/>
    <x v="3"/>
    <n v="1"/>
    <n v="1716.7"/>
    <n v="0.15"/>
    <n v="0.15"/>
    <s v="Valid"/>
    <n v="1459.19"/>
    <n v="1459.1949999999999"/>
    <n v="1055.79"/>
    <n v="403.4"/>
    <n v="403.40499999999997"/>
    <n v="-1055.79"/>
    <s v="Paid"/>
    <s v="Paid"/>
    <s v="Completed"/>
    <x v="0"/>
    <s v="Clean"/>
  </r>
  <r>
    <s v="ORD-2025-10751"/>
    <n v="1"/>
    <s v="Unique"/>
    <s v="06/02/2025"/>
    <s v="2025-06-02"/>
    <d v="2025-06-02T00:00:00"/>
    <d v="2025-02-06T00:00:00"/>
    <x v="2"/>
    <x v="1"/>
    <s v="Valid"/>
    <s v="Valid"/>
    <n v="-116"/>
    <s v="CUST-7036"/>
    <s v="Aarav Sharma"/>
    <s v="Aarav Sharma"/>
    <s v="Home Office"/>
    <x v="3"/>
    <s v="South"/>
    <x v="2"/>
    <s v="Telangana"/>
    <s v="Telangana"/>
    <s v="Hyderabad"/>
    <s v="Hyderabad"/>
    <s v="Technology"/>
    <x v="2"/>
    <s v="Accessories"/>
    <x v="5"/>
    <s v="Max Accessories 291"/>
    <s v="First Class"/>
    <x v="2"/>
    <n v="8"/>
    <n v="3925.93"/>
    <n v="0.15"/>
    <n v="0.15"/>
    <s v="Valid"/>
    <n v="26696.32"/>
    <n v="26696.323999999997"/>
    <n v="22724.52"/>
    <n v="3971.8"/>
    <n v="3971.8039999999964"/>
    <n v="-22724.52"/>
    <s v="Paid"/>
    <s v="Paid"/>
    <s v="Completed"/>
    <x v="0"/>
    <s v="Clean"/>
  </r>
  <r>
    <s v="ORD-2025-10752"/>
    <n v="2"/>
    <s v="Unique"/>
    <s v="18-07-2025"/>
    <s v="19-07-2025"/>
    <d v="2025-07-18T00:00:00"/>
    <d v="2025-07-19T00:00:00"/>
    <x v="0"/>
    <x v="1"/>
    <s v="Valid"/>
    <s v="Valid"/>
    <n v="1"/>
    <s v="CUST-8512"/>
    <s v="Priya Menon"/>
    <s v="Priya Menon"/>
    <s v="Home Office"/>
    <x v="3"/>
    <s v="Unknown"/>
    <x v="4"/>
    <s v="Uttar Pradesh"/>
    <s v="Uttar Pradesh"/>
    <s v="Noida"/>
    <s v="Noida"/>
    <s v="Technology"/>
    <x v="2"/>
    <s v="Machines"/>
    <x v="12"/>
    <s v="Eco Machines 414"/>
    <s v="Unknown"/>
    <x v="4"/>
    <n v="3"/>
    <n v="2963.25"/>
    <n v="0.05"/>
    <n v="0.05"/>
    <s v="Valid"/>
    <n v="8445.26"/>
    <n v="8445.2624999999989"/>
    <n v="6937.6"/>
    <n v="1507.66"/>
    <n v="1507.6624999999985"/>
    <n v="-6937.6"/>
    <s v="Paid"/>
    <s v="Paid"/>
    <s v="Completed"/>
    <x v="0"/>
    <s v="Clean"/>
  </r>
  <r>
    <s v="ORD-2024-10753"/>
    <n v="3"/>
    <s v="Unique"/>
    <s v="24-03-2024"/>
    <s v="27-03-2024"/>
    <d v="2024-03-24T00:00:00"/>
    <d v="2024-03-27T00:00:00"/>
    <x v="11"/>
    <x v="0"/>
    <s v="Valid"/>
    <s v="Valid"/>
    <n v="3"/>
    <s v="CUST-6345"/>
    <s v="Aditi Sen"/>
    <s v="Aditi Sen"/>
    <s v="Corporate"/>
    <x v="2"/>
    <s v="West"/>
    <x v="3"/>
    <s v="Gujarat"/>
    <s v="Gujarat"/>
    <s v="Ahmedabad"/>
    <s v="Ahmedabad"/>
    <s v="Office Supplies"/>
    <x v="0"/>
    <s v="Storage"/>
    <x v="8"/>
    <s v="Basic Storage 273"/>
    <s v="First Class"/>
    <x v="2"/>
    <n v="5"/>
    <n v="2465.2199999999998"/>
    <n v="0.05"/>
    <n v="0.05"/>
    <s v="Valid"/>
    <n v="11709.79"/>
    <n v="11709.794999999998"/>
    <n v="8372.2900000000009"/>
    <n v="3337.5"/>
    <n v="3337.5049999999974"/>
    <n v="-8372.2900000000009"/>
    <s v="Paid"/>
    <s v="Paid"/>
    <s v="Completed"/>
    <x v="0"/>
    <s v="Clean"/>
  </r>
  <r>
    <s v="ORD-2024-10754"/>
    <n v="4"/>
    <s v="Unique"/>
    <s v="11 Aug 2024"/>
    <s v="10-08-2024"/>
    <d v="2024-11-08T00:00:00"/>
    <d v="2024-10-08T00:00:00"/>
    <x v="3"/>
    <x v="0"/>
    <s v="Valid"/>
    <s v="Valid"/>
    <n v="-31"/>
    <s v="CUST-4505"/>
    <s v="Aditi Sen"/>
    <s v="Aditi Sen"/>
    <s v="Corporate"/>
    <x v="2"/>
    <s v="North"/>
    <x v="0"/>
    <s v="Delhi"/>
    <s v="Delhi"/>
    <s v="New Delhi"/>
    <s v="New Delhi"/>
    <s v="Furniture"/>
    <x v="1"/>
    <s v="Furnishings"/>
    <x v="3"/>
    <s v="Elite Furnishings 588"/>
    <s v="Second Class"/>
    <x v="0"/>
    <n v="3"/>
    <n v="1017.22"/>
    <n v="0.15"/>
    <n v="0.15"/>
    <s v="Valid"/>
    <n v="2593.91"/>
    <n v="2593.9109999999996"/>
    <n v="1848.48"/>
    <n v="745.43"/>
    <n v="745.43099999999959"/>
    <n v="-1848.48"/>
    <s v="Failed"/>
    <s v="Failed"/>
    <s v="Returned"/>
    <x v="2"/>
    <s v="Clean"/>
  </r>
  <r>
    <s v="ORD-2025-10755"/>
    <n v="3"/>
    <s v="Unique"/>
    <s v="06/04/2025"/>
    <s v="06/04/2025"/>
    <d v="2025-06-04T00:00:00"/>
    <d v="2025-06-04T00:00:00"/>
    <x v="2"/>
    <x v="1"/>
    <s v="Valid"/>
    <s v="Valid"/>
    <n v="0"/>
    <s v="CUST-7960"/>
    <s v="Neha Gupta"/>
    <s v="Neha Gupta"/>
    <s v="Corporate"/>
    <x v="2"/>
    <s v="South"/>
    <x v="2"/>
    <s v="Kerala"/>
    <s v="Kerala"/>
    <s v="Kochi"/>
    <s v="Kochi"/>
    <s v="Office Supplies"/>
    <x v="0"/>
    <s v="Storage"/>
    <x v="8"/>
    <s v="Elite Storage 857"/>
    <s v="Standard Class"/>
    <x v="3"/>
    <n v="4"/>
    <n v="891.34"/>
    <n v="0.25"/>
    <n v="0.25"/>
    <s v="Valid"/>
    <n v="2674.02"/>
    <n v="2674.02"/>
    <n v="2207.5700000000002"/>
    <n v="466.45"/>
    <n v="466.44999999999982"/>
    <n v="-2207.5700000000002"/>
    <s v="Paid"/>
    <s v="Paid"/>
    <s v="Completed"/>
    <x v="0"/>
    <s v="Clean"/>
  </r>
  <r>
    <s v="ORD-2025-10756"/>
    <n v="3"/>
    <s v="Unique"/>
    <s v="20-07-2025"/>
    <s v="24-07-2025"/>
    <d v="2025-07-20T00:00:00"/>
    <d v="2025-07-24T00:00:00"/>
    <x v="0"/>
    <x v="1"/>
    <s v="Valid"/>
    <s v="Valid"/>
    <n v="4"/>
    <s v="CUST-3365"/>
    <s v="Priya Menon"/>
    <s v="Priya Menon"/>
    <s v="Home Office"/>
    <x v="3"/>
    <s v="West"/>
    <x v="3"/>
    <s v="Madhya Pradesh"/>
    <s v="Madhya Pradesh"/>
    <s v="Indore"/>
    <s v="Indore"/>
    <s v="Office Supplies"/>
    <x v="0"/>
    <s v="Storage"/>
    <x v="8"/>
    <s v="Prime Storage 183"/>
    <s v="Second Class"/>
    <x v="0"/>
    <n v="5"/>
    <n v="2481.7399999999998"/>
    <n v="0.2"/>
    <n v="0.2"/>
    <s v="Valid"/>
    <n v="9926.9599999999991"/>
    <n v="9926.9599999999991"/>
    <n v="7994.98"/>
    <n v="1931.98"/>
    <n v="1931.9799999999996"/>
    <n v="-7994.98"/>
    <s v="Paid"/>
    <s v="Paid"/>
    <s v="Completed"/>
    <x v="0"/>
    <s v="Clean"/>
  </r>
  <r>
    <s v="ORD-2024-10757"/>
    <n v="1"/>
    <s v="Unique"/>
    <s v="10/27/2024"/>
    <s v="11/01/2024"/>
    <d v="2024-10-27T00:00:00"/>
    <d v="2024-11-01T00:00:00"/>
    <x v="10"/>
    <x v="0"/>
    <s v="Valid"/>
    <s v="Valid"/>
    <n v="5"/>
    <s v="CUST-1557"/>
    <s v="Rohan Mehta"/>
    <s v="Rohan Mehta"/>
    <s v="Consumer"/>
    <x v="0"/>
    <s v="North"/>
    <x v="0"/>
    <s v="Rajasthan"/>
    <s v="Rajasthan"/>
    <s v="Jaipur"/>
    <s v="Jaipur"/>
    <s v="Technology"/>
    <x v="2"/>
    <s v="Accessories"/>
    <x v="5"/>
    <s v="Smart Accessories 362"/>
    <s v="Same Day"/>
    <x v="1"/>
    <n v="7"/>
    <n v="2177.1"/>
    <n v="0.2"/>
    <n v="0.2"/>
    <s v="Valid"/>
    <n v="12191.76"/>
    <n v="12191.76"/>
    <n v="10457.49"/>
    <n v="1734.27"/>
    <n v="1734.2700000000004"/>
    <n v="-10457.49"/>
    <s v="Paid"/>
    <s v="Paid"/>
    <s v="Returned"/>
    <x v="2"/>
    <s v="Clean"/>
  </r>
  <r>
    <s v="ORD-2025-10758"/>
    <n v="2"/>
    <s v="Unique"/>
    <s v="01 Aug 2025"/>
    <s v="2025-08-03"/>
    <d v="2025-01-08T00:00:00"/>
    <d v="2025-03-08T00:00:00"/>
    <x v="8"/>
    <x v="1"/>
    <s v="Valid"/>
    <s v="Valid"/>
    <n v="59"/>
    <s v="CUST-3058"/>
    <s v="Aditi Sen"/>
    <s v="Aditi Sen"/>
    <s v="Small Business"/>
    <x v="1"/>
    <s v="South"/>
    <x v="2"/>
    <s v="Kerala"/>
    <s v="Kerala"/>
    <s v="Kochi"/>
    <s v="Kochi"/>
    <s v="Furniture"/>
    <x v="1"/>
    <s v="Bookcases"/>
    <x v="10"/>
    <s v="Classic Bookcases 310"/>
    <s v="Standard Class"/>
    <x v="3"/>
    <n v="3"/>
    <n v="1904.78"/>
    <n v="0.25"/>
    <n v="0.25"/>
    <s v="Valid"/>
    <n v="4285.76"/>
    <n v="4285.7550000000001"/>
    <n v="2386.33"/>
    <n v="1899.43"/>
    <n v="1899.4250000000002"/>
    <n v="-2386.33"/>
    <s v="Failed"/>
    <s v="Failed"/>
    <s v="Cancelled"/>
    <x v="1"/>
    <s v="Clean"/>
  </r>
  <r>
    <s v="ORD-2024-10759"/>
    <n v="3"/>
    <s v="Unique"/>
    <s v="02 May 2024"/>
    <s v="10 May 2024"/>
    <d v="2024-02-05T00:00:00"/>
    <d v="2024-10-05T00:00:00"/>
    <x v="6"/>
    <x v="0"/>
    <s v="Valid"/>
    <s v="Valid"/>
    <n v="243"/>
    <s v="CUST-6076"/>
    <s v="Aarav Sharma"/>
    <s v="Aarav Sharma"/>
    <s v="Small Business"/>
    <x v="1"/>
    <s v="South"/>
    <x v="2"/>
    <s v="Karnataka"/>
    <s v="Karnataka"/>
    <s v="Bengaluru"/>
    <s v="Bengaluru"/>
    <s v="Furniture"/>
    <x v="1"/>
    <s v="Chairs"/>
    <x v="4"/>
    <s v="Prime Chairs 721"/>
    <s v="Standard Class"/>
    <x v="3"/>
    <n v="1"/>
    <n v="4166.91"/>
    <n v="0"/>
    <n v="0"/>
    <s v="Valid"/>
    <n v="4166.91"/>
    <n v="4166.91"/>
    <n v="3412.63"/>
    <n v="754.28"/>
    <n v="754.27999999999975"/>
    <n v="-3412.63"/>
    <s v="Paid"/>
    <s v="Paid"/>
    <s v="Completed"/>
    <x v="0"/>
    <s v="Clean"/>
  </r>
  <r>
    <s v="ORD-2024-10760"/>
    <n v="5"/>
    <s v="Unique"/>
    <s v="2024-07-19"/>
    <s v="26-07-2024"/>
    <d v="2024-07-19T00:00:00"/>
    <d v="2024-07-26T00:00:00"/>
    <x v="0"/>
    <x v="0"/>
    <s v="Valid"/>
    <s v="Valid"/>
    <n v="7"/>
    <s v="CUST-2098"/>
    <s v="Arjun Bose"/>
    <s v="Arjun Bose"/>
    <s v="Home Office"/>
    <x v="3"/>
    <s v="South"/>
    <x v="2"/>
    <s v="Karnataka"/>
    <s v="Karnataka"/>
    <s v="Bengaluru"/>
    <s v="Bengaluru"/>
    <s v="Furniture"/>
    <x v="1"/>
    <s v="Tables"/>
    <x v="1"/>
    <s v="Prime Tables 797"/>
    <s v="Second Class"/>
    <x v="0"/>
    <n v="5"/>
    <n v="3986.01"/>
    <n v="0.25"/>
    <n v="0.25"/>
    <s v="Valid"/>
    <n v="14947.54"/>
    <n v="14947.537500000002"/>
    <n v="9438.4599999999991"/>
    <n v="5509.08"/>
    <n v="5509.0775000000031"/>
    <n v="-9438.4599999999991"/>
    <s v="Paid"/>
    <s v="Paid"/>
    <s v="Completed"/>
    <x v="0"/>
    <s v="Clean"/>
  </r>
  <r>
    <s v="ORD-2024-10761"/>
    <n v="1"/>
    <s v="Unique"/>
    <s v="28-08-2024"/>
    <s v="02 Sep 2024"/>
    <d v="2024-08-28T00:00:00"/>
    <d v="2024-02-09T00:00:00"/>
    <x v="1"/>
    <x v="0"/>
    <s v="Valid"/>
    <s v="Valid"/>
    <n v="-201"/>
    <s v="CUST-7193"/>
    <s v="Aditi Sen"/>
    <s v="Aditi Sen"/>
    <s v="Home Office"/>
    <x v="3"/>
    <s v="East"/>
    <x v="1"/>
    <s v="Assam"/>
    <s v="Assam"/>
    <s v="Guwahati"/>
    <s v="Guwahati"/>
    <s v="Office Supplies"/>
    <x v="0"/>
    <s v="Art"/>
    <x v="2"/>
    <s v="Max Art 926"/>
    <s v="Second Class"/>
    <x v="0"/>
    <n v="4"/>
    <n v="3365.53"/>
    <n v="0"/>
    <n v="0"/>
    <s v="Valid"/>
    <n v="13462.12"/>
    <n v="13462.12"/>
    <n v="7600.63"/>
    <n v="5861.49"/>
    <n v="5861.4900000000007"/>
    <n v="-7600.63"/>
    <s v="Pending"/>
    <s v="Pending"/>
    <s v="Returned"/>
    <x v="2"/>
    <s v="Clean"/>
  </r>
  <r>
    <s v="ORD-2025-10762"/>
    <n v="1"/>
    <s v="Unique"/>
    <s v="27 Aug 2025"/>
    <s v="08/31/2025"/>
    <d v="2025-08-27T00:00:00"/>
    <d v="2025-08-31T00:00:00"/>
    <x v="1"/>
    <x v="1"/>
    <s v="Valid"/>
    <s v="Valid"/>
    <n v="4"/>
    <s v="CUST-8948"/>
    <s v="Isha Nair"/>
    <s v="Isha Nair"/>
    <s v="Consumer"/>
    <x v="0"/>
    <s v="South"/>
    <x v="2"/>
    <s v="Karnataka"/>
    <s v="Karnataka"/>
    <s v="Bengaluru"/>
    <s v="Bengaluru"/>
    <s v="Technology"/>
    <x v="2"/>
    <s v="Machines"/>
    <x v="12"/>
    <s v="Max Machines 364"/>
    <s v="First Class"/>
    <x v="2"/>
    <n v="3"/>
    <n v="2489.12"/>
    <n v="0"/>
    <n v="0"/>
    <s v="Valid"/>
    <n v="7467.36"/>
    <n v="7467.36"/>
    <n v="5010.6099999999997"/>
    <n v="2456.75"/>
    <n v="2456.75"/>
    <n v="-5010.6099999999997"/>
    <s v="Paid"/>
    <s v="Paid"/>
    <s v="Completed"/>
    <x v="0"/>
    <s v="Clean"/>
  </r>
  <r>
    <s v="ORD-2024-10763"/>
    <n v="1"/>
    <s v="Unique"/>
    <s v="01/01/2024"/>
    <s v="05 Jan 2024"/>
    <d v="2024-01-01T00:00:00"/>
    <d v="2024-05-01T00:00:00"/>
    <x v="8"/>
    <x v="0"/>
    <s v="Valid"/>
    <s v="Valid"/>
    <n v="121"/>
    <s v="CUST-6921"/>
    <s v="Diya Patel"/>
    <s v="Diya Patel"/>
    <s v="Corporate"/>
    <x v="2"/>
    <s v="West"/>
    <x v="3"/>
    <s v="Madhya Pradesh"/>
    <s v="Madhya Pradesh"/>
    <s v="Indore"/>
    <s v="Indore"/>
    <s v="Technology"/>
    <x v="2"/>
    <s v="Machines"/>
    <x v="12"/>
    <s v="Classic Machines 122"/>
    <s v="Second Class"/>
    <x v="0"/>
    <n v="2"/>
    <n v="3694.12"/>
    <n v="0.2"/>
    <n v="0.2"/>
    <s v="Valid"/>
    <n v="5910.59"/>
    <n v="5910.5920000000006"/>
    <n v="4775.4399999999996"/>
    <n v="1135.1500000000001"/>
    <n v="1135.152000000001"/>
    <n v="-4775.4399999999996"/>
    <s v="Refunded"/>
    <s v="Refunded"/>
    <s v="Returned"/>
    <x v="2"/>
    <s v="Clean"/>
  </r>
  <r>
    <s v="ORD-2025-10764"/>
    <n v="3"/>
    <s v="Unique"/>
    <s v="23 Aug 2025"/>
    <s v="2025-08-25"/>
    <d v="2025-08-23T00:00:00"/>
    <d v="2025-08-25T00:00:00"/>
    <x v="1"/>
    <x v="1"/>
    <s v="Valid"/>
    <s v="Valid"/>
    <n v="2"/>
    <s v="CUST-4086"/>
    <s v="Diya Patel"/>
    <s v="Diya Patel"/>
    <s v="Consumer"/>
    <x v="0"/>
    <s v="North"/>
    <x v="0"/>
    <s v="Rajasthan"/>
    <s v="Rajasthan"/>
    <s v="Jaipur"/>
    <s v="Jaipur"/>
    <s v="Furniture"/>
    <x v="1"/>
    <s v="Furnishings"/>
    <x v="3"/>
    <s v="Elite Furnishings 169"/>
    <s v="Same Day"/>
    <x v="1"/>
    <n v="6"/>
    <n v="2742.48"/>
    <n v="0"/>
    <n v="0"/>
    <s v="Valid"/>
    <n v="16454.88"/>
    <n v="16454.88"/>
    <n v="12081.54"/>
    <n v="4373.34"/>
    <n v="4373.34"/>
    <n v="-12081.54"/>
    <s v="Paid"/>
    <s v="Paid"/>
    <s v="Completed"/>
    <x v="0"/>
    <s v="Clean"/>
  </r>
  <r>
    <s v="ORD-2025-10765"/>
    <n v="2"/>
    <s v="Unique"/>
    <s v="2025-04-13"/>
    <s v="13-04-2025"/>
    <d v="2025-04-13T00:00:00"/>
    <d v="2025-04-13T00:00:00"/>
    <x v="5"/>
    <x v="1"/>
    <s v="Valid"/>
    <s v="Valid"/>
    <n v="0"/>
    <s v="CUST-5174"/>
    <s v="Priya Menon"/>
    <s v="Priya Menon"/>
    <s v="Corporate"/>
    <x v="2"/>
    <s v="South"/>
    <x v="2"/>
    <s v="Kerala"/>
    <s v="Kerala"/>
    <s v="Kochi"/>
    <s v="Kochi"/>
    <s v="Furniture"/>
    <x v="1"/>
    <s v="Bookcases"/>
    <x v="10"/>
    <s v="Pro Bookcases 615"/>
    <s v="First Class"/>
    <x v="2"/>
    <n v="6"/>
    <n v="4414"/>
    <n v="0.05"/>
    <n v="0.05"/>
    <s v="Valid"/>
    <n v="25159.8"/>
    <n v="25159.8"/>
    <n v="21606.83"/>
    <n v="3552.97"/>
    <n v="3552.9699999999975"/>
    <n v="-21606.83"/>
    <s v="Paid"/>
    <s v="Paid"/>
    <s v="Completed"/>
    <x v="0"/>
    <s v="Clean"/>
  </r>
  <r>
    <s v="ORD-2025-10766"/>
    <n v="1"/>
    <s v="Unique"/>
    <s v="29-06-2025"/>
    <s v="2025-07-03"/>
    <d v="2025-06-29T00:00:00"/>
    <d v="2025-03-07T00:00:00"/>
    <x v="2"/>
    <x v="1"/>
    <s v="Valid"/>
    <s v="Valid"/>
    <n v="-114"/>
    <s v="CUST-8747"/>
    <s v="Vikram Iyer"/>
    <s v="Vikram Iyer"/>
    <s v="Corporate"/>
    <x v="2"/>
    <s v="East"/>
    <x v="1"/>
    <s v="Jharkhand"/>
    <s v="Jharkhand"/>
    <s v="Ranchi"/>
    <s v="Ranchi"/>
    <s v="Office Supplies"/>
    <x v="0"/>
    <s v="Labels"/>
    <x v="7"/>
    <s v="Max Labels 136"/>
    <s v="First Class"/>
    <x v="2"/>
    <n v="3"/>
    <n v="608.14"/>
    <n v="0"/>
    <n v="0"/>
    <s v="Valid"/>
    <n v="1824.42"/>
    <n v="1824.42"/>
    <n v="1214.8699999999999"/>
    <n v="609.54999999999995"/>
    <n v="609.55000000000018"/>
    <n v="-1214.8699999999999"/>
    <s v="Paid"/>
    <s v="Paid"/>
    <s v="Completed"/>
    <x v="0"/>
    <s v="Clean"/>
  </r>
  <r>
    <s v="ORD-2024-10767"/>
    <n v="1"/>
    <s v="Unique"/>
    <s v="17 Sep 2024"/>
    <s v="24 Sep 2024"/>
    <d v="2024-09-17T00:00:00"/>
    <d v="2024-09-24T00:00:00"/>
    <x v="9"/>
    <x v="0"/>
    <s v="Valid"/>
    <s v="Valid"/>
    <n v="7"/>
    <s v="CUST-3156"/>
    <s v="Mira Das"/>
    <s v="Mira Das"/>
    <s v="Corporate"/>
    <x v="2"/>
    <s v="West"/>
    <x v="3"/>
    <s v="Gujarat"/>
    <s v="Gujarat"/>
    <s v="Ahmedabad"/>
    <s v="Ahmedabad"/>
    <s v="Office Supplies"/>
    <x v="0"/>
    <s v="Art"/>
    <x v="2"/>
    <s v="Prime Art 380"/>
    <s v="Second Class"/>
    <x v="0"/>
    <n v="9"/>
    <n v="2307.96"/>
    <n v="0.2"/>
    <n v="0.2"/>
    <s v="Valid"/>
    <n v="16617.310000000001"/>
    <n v="16617.312000000002"/>
    <n v="9195.73"/>
    <n v="7421.58"/>
    <n v="7421.5820000000022"/>
    <n v="-9195.73"/>
    <s v="Paid"/>
    <s v="Paid"/>
    <s v="Cancelled"/>
    <x v="1"/>
    <s v="Clean"/>
  </r>
  <r>
    <s v="ORD-2024-10768"/>
    <n v="1"/>
    <s v="Unique"/>
    <s v="03 May 2024"/>
    <s v="05/06/2024"/>
    <d v="2024-03-05T00:00:00"/>
    <d v="2024-05-06T00:00:00"/>
    <x v="11"/>
    <x v="0"/>
    <s v="Valid"/>
    <s v="Valid"/>
    <n v="62"/>
    <s v="CUST-2043"/>
    <s v="Ananya Rao"/>
    <s v="Ananya Rao"/>
    <s v="Home Office"/>
    <x v="3"/>
    <s v="North"/>
    <x v="0"/>
    <s v="Uttar Pradesh"/>
    <s v="Uttar Pradesh"/>
    <s v="Noida"/>
    <s v="Noida"/>
    <s v="Office Supplies"/>
    <x v="0"/>
    <s v="Binders"/>
    <x v="9"/>
    <s v="Classic Binders 234"/>
    <s v="Standard Class"/>
    <x v="3"/>
    <n v="1"/>
    <n v="1244.58"/>
    <n v="0.25"/>
    <n v="0.25"/>
    <s v="Valid"/>
    <n v="933.43"/>
    <n v="933.43499999999995"/>
    <n v="583.09"/>
    <n v="350.34"/>
    <n v="350.34499999999991"/>
    <n v="-583.09"/>
    <s v="Paid"/>
    <s v="Paid"/>
    <s v="Completed"/>
    <x v="0"/>
    <s v="Clean"/>
  </r>
  <r>
    <s v="ORD-2025-10769"/>
    <n v="1"/>
    <s v="Unique"/>
    <s v="2025-04-02"/>
    <s v="2025-04-04"/>
    <d v="2025-02-04T00:00:00"/>
    <d v="2025-04-04T00:00:00"/>
    <x v="6"/>
    <x v="1"/>
    <s v="Valid"/>
    <s v="Valid"/>
    <n v="59"/>
    <s v="CUST-8808"/>
    <s v="Sneha Kapoor"/>
    <s v="Sneha Kapoor"/>
    <s v="Home Office"/>
    <x v="3"/>
    <s v="East"/>
    <x v="1"/>
    <s v="Jharkhand"/>
    <s v="Jharkhand"/>
    <s v="Ranchi"/>
    <s v="Ranchi"/>
    <s v="Office Supplies"/>
    <x v="0"/>
    <s v="Paper"/>
    <x v="0"/>
    <s v="Classic Paper 280"/>
    <s v="Same Day"/>
    <x v="1"/>
    <n v="5"/>
    <n v="3234.24"/>
    <n v="0.1"/>
    <n v="0.1"/>
    <s v="Valid"/>
    <n v="14554.08"/>
    <n v="14554.08"/>
    <n v="11166.84"/>
    <n v="3387.24"/>
    <n v="3387.24"/>
    <n v="-11166.84"/>
    <s v="Paid"/>
    <s v="Paid"/>
    <s v="Completed"/>
    <x v="0"/>
    <s v="Clean"/>
  </r>
  <r>
    <s v="ORD-2024-10770"/>
    <n v="2"/>
    <s v="Unique"/>
    <s v="05/11/2024"/>
    <s v="13 May 2024"/>
    <d v="2024-05-11T00:00:00"/>
    <d v="2024-05-13T00:00:00"/>
    <x v="4"/>
    <x v="0"/>
    <s v="Valid"/>
    <s v="Valid"/>
    <n v="2"/>
    <s v="CUST-1293"/>
    <s v="Priya Menon"/>
    <s v="Priya Menon"/>
    <s v="Home Office"/>
    <x v="3"/>
    <s v="West"/>
    <x v="3"/>
    <s v="Goa"/>
    <s v="Goa"/>
    <s v="Panaji"/>
    <s v="Panaji"/>
    <s v="Furniture"/>
    <x v="1"/>
    <s v="Bookcases"/>
    <x v="10"/>
    <s v="Classic Bookcases 922"/>
    <s v="Same Day"/>
    <x v="1"/>
    <n v="3"/>
    <n v="3612.75"/>
    <n v="0.25"/>
    <n v="0.25"/>
    <s v="Valid"/>
    <n v="8128.69"/>
    <n v="8128.6875"/>
    <n v="5071.66"/>
    <n v="3057.03"/>
    <n v="3057.0275000000001"/>
    <n v="-5071.66"/>
    <s v="Paid"/>
    <s v="Paid"/>
    <s v="Completed"/>
    <x v="0"/>
    <s v="Clean"/>
  </r>
  <r>
    <s v="ORD-2024-10771"/>
    <n v="1"/>
    <s v="Unique"/>
    <s v="02/15/2024"/>
    <s v="17-02-2024"/>
    <d v="2024-02-15T00:00:00"/>
    <d v="2024-02-17T00:00:00"/>
    <x v="6"/>
    <x v="0"/>
    <s v="Valid"/>
    <s v="Valid"/>
    <n v="2"/>
    <s v="CUST-8384"/>
    <s v="Neha Gupta"/>
    <s v="Neha Gupta"/>
    <s v="Consumer"/>
    <x v="0"/>
    <s v="North"/>
    <x v="0"/>
    <s v="Uttar Pradesh"/>
    <s v="Uttar Pradesh"/>
    <s v="Noida"/>
    <s v="Noida"/>
    <s v="Technology"/>
    <x v="2"/>
    <s v="Copiers"/>
    <x v="6"/>
    <s v="Eco Copiers 396"/>
    <s v="First Class"/>
    <x v="2"/>
    <n v="4"/>
    <n v="863"/>
    <s v="Unknown"/>
    <s v="Unknown"/>
    <s v="Invalid - Above Range"/>
    <n v="3106.8"/>
    <s v="Unknown"/>
    <n v="2376.62"/>
    <n v="730.18"/>
    <s v="Unknown"/>
    <s v="Unknown"/>
    <s v="Paid"/>
    <s v="Paid"/>
    <s v="Completed"/>
    <x v="0"/>
    <s v="Needs Review"/>
  </r>
  <r>
    <s v="ORD-2024-10772"/>
    <n v="1"/>
    <s v="Unique"/>
    <s v="2024-07-12"/>
    <s v="2024-07-14"/>
    <d v="2024-12-07T00:00:00"/>
    <d v="2024-07-14T00:00:00"/>
    <x v="7"/>
    <x v="0"/>
    <s v="Valid"/>
    <s v="Valid"/>
    <n v="-146"/>
    <s v="CUST-7861"/>
    <s v="Ananya Rao"/>
    <s v="Ananya Rao"/>
    <s v="Consumer"/>
    <x v="0"/>
    <s v="North"/>
    <x v="0"/>
    <s v="Haryana"/>
    <s v="Haryana"/>
    <s v="Gurugram"/>
    <s v="Gurugram"/>
    <s v="Technology"/>
    <x v="2"/>
    <s v="Machines"/>
    <x v="12"/>
    <s v="Basic Machines 401"/>
    <s v="Second Class"/>
    <x v="0"/>
    <n v="4"/>
    <n v="2131.41"/>
    <s v="Unknown"/>
    <s v="Unknown"/>
    <s v="Invalid - Above Range"/>
    <n v="6394.23"/>
    <s v="Unknown"/>
    <n v="3520.69"/>
    <n v="2873.54"/>
    <s v="Unknown"/>
    <s v="Unknown"/>
    <s v="Paid"/>
    <s v="Paid"/>
    <s v="Completed"/>
    <x v="0"/>
    <s v="Needs Review"/>
  </r>
  <r>
    <s v="ORD-2025-10773"/>
    <n v="3"/>
    <s v="Unique"/>
    <s v="07/15/2025"/>
    <s v="19 Jul 2025"/>
    <d v="2025-07-15T00:00:00"/>
    <d v="2025-07-19T00:00:00"/>
    <x v="0"/>
    <x v="1"/>
    <s v="Valid"/>
    <s v="Valid"/>
    <n v="4"/>
    <s v="CUST-8422"/>
    <s v="Diya Patel"/>
    <s v="Diya Patel"/>
    <s v="Consumer"/>
    <x v="0"/>
    <s v="South"/>
    <x v="2"/>
    <s v="Tamil Nadu"/>
    <s v="Tamil Nadu"/>
    <s v="Chennai"/>
    <s v="Chennai"/>
    <s v="Furniture"/>
    <x v="1"/>
    <s v="Chairs"/>
    <x v="4"/>
    <s v="Basic Chairs 279"/>
    <s v="Same Day"/>
    <x v="1"/>
    <n v="1"/>
    <n v="3903.22"/>
    <n v="0.05"/>
    <n v="0.05"/>
    <s v="Valid"/>
    <n v="3708.06"/>
    <n v="3708.0589999999997"/>
    <n v="2760.29"/>
    <n v="947.77"/>
    <n v="947.76899999999978"/>
    <n v="-2760.29"/>
    <s v="Pending"/>
    <s v="Pending"/>
    <s v="Cancelled"/>
    <x v="1"/>
    <s v="Clean"/>
  </r>
  <r>
    <s v="ORD-2025-10774"/>
    <n v="2"/>
    <s v="Unique"/>
    <s v="2025-02-21"/>
    <s v="21 Feb 2025"/>
    <d v="2025-02-21T00:00:00"/>
    <d v="2025-02-21T00:00:00"/>
    <x v="6"/>
    <x v="1"/>
    <s v="Valid"/>
    <s v="Valid"/>
    <n v="0"/>
    <s v="CUST-4766"/>
    <s v="Karan Malhotra"/>
    <s v="Karan Malhotra"/>
    <s v="Home Office"/>
    <x v="3"/>
    <s v="West"/>
    <x v="3"/>
    <s v="Gujarat"/>
    <s v="Gujarat"/>
    <s v="Ahmedabad"/>
    <s v="Ahmedabad"/>
    <s v="Technology"/>
    <x v="2"/>
    <s v="Phones"/>
    <x v="11"/>
    <s v="Basic Phones 753"/>
    <s v="Unknown"/>
    <x v="4"/>
    <n v="4"/>
    <n v="2945.07"/>
    <n v="0.2"/>
    <n v="0.2"/>
    <s v="Valid"/>
    <n v="9424.2199999999993"/>
    <n v="9424.2240000000002"/>
    <n v="6178.92"/>
    <n v="3245.3"/>
    <n v="3245.3040000000001"/>
    <n v="-6178.92"/>
    <s v="Paid"/>
    <s v="Paid"/>
    <s v="Completed"/>
    <x v="0"/>
    <s v="Clean"/>
  </r>
  <r>
    <s v="ORD-2025-10775"/>
    <n v="3"/>
    <s v="Unique"/>
    <s v="07-08-2025"/>
    <s v="2025-08-07"/>
    <d v="2025-07-08T00:00:00"/>
    <d v="2025-07-08T00:00:00"/>
    <x v="0"/>
    <x v="1"/>
    <s v="Valid"/>
    <s v="Valid"/>
    <n v="0"/>
    <s v="CUST-1182"/>
    <s v="Kabir Singh"/>
    <s v="Kabir Singh"/>
    <s v="Consumer"/>
    <x v="0"/>
    <s v="West"/>
    <x v="3"/>
    <s v="Rajasthan"/>
    <s v="Rajasthan"/>
    <s v="Udaipur"/>
    <s v="Udaipur"/>
    <s v="Technology"/>
    <x v="2"/>
    <s v="Machines"/>
    <x v="12"/>
    <s v="Smart Machines 789"/>
    <s v="Unknown"/>
    <x v="4"/>
    <n v="9"/>
    <n v="1076.75"/>
    <n v="0.2"/>
    <n v="0.2"/>
    <s v="Valid"/>
    <n v="7752.6"/>
    <n v="7752.6"/>
    <n v="4689.3"/>
    <n v="3063.3"/>
    <n v="3063.3"/>
    <n v="-4689.3"/>
    <s v="Paid"/>
    <s v="Paid"/>
    <s v="Completed"/>
    <x v="0"/>
    <s v="Clean"/>
  </r>
  <r>
    <s v="ORD-2024-10776"/>
    <n v="1"/>
    <s v="Unique"/>
    <s v="14 Apr 2024"/>
    <s v="22-04-2024"/>
    <d v="2024-04-14T00:00:00"/>
    <d v="2024-04-22T00:00:00"/>
    <x v="5"/>
    <x v="0"/>
    <s v="Valid"/>
    <s v="Valid"/>
    <n v="8"/>
    <s v="CUST-4461"/>
    <s v="Arjun Bose"/>
    <s v="Arjun Bose"/>
    <s v="Consumer"/>
    <x v="0"/>
    <s v="North"/>
    <x v="0"/>
    <s v="Haryana"/>
    <s v="Haryana"/>
    <s v="Gurugram"/>
    <s v="Gurugram"/>
    <s v="Technology"/>
    <x v="2"/>
    <s v="Accessories"/>
    <x v="5"/>
    <s v="Elite Accessories 312"/>
    <s v="Standard Class"/>
    <x v="3"/>
    <n v="8"/>
    <n v="3956.12"/>
    <n v="0.25"/>
    <n v="0.25"/>
    <s v="Valid"/>
    <n v="23736.720000000001"/>
    <n v="23736.720000000001"/>
    <n v="13890.9"/>
    <n v="9845.82"/>
    <n v="9845.8200000000015"/>
    <n v="-13890.9"/>
    <s v="Paid"/>
    <s v="Paid"/>
    <s v="Completed"/>
    <x v="0"/>
    <s v="Clean"/>
  </r>
  <r>
    <s v="ORD-2025-10777"/>
    <n v="1"/>
    <s v="Unique"/>
    <s v="08-06-2025"/>
    <s v="06/13/2025"/>
    <d v="2025-08-06T00:00:00"/>
    <d v="2025-06-13T00:00:00"/>
    <x v="1"/>
    <x v="1"/>
    <s v="Valid"/>
    <s v="Valid"/>
    <n v="-54"/>
    <s v="CUST-9690"/>
    <s v="Aditi Sen"/>
    <s v="Aditi Sen"/>
    <s v="Small Business"/>
    <x v="1"/>
    <s v="North"/>
    <x v="0"/>
    <s v="Rajasthan"/>
    <s v="Rajasthan"/>
    <s v="Jaipur"/>
    <s v="Jaipur"/>
    <s v="Technology"/>
    <x v="2"/>
    <s v="Copiers"/>
    <x v="6"/>
    <s v="Eco Copiers 528"/>
    <s v="Second Class"/>
    <x v="0"/>
    <n v="7"/>
    <n v="3857.13"/>
    <n v="0"/>
    <n v="0"/>
    <s v="Valid"/>
    <n v="26999.91"/>
    <n v="26999.91"/>
    <n v="17815.98"/>
    <n v="9183.93"/>
    <n v="9183.93"/>
    <n v="-17815.98"/>
    <s v="Paid"/>
    <s v="Paid"/>
    <s v="Completed"/>
    <x v="0"/>
    <s v="Clean"/>
  </r>
  <r>
    <s v="ORD-2024-10778"/>
    <n v="2"/>
    <s v="Unique"/>
    <s v="04-02-2024"/>
    <s v="2024-02-06"/>
    <d v="2024-04-02T00:00:00"/>
    <d v="2024-06-02T00:00:00"/>
    <x v="5"/>
    <x v="0"/>
    <s v="Valid"/>
    <s v="Valid"/>
    <n v="61"/>
    <s v="CUST-6879"/>
    <s v="Kabir Singh"/>
    <s v="Kabir Singh"/>
    <s v="Small Business"/>
    <x v="1"/>
    <s v="West"/>
    <x v="3"/>
    <s v="Madhya Pradesh"/>
    <s v="Madhya Pradesh"/>
    <s v="Indore"/>
    <s v="Indore"/>
    <s v="Technology"/>
    <x v="2"/>
    <s v="Accessories"/>
    <x v="5"/>
    <s v="Elite Accessories 226"/>
    <s v="Second Class"/>
    <x v="0"/>
    <n v="4"/>
    <n v="1489.74"/>
    <n v="0.15"/>
    <n v="0.15"/>
    <s v="Valid"/>
    <n v="5065.12"/>
    <n v="5065.116"/>
    <n v="3530.12"/>
    <n v="1535"/>
    <n v="1534.9960000000001"/>
    <n v="-3530.12"/>
    <s v="Failed"/>
    <s v="Failed"/>
    <s v="Cancelled"/>
    <x v="1"/>
    <s v="Clean"/>
  </r>
  <r>
    <s v="ORD-2024-10779"/>
    <n v="1"/>
    <s v="Unique"/>
    <s v="07/24/2024"/>
    <s v="24-07-2024"/>
    <d v="2024-07-24T00:00:00"/>
    <d v="2024-07-24T00:00:00"/>
    <x v="0"/>
    <x v="0"/>
    <s v="Valid"/>
    <s v="Valid"/>
    <n v="0"/>
    <s v="CUST-4714"/>
    <s v="Karan Malhotra"/>
    <s v="Karan Malhotra"/>
    <s v="Small Business"/>
    <x v="1"/>
    <s v="North"/>
    <x v="0"/>
    <s v="Haryana"/>
    <s v="Haryana"/>
    <s v="Gurugram"/>
    <s v="Gurugram"/>
    <s v="Technology"/>
    <x v="2"/>
    <s v="Copiers"/>
    <x v="6"/>
    <s v="Pro Copiers 298"/>
    <s v="Second Class"/>
    <x v="0"/>
    <n v="4"/>
    <n v="1676.88"/>
    <n v="0"/>
    <n v="0"/>
    <s v="Valid"/>
    <n v="6707.52"/>
    <n v="6707.52"/>
    <n v="5672.57"/>
    <n v="1034.95"/>
    <n v="1034.9500000000007"/>
    <n v="-5672.57"/>
    <s v="Paid"/>
    <s v="Paid"/>
    <s v="Completed"/>
    <x v="0"/>
    <s v="Clean"/>
  </r>
  <r>
    <s v="ORD-2024-10780"/>
    <n v="2"/>
    <s v="Unique"/>
    <s v="01/15/2024"/>
    <s v="20-01-2024"/>
    <d v="2024-01-15T00:00:00"/>
    <d v="2024-01-20T00:00:00"/>
    <x v="8"/>
    <x v="0"/>
    <s v="Valid"/>
    <s v="Valid"/>
    <n v="5"/>
    <s v="CUST-7547"/>
    <s v="Priya Menon"/>
    <s v="Priya Menon"/>
    <s v="Small Business"/>
    <x v="1"/>
    <s v="South"/>
    <x v="2"/>
    <s v="Andhra Pradesh"/>
    <s v="Andhra Pradesh"/>
    <s v="Vijayawada"/>
    <s v="Vijayawada"/>
    <s v="Furniture"/>
    <x v="1"/>
    <s v="Chairs"/>
    <x v="4"/>
    <s v="Prime Chairs 331"/>
    <s v="Standard Class"/>
    <x v="3"/>
    <n v="4"/>
    <n v="3153.54"/>
    <n v="0.05"/>
    <n v="0.05"/>
    <s v="Valid"/>
    <n v="11983.45"/>
    <n v="11983.451999999999"/>
    <n v="8572.9"/>
    <n v="3410.55"/>
    <n v="3410.5519999999997"/>
    <n v="-8572.9"/>
    <s v="Paid"/>
    <s v="Paid"/>
    <s v="Completed"/>
    <x v="0"/>
    <s v="Clean"/>
  </r>
  <r>
    <s v="ORD-2024-10781"/>
    <n v="1"/>
    <s v="Unique"/>
    <s v="04 Aug 2024"/>
    <s v="08/10/2024"/>
    <d v="2024-04-08T00:00:00"/>
    <d v="2024-08-10T00:00:00"/>
    <x v="5"/>
    <x v="0"/>
    <s v="Valid"/>
    <s v="Valid"/>
    <n v="124"/>
    <s v="CUST-3288"/>
    <s v="Diya Patel"/>
    <s v="Diya Patel"/>
    <s v="Small Business"/>
    <x v="1"/>
    <s v="West"/>
    <x v="3"/>
    <s v="Rajasthan"/>
    <s v="Rajasthan"/>
    <s v="Udaipur"/>
    <s v="Udaipur"/>
    <s v="Furniture"/>
    <x v="1"/>
    <s v="Chairs"/>
    <x v="4"/>
    <s v="Classic Chairs 798"/>
    <s v="Same Day"/>
    <x v="1"/>
    <n v="4"/>
    <n v="426.43"/>
    <n v="0.2"/>
    <n v="0.2"/>
    <s v="Valid"/>
    <n v="1364.58"/>
    <n v="1364.576"/>
    <n v="978.16"/>
    <n v="386.42"/>
    <n v="386.41600000000005"/>
    <n v="-978.16"/>
    <s v="Paid"/>
    <s v="Paid"/>
    <s v="Completed"/>
    <x v="0"/>
    <s v="Clean"/>
  </r>
  <r>
    <s v="ORD-2024-10782"/>
    <n v="1"/>
    <s v="Unique"/>
    <s v="2024-02-02"/>
    <s v="10 Feb 2024"/>
    <d v="2024-02-02T00:00:00"/>
    <d v="2024-10-02T00:00:00"/>
    <x v="6"/>
    <x v="0"/>
    <s v="Valid"/>
    <s v="Valid"/>
    <n v="243"/>
    <s v="CUST-8597"/>
    <s v="Karan Malhotra"/>
    <s v="Karan Malhotra"/>
    <s v="Home Office"/>
    <x v="3"/>
    <s v="West"/>
    <x v="3"/>
    <s v="Rajasthan"/>
    <s v="Rajasthan"/>
    <s v="Udaipur"/>
    <s v="Udaipur"/>
    <s v="Office Supplies"/>
    <x v="0"/>
    <s v="Labels"/>
    <x v="7"/>
    <s v="Classic Labels 204"/>
    <s v="First Class"/>
    <x v="2"/>
    <n v="3"/>
    <n v="383.4"/>
    <n v="0.25"/>
    <n v="0.25"/>
    <s v="Valid"/>
    <n v="862.65"/>
    <n v="862.64999999999986"/>
    <n v="603.73"/>
    <n v="258.92"/>
    <n v="258.91999999999985"/>
    <n v="-603.73"/>
    <s v="Pending"/>
    <s v="Pending"/>
    <s v="Returned"/>
    <x v="2"/>
    <s v="Clean"/>
  </r>
  <r>
    <s v="ORD-2025-10783"/>
    <n v="1"/>
    <s v="Unique"/>
    <s v="2025-03-14"/>
    <s v="03/22/2025"/>
    <d v="2025-03-14T00:00:00"/>
    <d v="2025-03-22T00:00:00"/>
    <x v="11"/>
    <x v="1"/>
    <s v="Valid"/>
    <s v="Valid"/>
    <n v="8"/>
    <s v="CUST-9085"/>
    <s v="Mira Das"/>
    <s v="Mira Das"/>
    <s v="Corporate"/>
    <x v="2"/>
    <s v="East"/>
    <x v="1"/>
    <s v="West Bengal"/>
    <s v="West Bengal"/>
    <s v="Kolkata"/>
    <s v="Kolkata"/>
    <s v="Technology"/>
    <x v="2"/>
    <s v="Copiers"/>
    <x v="6"/>
    <s v="Basic Copiers 254"/>
    <s v="Standard Class"/>
    <x v="3"/>
    <n v="2"/>
    <n v="669.63"/>
    <n v="0.15"/>
    <n v="0.15"/>
    <s v="Valid"/>
    <n v="1138.3699999999999"/>
    <n v="1138.3709999999999"/>
    <n v="797.34"/>
    <n v="341.03"/>
    <n v="341.03099999999984"/>
    <n v="-797.34"/>
    <s v="Paid"/>
    <s v="Paid"/>
    <s v="Completed"/>
    <x v="0"/>
    <s v="Clean"/>
  </r>
  <r>
    <s v="ORD-2024-10784"/>
    <n v="2"/>
    <s v="Unique"/>
    <s v="07 Jun 2024"/>
    <s v="2024-06-07"/>
    <d v="2024-07-06T00:00:00"/>
    <d v="2024-07-06T00:00:00"/>
    <x v="0"/>
    <x v="0"/>
    <s v="Valid"/>
    <s v="Valid"/>
    <n v="0"/>
    <s v="CUST-7746"/>
    <s v="Aarav Sharma"/>
    <s v="Aarav Sharma"/>
    <s v="Small Business"/>
    <x v="1"/>
    <s v="East"/>
    <x v="1"/>
    <s v="Bihar"/>
    <s v="Bihar"/>
    <s v="Patna"/>
    <s v="Patna"/>
    <s v="Office Supplies"/>
    <x v="0"/>
    <s v="Art"/>
    <x v="2"/>
    <s v="Basic Art 709"/>
    <s v="Second Class"/>
    <x v="0"/>
    <n v="1"/>
    <n v="2581.9299999999998"/>
    <n v="0.05"/>
    <n v="0.05"/>
    <s v="Valid"/>
    <n v="2452.83"/>
    <n v="2452.8334999999997"/>
    <n v="1906.7"/>
    <n v="546.13"/>
    <n v="546.13349999999969"/>
    <n v="-1906.7"/>
    <s v="Paid"/>
    <s v="Paid"/>
    <s v="Completed"/>
    <x v="0"/>
    <s v="Clean"/>
  </r>
  <r>
    <s v="ORD-2025-10785"/>
    <n v="4"/>
    <s v="Unique"/>
    <s v="10/04/2025"/>
    <s v="2025-10-05"/>
    <d v="2025-10-04T00:00:00"/>
    <d v="2025-05-10T00:00:00"/>
    <x v="10"/>
    <x v="1"/>
    <s v="Valid"/>
    <s v="Valid"/>
    <n v="-147"/>
    <s v="CUST-3119"/>
    <s v="Priya Menon"/>
    <s v="Priya Menon"/>
    <s v="Corporate"/>
    <x v="2"/>
    <s v="North"/>
    <x v="0"/>
    <s v="Punjab"/>
    <s v="Punjab"/>
    <s v="Ludhiana"/>
    <s v="Ludhiana"/>
    <s v="Technology"/>
    <x v="2"/>
    <s v="Copiers"/>
    <x v="6"/>
    <s v="Max Copiers 551"/>
    <s v="First Class"/>
    <x v="2"/>
    <n v="4"/>
    <n v="418.18"/>
    <n v="0.05"/>
    <n v="0.05"/>
    <s v="Valid"/>
    <n v="1589.08"/>
    <n v="1589.0840000000001"/>
    <n v="1084.6600000000001"/>
    <n v="504.42"/>
    <n v="504.42399999999998"/>
    <n v="-1084.6600000000001"/>
    <s v="Paid"/>
    <s v="Paid"/>
    <s v="Completed"/>
    <x v="0"/>
    <s v="Clean"/>
  </r>
  <r>
    <s v="ORD-2024-10786"/>
    <n v="1"/>
    <s v="Unique"/>
    <s v="23-05-2024"/>
    <s v="29-05-2024"/>
    <d v="2024-05-23T00:00:00"/>
    <d v="2024-05-29T00:00:00"/>
    <x v="4"/>
    <x v="0"/>
    <s v="Valid"/>
    <s v="Valid"/>
    <n v="6"/>
    <s v="CUST-7518"/>
    <s v="Diya Patel"/>
    <s v="Diya Patel"/>
    <s v="Small Business"/>
    <x v="1"/>
    <s v="North"/>
    <x v="0"/>
    <s v="Haryana"/>
    <s v="Haryana"/>
    <s v="Gurugram"/>
    <s v="Gurugram"/>
    <s v="Office Supplies"/>
    <x v="0"/>
    <s v="Storage"/>
    <x v="8"/>
    <s v="Eco Storage 183"/>
    <s v="Same Day"/>
    <x v="1"/>
    <n v="2"/>
    <n v="3012.94"/>
    <n v="0.25"/>
    <n v="0.25"/>
    <s v="Valid"/>
    <n v="4519.41"/>
    <n v="4519.41"/>
    <n v="3504.16"/>
    <n v="1275.55"/>
    <n v="1015.25"/>
    <n v="-3504.16"/>
    <s v="Failed"/>
    <s v="Failed"/>
    <s v="Cancelled"/>
    <x v="1"/>
    <s v="Clean"/>
  </r>
  <r>
    <s v="ORD-2025-10787"/>
    <n v="3"/>
    <s v="Unique"/>
    <s v="07/06/2025"/>
    <s v="08 Jul 2025"/>
    <d v="2025-07-06T00:00:00"/>
    <d v="2025-08-07T00:00:00"/>
    <x v="0"/>
    <x v="1"/>
    <s v="Valid"/>
    <s v="Valid"/>
    <n v="32"/>
    <s v="CUST-1343"/>
    <s v="Ananya Rao"/>
    <s v="Ananya Rao"/>
    <s v="Corporate"/>
    <x v="2"/>
    <s v="North"/>
    <x v="0"/>
    <s v="Rajasthan"/>
    <s v="Rajasthan"/>
    <s v="Jaipur"/>
    <s v="Jaipur"/>
    <s v="Furniture"/>
    <x v="1"/>
    <s v="Furnishings"/>
    <x v="3"/>
    <s v="Pro Furnishings 233"/>
    <s v="Unknown"/>
    <x v="4"/>
    <n v="4"/>
    <n v="715.45"/>
    <n v="0.05"/>
    <n v="0.05"/>
    <s v="Valid"/>
    <n v="2718.71"/>
    <n v="2718.71"/>
    <n v="2065.0500000000002"/>
    <n v="653.66"/>
    <n v="653.65999999999985"/>
    <n v="-2065.0500000000002"/>
    <s v="Refunded"/>
    <s v="Refunded"/>
    <s v="Returned"/>
    <x v="2"/>
    <s v="Clean"/>
  </r>
  <r>
    <s v="ORD-2024-10788"/>
    <n v="3"/>
    <s v="Unique"/>
    <s v="2024-09-12"/>
    <s v="2024-09-18"/>
    <d v="2024-12-09T00:00:00"/>
    <d v="2024-09-18T00:00:00"/>
    <x v="7"/>
    <x v="0"/>
    <s v="Valid"/>
    <s v="Valid"/>
    <n v="-82"/>
    <s v="CUST-7548"/>
    <s v="Ananya Rao"/>
    <s v="Ananya Rao"/>
    <s v="Home Office"/>
    <x v="3"/>
    <s v="East"/>
    <x v="1"/>
    <s v="Bihar"/>
    <s v="Bihar"/>
    <s v="Patna"/>
    <s v="Patna"/>
    <s v="Office Supplies"/>
    <x v="0"/>
    <s v="Paper"/>
    <x v="0"/>
    <s v="Prime Paper 878"/>
    <s v="Second Class"/>
    <x v="0"/>
    <n v="2"/>
    <n v="3718.77"/>
    <n v="0.05"/>
    <n v="0.05"/>
    <s v="Valid"/>
    <n v="7065.66"/>
    <n v="7065.6629999999996"/>
    <n v="4915.2700000000004"/>
    <n v="2150.39"/>
    <n v="2150.3929999999991"/>
    <n v="-4915.2700000000004"/>
    <s v="Paid"/>
    <s v="Paid"/>
    <s v="Completed"/>
    <x v="0"/>
    <s v="Clean"/>
  </r>
  <r>
    <s v="ORD-2024-10789"/>
    <n v="2"/>
    <s v="Unique"/>
    <s v="01 Aug 2024"/>
    <s v="02-08-2024"/>
    <d v="2024-01-08T00:00:00"/>
    <d v="2024-02-08T00:00:00"/>
    <x v="8"/>
    <x v="0"/>
    <s v="Valid"/>
    <s v="Valid"/>
    <n v="31"/>
    <s v="CUST-3631"/>
    <s v="Isha Nair"/>
    <s v="Isha Nair"/>
    <s v="Corporate"/>
    <x v="2"/>
    <s v="North"/>
    <x v="0"/>
    <s v="Uttar Pradesh"/>
    <s v="Uttar Pradesh"/>
    <s v="Noida"/>
    <s v="Noida"/>
    <s v="Furniture"/>
    <x v="1"/>
    <s v="Chairs"/>
    <x v="4"/>
    <s v="Smart Chairs 353"/>
    <s v="Standard Class"/>
    <x v="3"/>
    <n v="8"/>
    <n v="2487.64"/>
    <n v="0.1"/>
    <n v="0.1"/>
    <s v="Valid"/>
    <n v="17911.009999999998"/>
    <n v="17911.007999999998"/>
    <n v="11546.05"/>
    <n v="6364.96"/>
    <n v="6364.9579999999987"/>
    <n v="-11546.05"/>
    <s v="Failed"/>
    <s v="Failed"/>
    <s v="Returned"/>
    <x v="2"/>
    <s v="Clean"/>
  </r>
  <r>
    <s v="ORD-2025-10790"/>
    <n v="2"/>
    <s v="Unique"/>
    <s v="07 Mar 2025"/>
    <s v="08 Mar 2025"/>
    <d v="2025-07-03T00:00:00"/>
    <d v="2025-08-03T00:00:00"/>
    <x v="0"/>
    <x v="1"/>
    <s v="Valid"/>
    <s v="Valid"/>
    <n v="31"/>
    <s v="CUST-1453"/>
    <s v="Priya Menon"/>
    <s v="Priya Menon"/>
    <s v="Home Office"/>
    <x v="3"/>
    <s v="Unknown"/>
    <x v="4"/>
    <s v="Rajasthan"/>
    <s v="Rajasthan"/>
    <s v="Udaipur"/>
    <s v="Udaipur"/>
    <s v="Technology"/>
    <x v="2"/>
    <s v="Copiers"/>
    <x v="6"/>
    <s v="Smart Copiers 408"/>
    <s v="Same Day"/>
    <x v="1"/>
    <n v="4"/>
    <n v="3537.48"/>
    <n v="0"/>
    <n v="0"/>
    <s v="Valid"/>
    <n v="14149.92"/>
    <n v="14149.92"/>
    <n v="9466.51"/>
    <n v="4683.41"/>
    <n v="4683.41"/>
    <n v="-9466.51"/>
    <s v="Paid"/>
    <s v="Paid"/>
    <s v="Completed"/>
    <x v="0"/>
    <s v="Clean"/>
  </r>
  <r>
    <s v="ORD-2024-10791"/>
    <n v="2"/>
    <s v="Unique"/>
    <s v="31 May 2024"/>
    <s v="2024-06-02"/>
    <d v="2024-05-31T00:00:00"/>
    <d v="2024-02-06T00:00:00"/>
    <x v="4"/>
    <x v="0"/>
    <s v="Valid"/>
    <s v="Valid"/>
    <n v="-115"/>
    <s v="CUST-1951"/>
    <s v="Rahul Verma"/>
    <s v="Rahul Verma"/>
    <s v="Corporate"/>
    <x v="2"/>
    <s v="South"/>
    <x v="2"/>
    <s v="Andhra Pradesh"/>
    <s v="Andhra Pradesh"/>
    <s v="Vijayawada"/>
    <s v="Vijayawada"/>
    <s v="Office Supplies"/>
    <x v="0"/>
    <s v="Art"/>
    <x v="2"/>
    <s v="Classic Art 781"/>
    <s v="Standard Class"/>
    <x v="3"/>
    <n v="8"/>
    <n v="667.59"/>
    <n v="0.2"/>
    <n v="0.2"/>
    <s v="Valid"/>
    <n v="4272.58"/>
    <n v="4272.576"/>
    <n v="3328.92"/>
    <n v="943.66"/>
    <n v="943.65599999999995"/>
    <n v="-3328.92"/>
    <s v="Paid"/>
    <s v="Paid"/>
    <s v="Completed"/>
    <x v="0"/>
    <s v="Clean"/>
  </r>
  <r>
    <s v="ORD-2024-10792"/>
    <n v="3"/>
    <s v="Unique"/>
    <s v="02 Oct 2024"/>
    <s v="2024-10-06"/>
    <d v="2024-02-10T00:00:00"/>
    <d v="2024-06-10T00:00:00"/>
    <x v="6"/>
    <x v="0"/>
    <s v="Valid"/>
    <s v="Valid"/>
    <n v="121"/>
    <s v="CUST-6300"/>
    <s v="Rahul Verma"/>
    <s v="Rahul Verma"/>
    <s v="Home Office"/>
    <x v="3"/>
    <s v="South"/>
    <x v="2"/>
    <s v="Karnataka"/>
    <s v="Karnataka"/>
    <s v="Bengaluru"/>
    <s v="Bengaluru"/>
    <s v="Furniture"/>
    <x v="1"/>
    <s v="Bookcases"/>
    <x v="10"/>
    <s v="Eco Bookcases 144"/>
    <s v="Same Day"/>
    <x v="1"/>
    <n v="8"/>
    <n v="1558.77"/>
    <n v="0.25"/>
    <n v="0.25"/>
    <s v="Valid"/>
    <n v="9352.6200000000008"/>
    <n v="9352.619999999999"/>
    <n v="5269.41"/>
    <n v="4083.21"/>
    <n v="4083.2099999999991"/>
    <n v="-5269.41"/>
    <s v="Paid"/>
    <s v="Paid"/>
    <s v="Completed"/>
    <x v="0"/>
    <s v="Clean"/>
  </r>
  <r>
    <s v="ORD-2025-10793"/>
    <n v="5"/>
    <s v="Unique"/>
    <s v="2025-06-04"/>
    <s v="08 Jun 2025"/>
    <d v="2025-04-06T00:00:00"/>
    <d v="2025-08-06T00:00:00"/>
    <x v="5"/>
    <x v="1"/>
    <s v="Valid"/>
    <s v="Valid"/>
    <n v="122"/>
    <s v="CUST-1417"/>
    <s v="Arjun Bose"/>
    <s v="Arjun Bose"/>
    <s v="Small Business"/>
    <x v="1"/>
    <s v="East"/>
    <x v="1"/>
    <s v="Assam"/>
    <s v="Assam"/>
    <s v="Guwahati"/>
    <s v="Guwahati"/>
    <s v="Furniture"/>
    <x v="1"/>
    <s v="Furnishings"/>
    <x v="3"/>
    <s v="Elite Furnishings 852"/>
    <s v="Second Class"/>
    <x v="0"/>
    <n v="1"/>
    <n v="3501.12"/>
    <n v="0.2"/>
    <n v="0.2"/>
    <s v="Valid"/>
    <n v="2800.9"/>
    <n v="2800.8960000000002"/>
    <n v="1735.98"/>
    <n v="1064.92"/>
    <n v="1064.9160000000002"/>
    <n v="-1735.98"/>
    <s v="Paid"/>
    <s v="Paid"/>
    <s v="Returned"/>
    <x v="2"/>
    <s v="Clean"/>
  </r>
  <r>
    <s v="ORD-2024-10794"/>
    <n v="2"/>
    <s v="Unique"/>
    <s v="28-05-2024"/>
    <s v="03 Jun 2024"/>
    <d v="2024-05-28T00:00:00"/>
    <d v="2024-03-06T00:00:00"/>
    <x v="4"/>
    <x v="0"/>
    <s v="Valid"/>
    <s v="Valid"/>
    <n v="-83"/>
    <s v="CUST-5421"/>
    <s v="Vikram Iyer"/>
    <s v="Vikram Iyer"/>
    <s v="Corporate"/>
    <x v="2"/>
    <s v="North"/>
    <x v="0"/>
    <s v="Rajasthan"/>
    <s v="Rajasthan"/>
    <s v="Jaipur"/>
    <s v="Jaipur"/>
    <s v="Technology"/>
    <x v="2"/>
    <s v="Copiers"/>
    <x v="6"/>
    <s v="Basic Copiers 238"/>
    <s v="Second Class"/>
    <x v="0"/>
    <n v="5"/>
    <n v="4302.32"/>
    <n v="0"/>
    <n v="0"/>
    <s v="Valid"/>
    <n v="21511.599999999999"/>
    <n v="21511.599999999999"/>
    <n v="15408.47"/>
    <n v="6103.13"/>
    <n v="6103.1299999999992"/>
    <n v="-15408.47"/>
    <s v="Paid"/>
    <s v="Paid"/>
    <s v="Completed"/>
    <x v="0"/>
    <s v="Clean"/>
  </r>
  <r>
    <s v="ORD-2025-10795"/>
    <n v="4"/>
    <s v="Unique"/>
    <s v="2025-06-22"/>
    <s v="2025-06-24"/>
    <d v="2025-06-22T00:00:00"/>
    <d v="2025-06-24T00:00:00"/>
    <x v="2"/>
    <x v="1"/>
    <s v="Valid"/>
    <s v="Valid"/>
    <n v="2"/>
    <s v="CUST-2829"/>
    <s v="Sneha Kapoor"/>
    <s v="Sneha Kapoor"/>
    <s v="Corporate"/>
    <x v="2"/>
    <s v="East"/>
    <x v="1"/>
    <s v="Assam"/>
    <s v="Assam"/>
    <s v="Guwahati"/>
    <s v="Guwahati"/>
    <s v="Office Supplies"/>
    <x v="0"/>
    <s v="Paper"/>
    <x v="0"/>
    <s v="Elite Paper 847"/>
    <s v="Standard Class"/>
    <x v="3"/>
    <n v="9"/>
    <n v="951.55"/>
    <n v="0.15"/>
    <n v="0.15"/>
    <s v="Valid"/>
    <n v="7279.36"/>
    <n v="7279.3574999999992"/>
    <n v="4870.3900000000003"/>
    <n v="2408.9699999999998"/>
    <n v="2408.9674999999988"/>
    <n v="-4870.3900000000003"/>
    <s v="Paid"/>
    <s v="Paid"/>
    <s v="Completed"/>
    <x v="0"/>
    <s v="Clean"/>
  </r>
  <r>
    <s v="ORD-2024-10796"/>
    <n v="2"/>
    <s v="Unique"/>
    <s v="30-07-2024"/>
    <s v="2024-07-30"/>
    <d v="2024-07-30T00:00:00"/>
    <d v="2024-07-30T00:00:00"/>
    <x v="0"/>
    <x v="0"/>
    <s v="Valid"/>
    <s v="Valid"/>
    <n v="0"/>
    <s v="CUST-6529"/>
    <s v="Diya Patel"/>
    <s v="Diya Patel"/>
    <s v="Home Office"/>
    <x v="3"/>
    <s v="East"/>
    <x v="1"/>
    <s v="Odisha"/>
    <s v="Odisha"/>
    <s v="Bhubaneswar"/>
    <s v="Bhubaneswar"/>
    <s v="Technology"/>
    <x v="2"/>
    <s v="Copiers"/>
    <x v="6"/>
    <s v="Pro Copiers 653"/>
    <s v="Same Day"/>
    <x v="1"/>
    <n v="9"/>
    <n v="2894.66"/>
    <n v="0"/>
    <n v="0"/>
    <s v="Valid"/>
    <n v="26051.94"/>
    <n v="26051.94"/>
    <n v="16883.59"/>
    <n v="9168.35"/>
    <n v="9168.3499999999985"/>
    <n v="-16883.59"/>
    <s v="Refunded"/>
    <s v="Refunded"/>
    <s v="Cancelled"/>
    <x v="1"/>
    <s v="Clean"/>
  </r>
  <r>
    <s v="ORD-2024-10797"/>
    <n v="2"/>
    <s v="Unique"/>
    <s v="03/23/2024"/>
    <s v="30-03-2024"/>
    <d v="2024-03-23T00:00:00"/>
    <d v="2024-03-30T00:00:00"/>
    <x v="11"/>
    <x v="0"/>
    <s v="Valid"/>
    <s v="Valid"/>
    <n v="7"/>
    <s v="CUST-3126"/>
    <s v="Rohan Mehta"/>
    <s v="Rohan Mehta"/>
    <s v="Small Business"/>
    <x v="1"/>
    <s v="South"/>
    <x v="2"/>
    <s v="Andhra Pradesh"/>
    <s v="Andhra Pradesh"/>
    <s v="Vijayawada"/>
    <s v="Vijayawada"/>
    <s v="Technology"/>
    <x v="2"/>
    <s v="Machines"/>
    <x v="12"/>
    <s v="Elite Machines 459"/>
    <s v="First Class"/>
    <x v="2"/>
    <n v="6"/>
    <n v="1894.44"/>
    <n v="0.15"/>
    <n v="0.15"/>
    <s v="Valid"/>
    <n v="9661.64"/>
    <n v="9661.6439999999984"/>
    <n v="6303.77"/>
    <n v="3357.87"/>
    <n v="3357.873999999998"/>
    <n v="-6303.77"/>
    <s v="Paid"/>
    <s v="Paid"/>
    <s v="Completed"/>
    <x v="0"/>
    <s v="Clean"/>
  </r>
  <r>
    <s v="ORD-2024-10798"/>
    <n v="1"/>
    <s v="Unique"/>
    <s v="18 Apr 2024"/>
    <s v="22-04-2024"/>
    <d v="2024-04-18T00:00:00"/>
    <d v="2024-04-22T00:00:00"/>
    <x v="5"/>
    <x v="0"/>
    <s v="Valid"/>
    <s v="Valid"/>
    <n v="4"/>
    <s v="CUST-3991"/>
    <s v="Aarav Sharma"/>
    <s v="Aarav Sharma"/>
    <s v="Consumer"/>
    <x v="0"/>
    <s v="East"/>
    <x v="1"/>
    <s v="Odisha"/>
    <s v="Odisha"/>
    <s v="Bhubaneswar"/>
    <s v="Bhubaneswar"/>
    <s v="Office Supplies"/>
    <x v="0"/>
    <s v="Binders"/>
    <x v="9"/>
    <s v="Elite Binders 764"/>
    <s v="First Class"/>
    <x v="2"/>
    <n v="8"/>
    <n v="1714.37"/>
    <n v="0"/>
    <n v="0"/>
    <s v="Valid"/>
    <n v="13714.96"/>
    <n v="13714.96"/>
    <n v="10550.47"/>
    <n v="3164.49"/>
    <n v="3164.49"/>
    <n v="-10550.47"/>
    <s v="Failed"/>
    <s v="Failed"/>
    <s v="Cancelled"/>
    <x v="1"/>
    <s v="Clean"/>
  </r>
  <r>
    <s v="ORD-2025-10799"/>
    <n v="1"/>
    <s v="Unique"/>
    <s v="2025-07-11"/>
    <s v="09-07-2025"/>
    <d v="2025-11-07T00:00:00"/>
    <d v="2025-09-07T00:00:00"/>
    <x v="3"/>
    <x v="1"/>
    <s v="Valid"/>
    <s v="Valid"/>
    <n v="-61"/>
    <s v="CUST-7553"/>
    <s v="Aditi Sen"/>
    <s v="Aditi Sen"/>
    <s v="Corporate"/>
    <x v="2"/>
    <s v="North"/>
    <x v="0"/>
    <s v="Delhi"/>
    <s v="Delhi"/>
    <s v="New Delhi"/>
    <s v="New Delhi"/>
    <s v="Furniture"/>
    <x v="1"/>
    <s v="Furnishings"/>
    <x v="3"/>
    <s v="Classic Furnishings 348"/>
    <s v="Standard Class"/>
    <x v="3"/>
    <n v="9"/>
    <n v="1706.05"/>
    <n v="0"/>
    <n v="0"/>
    <s v="Valid"/>
    <n v="15354.45"/>
    <n v="15354.449999999999"/>
    <n v="9656.5"/>
    <n v="5697.95"/>
    <n v="5697.9499999999989"/>
    <n v="-9656.5"/>
    <s v="Paid"/>
    <s v="Paid"/>
    <s v="Completed"/>
    <x v="0"/>
    <s v="Clean"/>
  </r>
  <r>
    <s v="ORD-2024-10800"/>
    <n v="2"/>
    <s v="Unique"/>
    <s v="10 Oct 2024"/>
    <s v="2024-10-17"/>
    <d v="2024-10-10T00:00:00"/>
    <d v="2024-10-17T00:00:00"/>
    <x v="10"/>
    <x v="0"/>
    <s v="Valid"/>
    <s v="Valid"/>
    <n v="7"/>
    <s v="CUST-8527"/>
    <s v="Isha Nair"/>
    <s v="Isha Nair"/>
    <s v="Home Office"/>
    <x v="3"/>
    <s v="North"/>
    <x v="0"/>
    <s v="Haryana"/>
    <s v="Haryana"/>
    <s v="Gurugram"/>
    <s v="Gurugram"/>
    <s v="Technology"/>
    <x v="2"/>
    <s v="Accessories"/>
    <x v="5"/>
    <s v="Smart Accessories 487"/>
    <s v="Unknown"/>
    <x v="4"/>
    <n v="5"/>
    <n v="967.41"/>
    <n v="0.05"/>
    <n v="0.05"/>
    <s v="Valid"/>
    <n v="4595.2"/>
    <n v="4595.1975000000002"/>
    <n v="3887.41"/>
    <n v="707.79"/>
    <n v="707.78750000000036"/>
    <n v="-3887.41"/>
    <s v="Paid"/>
    <s v="Paid"/>
    <s v="Returned"/>
    <x v="2"/>
    <s v="Clean"/>
  </r>
  <r>
    <s v="ORD-2024-10801"/>
    <n v="2"/>
    <s v="Unique"/>
    <s v="01 Mar 2024"/>
    <s v="2024-03-07"/>
    <d v="2024-01-03T00:00:00"/>
    <d v="2024-07-03T00:00:00"/>
    <x v="8"/>
    <x v="0"/>
    <s v="Valid"/>
    <s v="Valid"/>
    <n v="182"/>
    <s v="CUST-5015"/>
    <s v="Vikram Iyer"/>
    <s v="Vikram Iyer"/>
    <s v="Small Business"/>
    <x v="1"/>
    <s v="West"/>
    <x v="3"/>
    <s v="Maharashtra"/>
    <s v="Maharashtra"/>
    <s v="Mumbai"/>
    <s v="Mumbai"/>
    <s v="Office Supplies"/>
    <x v="0"/>
    <s v="Storage"/>
    <x v="8"/>
    <s v="Elite Storage 825"/>
    <s v="Second Class"/>
    <x v="0"/>
    <n v="6"/>
    <n v="4163.72"/>
    <n v="0.15"/>
    <n v="0.15"/>
    <s v="Valid"/>
    <n v="21234.97"/>
    <n v="21234.971999999998"/>
    <n v="16736.09"/>
    <n v="4498.88"/>
    <n v="4498.8819999999978"/>
    <n v="-16736.09"/>
    <s v="Paid"/>
    <s v="Paid"/>
    <s v="Completed"/>
    <x v="0"/>
    <s v="Clean"/>
  </r>
  <r>
    <s v="ORD-2025-10802"/>
    <n v="3"/>
    <s v="Unique"/>
    <s v="2025-10-08"/>
    <s v="15 Oct 2025"/>
    <d v="2025-08-10T00:00:00"/>
    <d v="2025-10-15T00:00:00"/>
    <x v="1"/>
    <x v="1"/>
    <s v="Valid"/>
    <s v="Valid"/>
    <n v="66"/>
    <s v="CUST-3344"/>
    <s v="Aarav Sharma"/>
    <s v="Aarav Sharma"/>
    <s v="Home Office"/>
    <x v="3"/>
    <s v="East"/>
    <x v="1"/>
    <s v="Odisha"/>
    <s v="Odisha"/>
    <s v="Bhubaneswar"/>
    <s v="Bhubaneswar"/>
    <s v="Technology"/>
    <x v="2"/>
    <s v="Accessories"/>
    <x v="5"/>
    <s v="Pro Accessories 500"/>
    <s v="Second Class"/>
    <x v="0"/>
    <n v="3"/>
    <n v="3372.21"/>
    <n v="0.2"/>
    <n v="0.2"/>
    <s v="Valid"/>
    <n v="8093.3"/>
    <n v="8093.304000000001"/>
    <n v="6052.43"/>
    <n v="2040.87"/>
    <n v="2040.8740000000007"/>
    <n v="-6052.43"/>
    <s v="Pending"/>
    <s v="Pending"/>
    <s v="Cancelled"/>
    <x v="1"/>
    <s v="Clean"/>
  </r>
  <r>
    <s v="ORD-2025-10803"/>
    <n v="2"/>
    <s v="Unique"/>
    <s v="16 Feb 2025"/>
    <s v="2025-02-16"/>
    <d v="2025-02-16T00:00:00"/>
    <d v="2025-02-16T00:00:00"/>
    <x v="6"/>
    <x v="1"/>
    <s v="Valid"/>
    <s v="Valid"/>
    <n v="0"/>
    <s v="CUST-5866"/>
    <s v="Rohan Mehta"/>
    <s v="Rohan Mehta"/>
    <s v="Small Business"/>
    <x v="1"/>
    <s v="East"/>
    <x v="1"/>
    <s v="Assam"/>
    <s v="Assam"/>
    <s v="Guwahati"/>
    <s v="Guwahati"/>
    <s v="Furniture"/>
    <x v="1"/>
    <s v="Furnishings"/>
    <x v="3"/>
    <s v="Pro Furnishings 909"/>
    <s v="Second Class"/>
    <x v="0"/>
    <n v="6"/>
    <n v="1441.91"/>
    <n v="0"/>
    <n v="0"/>
    <s v="Valid"/>
    <n v="8651.4599999999991"/>
    <n v="8651.4600000000009"/>
    <n v="5254.62"/>
    <n v="3396.84"/>
    <n v="3396.8400000000011"/>
    <n v="-5254.62"/>
    <s v="Failed"/>
    <s v="Failed"/>
    <s v="Returned"/>
    <x v="2"/>
    <s v="Clean"/>
  </r>
  <r>
    <s v="ORD-2024-10804"/>
    <n v="2"/>
    <s v="Unique"/>
    <s v="09 Dec 2024"/>
    <s v="13 Dec 2024"/>
    <d v="2024-09-12T00:00:00"/>
    <d v="2024-12-13T00:00:00"/>
    <x v="9"/>
    <x v="0"/>
    <s v="Valid"/>
    <s v="Valid"/>
    <n v="92"/>
    <s v="CUST-7180"/>
    <s v="Rohan Mehta"/>
    <s v="Rohan Mehta"/>
    <s v="Consumer"/>
    <x v="0"/>
    <s v="Unknown"/>
    <x v="4"/>
    <s v="Jharkhand"/>
    <s v="Jharkhand"/>
    <s v="Ranchi"/>
    <s v="Ranchi"/>
    <s v="Office Supplies"/>
    <x v="0"/>
    <s v="Labels"/>
    <x v="7"/>
    <s v="Basic Labels 359"/>
    <s v="First Class"/>
    <x v="2"/>
    <n v="1"/>
    <n v="4306.6499999999996"/>
    <n v="0"/>
    <n v="0"/>
    <s v="Valid"/>
    <n v="4306.6499999999996"/>
    <n v="4306.6499999999996"/>
    <n v="2568.8200000000002"/>
    <n v="1737.83"/>
    <n v="1737.8299999999995"/>
    <n v="-2568.8200000000002"/>
    <s v="Paid"/>
    <s v="Paid"/>
    <s v="Completed"/>
    <x v="0"/>
    <s v="Clean"/>
  </r>
  <r>
    <s v="ORD-2025-10805"/>
    <n v="1"/>
    <s v="Unique"/>
    <s v="10-09-2025"/>
    <s v="18-09-2025"/>
    <d v="2025-10-09T00:00:00"/>
    <d v="2025-09-18T00:00:00"/>
    <x v="10"/>
    <x v="1"/>
    <s v="Valid"/>
    <s v="Valid"/>
    <n v="-21"/>
    <s v="CUST-8745"/>
    <s v="Rahul Verma"/>
    <s v="Rahul Verma"/>
    <s v="Home Office"/>
    <x v="3"/>
    <s v="South"/>
    <x v="2"/>
    <s v="Telangana"/>
    <s v="Telangana"/>
    <s v="Hyderabad"/>
    <s v="Hyderabad"/>
    <s v="Furniture"/>
    <x v="1"/>
    <s v="Furnishings"/>
    <x v="3"/>
    <s v="Eco Furnishings 541"/>
    <s v="Standard Class"/>
    <x v="3"/>
    <n v="1"/>
    <n v="2050.62"/>
    <n v="0.05"/>
    <n v="0.05"/>
    <s v="Valid"/>
    <n v="1948.09"/>
    <n v="1948.0889999999997"/>
    <n v="1507.08"/>
    <n v="441.01"/>
    <n v="441.00899999999979"/>
    <n v="-1507.08"/>
    <s v="Paid"/>
    <s v="Paid"/>
    <s v="Completed"/>
    <x v="0"/>
    <s v="Clean"/>
  </r>
  <r>
    <s v="ORD-2025-10806"/>
    <n v="4"/>
    <s v="Unique"/>
    <s v="2025-04-06"/>
    <s v="07-04-2025"/>
    <d v="2025-06-04T00:00:00"/>
    <d v="2025-07-04T00:00:00"/>
    <x v="2"/>
    <x v="1"/>
    <s v="Valid"/>
    <s v="Valid"/>
    <n v="30"/>
    <s v="CUST-2098"/>
    <s v="Priya Menon"/>
    <s v="Priya Menon"/>
    <s v="Home Office"/>
    <x v="3"/>
    <s v="East"/>
    <x v="1"/>
    <s v="Assam"/>
    <s v="Assam"/>
    <s v="Guwahati"/>
    <s v="Guwahati"/>
    <s v="Office Supplies"/>
    <x v="0"/>
    <s v="Binders"/>
    <x v="9"/>
    <s v="Classic Binders 103"/>
    <s v="Second Class"/>
    <x v="0"/>
    <n v="2"/>
    <n v="2030.06"/>
    <n v="0.25"/>
    <n v="0.25"/>
    <s v="Valid"/>
    <n v="3045.09"/>
    <n v="3045.09"/>
    <n v="2601.09"/>
    <n v="444"/>
    <n v="444"/>
    <n v="-2601.09"/>
    <s v="Paid"/>
    <s v="Paid"/>
    <s v="Completed"/>
    <x v="0"/>
    <s v="Clean"/>
  </r>
  <r>
    <s v="ORD-2024-10807"/>
    <n v="3"/>
    <s v="Unique"/>
    <s v="09-11-2024"/>
    <s v="15 Nov 2024"/>
    <d v="2024-09-11T00:00:00"/>
    <d v="2024-11-15T00:00:00"/>
    <x v="9"/>
    <x v="0"/>
    <s v="Valid"/>
    <s v="Valid"/>
    <n v="65"/>
    <s v="CUST-3704"/>
    <s v="Isha Nair"/>
    <s v="Isha Nair"/>
    <s v="Home Office"/>
    <x v="3"/>
    <s v="North"/>
    <x v="0"/>
    <s v="Rajasthan"/>
    <s v="Rajasthan"/>
    <s v="Jaipur"/>
    <s v="Jaipur"/>
    <s v="Technology"/>
    <x v="2"/>
    <s v="Copiers"/>
    <x v="6"/>
    <s v="Max Copiers 560"/>
    <s v="Standard Class"/>
    <x v="3"/>
    <n v="1"/>
    <n v="3665.97"/>
    <n v="0.2"/>
    <n v="0.2"/>
    <s v="Valid"/>
    <n v="2932.78"/>
    <n v="2932.7759999999998"/>
    <n v="1900.35"/>
    <n v="1032.43"/>
    <n v="1032.4259999999999"/>
    <n v="-1900.35"/>
    <s v="Failed"/>
    <s v="Failed"/>
    <s v="Cancelled"/>
    <x v="1"/>
    <s v="Clean"/>
  </r>
  <r>
    <s v="ORD-2025-10808"/>
    <n v="3"/>
    <s v="Unique"/>
    <s v="07 Feb 2025"/>
    <s v="2025-02-08"/>
    <d v="2025-07-02T00:00:00"/>
    <d v="2025-08-02T00:00:00"/>
    <x v="0"/>
    <x v="1"/>
    <s v="Valid"/>
    <s v="Valid"/>
    <n v="31"/>
    <s v="CUST-5884"/>
    <s v="Karan Malhotra"/>
    <s v="Karan Malhotra"/>
    <s v="Small Business"/>
    <x v="1"/>
    <s v="South"/>
    <x v="2"/>
    <s v="Telangana"/>
    <s v="Telangana"/>
    <s v="Hyderabad"/>
    <s v="Hyderabad"/>
    <s v="Office Supplies"/>
    <x v="0"/>
    <s v="Labels"/>
    <x v="7"/>
    <s v="Smart Labels 436"/>
    <s v="Standard Class"/>
    <x v="3"/>
    <n v="2"/>
    <n v="2432.98"/>
    <n v="0.1"/>
    <n v="0.1"/>
    <s v="Valid"/>
    <n v="4379.3599999999997"/>
    <n v="4379.3640000000005"/>
    <n v="3723.93"/>
    <n v="655.43"/>
    <n v="655.43400000000065"/>
    <n v="-3723.93"/>
    <s v="Paid"/>
    <s v="Paid"/>
    <s v="Completed"/>
    <x v="0"/>
    <s v="Clean"/>
  </r>
  <r>
    <s v="ORD-2025-10809"/>
    <n v="1"/>
    <s v="Unique"/>
    <s v="2025-08-31"/>
    <s v="2025-08-28"/>
    <d v="2025-08-31T00:00:00"/>
    <d v="2025-08-28T00:00:00"/>
    <x v="1"/>
    <x v="1"/>
    <s v="Valid"/>
    <s v="Valid"/>
    <n v="-3"/>
    <s v="CUST-7503"/>
    <s v="Aarav Sharma"/>
    <s v="Aarav Sharma"/>
    <s v="Small Business"/>
    <x v="1"/>
    <s v="South"/>
    <x v="2"/>
    <s v="Tamil Nadu"/>
    <s v="Tamil Nadu"/>
    <s v="Chennai"/>
    <s v="Chennai"/>
    <s v="Furniture"/>
    <x v="1"/>
    <s v="Furnishings"/>
    <x v="3"/>
    <s v="Pro Furnishings 386"/>
    <s v="First Class"/>
    <x v="2"/>
    <n v="7"/>
    <n v="977.28"/>
    <n v="0.2"/>
    <n v="0.2"/>
    <s v="Valid"/>
    <n v="5472.77"/>
    <n v="5472.768"/>
    <n v="4477.33"/>
    <n v="995.44"/>
    <n v="995.4380000000001"/>
    <n v="-4477.33"/>
    <s v="Paid"/>
    <s v="Paid"/>
    <s v="Completed"/>
    <x v="0"/>
    <s v="Clean"/>
  </r>
  <r>
    <s v="ORD-2025-10810"/>
    <n v="3"/>
    <s v="Unique"/>
    <s v="25 Jun 2025"/>
    <s v="25 Jun 2025"/>
    <d v="2025-06-25T00:00:00"/>
    <d v="2025-06-25T00:00:00"/>
    <x v="2"/>
    <x v="1"/>
    <s v="Valid"/>
    <s v="Valid"/>
    <n v="0"/>
    <s v="CUST-6973"/>
    <s v="Arjun Bose"/>
    <s v="Arjun Bose"/>
    <s v="Small Business"/>
    <x v="1"/>
    <s v="Unknown"/>
    <x v="4"/>
    <s v="Punjab"/>
    <s v="Punjab"/>
    <s v="Ludhiana"/>
    <s v="Ludhiana"/>
    <s v="Office Supplies"/>
    <x v="0"/>
    <s v="Binders"/>
    <x v="9"/>
    <s v="Eco Binders 601"/>
    <s v="Second Class"/>
    <x v="0"/>
    <n v="6"/>
    <n v="1366.13"/>
    <n v="0.1"/>
    <n v="0.1"/>
    <s v="Valid"/>
    <n v="7377.1"/>
    <n v="7377.1020000000008"/>
    <n v="5085.21"/>
    <n v="2291.89"/>
    <n v="2291.8920000000007"/>
    <n v="-5085.21"/>
    <s v="Paid"/>
    <s v="Paid"/>
    <s v="Completed"/>
    <x v="0"/>
    <s v="Clean"/>
  </r>
  <r>
    <s v="ORD-2024-10811"/>
    <n v="4"/>
    <s v="Unique"/>
    <s v="04/03/2024"/>
    <s v="08-04-2024"/>
    <d v="2024-04-03T00:00:00"/>
    <d v="2024-08-04T00:00:00"/>
    <x v="5"/>
    <x v="0"/>
    <s v="Valid"/>
    <s v="Valid"/>
    <n v="123"/>
    <s v="CUST-4653"/>
    <s v="Kabir Singh"/>
    <s v="Kabir Singh"/>
    <s v="Home Office"/>
    <x v="3"/>
    <s v="West"/>
    <x v="3"/>
    <s v="Gujarat"/>
    <s v="Gujarat"/>
    <s v="Ahmedabad"/>
    <s v="Ahmedabad"/>
    <s v="Technology"/>
    <x v="2"/>
    <s v="Copiers"/>
    <x v="6"/>
    <s v="Pro Copiers 867"/>
    <s v="First Class"/>
    <x v="2"/>
    <n v="1"/>
    <n v="3151.85"/>
    <n v="0.25"/>
    <n v="0.25"/>
    <s v="Valid"/>
    <n v="2363.89"/>
    <n v="2363.8874999999998"/>
    <n v="1471.51"/>
    <n v="892.38"/>
    <n v="892.37749999999983"/>
    <n v="-1471.51"/>
    <s v="Paid"/>
    <s v="Paid"/>
    <s v="Completed"/>
    <x v="0"/>
    <s v="Clean"/>
  </r>
  <r>
    <s v="ORD-2024-10812"/>
    <n v="1"/>
    <s v="Unique"/>
    <s v="12 Dec 2024"/>
    <s v="19 Dec 2024"/>
    <d v="2024-12-12T00:00:00"/>
    <d v="2024-12-19T00:00:00"/>
    <x v="7"/>
    <x v="0"/>
    <s v="Valid"/>
    <s v="Valid"/>
    <n v="7"/>
    <s v="CUST-3303"/>
    <s v="Rohan Mehta"/>
    <s v="Rohan Mehta"/>
    <s v="Home Office"/>
    <x v="3"/>
    <s v="North"/>
    <x v="0"/>
    <s v="Haryana"/>
    <s v="Haryana"/>
    <s v="Gurugram"/>
    <s v="Gurugram"/>
    <s v="Technology"/>
    <x v="2"/>
    <s v="Accessories"/>
    <x v="5"/>
    <s v="Eco Accessories 122"/>
    <s v="First Class"/>
    <x v="2"/>
    <n v="2"/>
    <n v="1610.75"/>
    <n v="0.2"/>
    <n v="0.2"/>
    <s v="Valid"/>
    <n v="2577.1999999999998"/>
    <n v="2577.2000000000003"/>
    <n v="1475.87"/>
    <n v="1101.33"/>
    <n v="1101.3300000000004"/>
    <n v="-1475.87"/>
    <s v="Paid"/>
    <s v="Paid"/>
    <s v="Completed"/>
    <x v="0"/>
    <s v="Clean"/>
  </r>
  <r>
    <s v="ORD-2024-10813"/>
    <n v="2"/>
    <s v="Unique"/>
    <s v="2024-06-15"/>
    <s v="20-06-2024"/>
    <d v="2024-06-15T00:00:00"/>
    <d v="2024-06-20T00:00:00"/>
    <x v="2"/>
    <x v="0"/>
    <s v="Valid"/>
    <s v="Valid"/>
    <n v="5"/>
    <s v="CUST-5754"/>
    <s v="Sneha Kapoor"/>
    <s v="Sneha Kapoor"/>
    <s v="Small Business"/>
    <x v="1"/>
    <s v="East"/>
    <x v="1"/>
    <s v="Jharkhand"/>
    <s v="Jharkhand"/>
    <s v="Ranchi"/>
    <s v="Ranchi"/>
    <s v="Furniture"/>
    <x v="1"/>
    <s v="Tables"/>
    <x v="1"/>
    <s v="Basic Tables 127"/>
    <s v="First Class"/>
    <x v="2"/>
    <n v="8"/>
    <n v="2228.4699999999998"/>
    <n v="0"/>
    <n v="0"/>
    <s v="Valid"/>
    <n v="17827.759999999998"/>
    <n v="17827.759999999998"/>
    <n v="14122.13"/>
    <n v="3705.63"/>
    <n v="3705.6299999999992"/>
    <n v="-14122.13"/>
    <s v="Paid"/>
    <s v="Paid"/>
    <s v="Completed"/>
    <x v="0"/>
    <s v="Clean"/>
  </r>
  <r>
    <s v="ORD-2025-10814"/>
    <n v="6"/>
    <s v="Unique"/>
    <s v="04/06/2025"/>
    <s v="10 Apr 2025"/>
    <d v="2025-04-06T00:00:00"/>
    <d v="2025-10-04T00:00:00"/>
    <x v="5"/>
    <x v="1"/>
    <s v="Valid"/>
    <s v="Valid"/>
    <n v="181"/>
    <s v="CUST-7848"/>
    <s v="Rohan Mehta"/>
    <s v="Rohan Mehta"/>
    <s v="Consumer"/>
    <x v="0"/>
    <s v="East"/>
    <x v="1"/>
    <s v="Odisha"/>
    <s v="Odisha"/>
    <s v="Bhubaneswar"/>
    <s v="Bhubaneswar"/>
    <s v="Furniture"/>
    <x v="1"/>
    <s v="Bookcases"/>
    <x v="10"/>
    <s v="Elite Bookcases 988"/>
    <s v="Standard Class"/>
    <x v="3"/>
    <n v="2"/>
    <n v="1337.67"/>
    <n v="0"/>
    <n v="0"/>
    <s v="Valid"/>
    <n v="2675.34"/>
    <n v="2675.34"/>
    <n v="1595.87"/>
    <n v="1079.47"/>
    <n v="1079.4700000000003"/>
    <n v="-1595.87"/>
    <s v="Paid"/>
    <s v="Paid"/>
    <s v="Completed"/>
    <x v="0"/>
    <s v="Clean"/>
  </r>
  <r>
    <s v="ORD-2025-10815"/>
    <n v="3"/>
    <s v="Unique"/>
    <s v="06 Aug 2025"/>
    <s v="2025-08-11"/>
    <d v="2025-06-08T00:00:00"/>
    <d v="2025-11-08T00:00:00"/>
    <x v="2"/>
    <x v="1"/>
    <s v="Valid"/>
    <s v="Valid"/>
    <n v="153"/>
    <s v="CUST-9048"/>
    <s v="Arjun Bose"/>
    <s v="Arjun Bose"/>
    <s v="Consumer"/>
    <x v="0"/>
    <s v="West"/>
    <x v="3"/>
    <s v="Madhya Pradesh"/>
    <s v="Madhya Pradesh"/>
    <s v="Indore"/>
    <s v="Indore"/>
    <s v="Office Supplies"/>
    <x v="0"/>
    <s v="Labels"/>
    <x v="7"/>
    <s v="Smart Labels 126"/>
    <s v="First Class"/>
    <x v="2"/>
    <n v="2"/>
    <n v="2375.94"/>
    <n v="0.25"/>
    <n v="0.25"/>
    <s v="Valid"/>
    <n v="3563.91"/>
    <n v="3563.91"/>
    <n v="2639.7"/>
    <n v="924.21"/>
    <n v="924.21"/>
    <n v="-2639.7"/>
    <s v="Paid"/>
    <s v="Paid"/>
    <s v="Completed"/>
    <x v="0"/>
    <s v="Clean"/>
  </r>
  <r>
    <s v="ORD-2024-10816"/>
    <n v="5"/>
    <s v="Unique"/>
    <s v="04/01/2024"/>
    <s v="2024-04-08"/>
    <d v="2024-04-01T00:00:00"/>
    <d v="2024-08-04T00:00:00"/>
    <x v="5"/>
    <x v="0"/>
    <s v="Valid"/>
    <s v="Valid"/>
    <n v="125"/>
    <s v="CUST-2951"/>
    <s v="Diya Patel"/>
    <s v="Diya Patel"/>
    <s v="Consumer"/>
    <x v="0"/>
    <s v="East"/>
    <x v="1"/>
    <s v="Odisha"/>
    <s v="Odisha"/>
    <s v="Bhubaneswar"/>
    <s v="Bhubaneswar"/>
    <s v="Technology"/>
    <x v="2"/>
    <s v="Machines"/>
    <x v="12"/>
    <s v="Max Machines 569"/>
    <s v="Standard Class"/>
    <x v="3"/>
    <n v="7"/>
    <n v="715.81"/>
    <n v="0.15"/>
    <n v="0.15"/>
    <s v="Valid"/>
    <n v="4259.07"/>
    <n v="4259.0694999999996"/>
    <n v="3130.32"/>
    <n v="1128.75"/>
    <n v="1128.7494999999994"/>
    <n v="-3130.32"/>
    <s v="Pending"/>
    <s v="Pending"/>
    <s v="Cancelled"/>
    <x v="1"/>
    <s v="Clean"/>
  </r>
  <r>
    <s v="ORD-2024-10817"/>
    <n v="1"/>
    <s v="Unique"/>
    <s v="11/27/2024"/>
    <s v="2024-11-30"/>
    <d v="2024-11-27T00:00:00"/>
    <d v="2024-11-30T00:00:00"/>
    <x v="3"/>
    <x v="0"/>
    <s v="Valid"/>
    <s v="Valid"/>
    <n v="3"/>
    <s v="CUST-3072"/>
    <s v="Rahul Verma"/>
    <s v="Rahul Verma"/>
    <s v="Small Business"/>
    <x v="1"/>
    <s v="East"/>
    <x v="1"/>
    <s v="Jharkhand"/>
    <s v="Jharkhand"/>
    <s v="Ranchi"/>
    <s v="Ranchi"/>
    <s v="Furniture"/>
    <x v="1"/>
    <s v="Furnishings"/>
    <x v="3"/>
    <s v="Basic Furnishings 306"/>
    <s v="First Class"/>
    <x v="2"/>
    <n v="1"/>
    <n v="874.3"/>
    <n v="0.1"/>
    <n v="0.1"/>
    <s v="Valid"/>
    <n v="786.87"/>
    <n v="786.87"/>
    <n v="498.5"/>
    <n v="288.37"/>
    <n v="288.37"/>
    <n v="-498.5"/>
    <s v="Paid"/>
    <s v="Paid"/>
    <s v="Completed"/>
    <x v="0"/>
    <s v="Clean"/>
  </r>
  <r>
    <s v="ORD-2025-10818"/>
    <n v="1"/>
    <s v="Unique"/>
    <s v="05 Apr 2025"/>
    <s v="04/05/2025"/>
    <d v="2025-05-04T00:00:00"/>
    <d v="2025-04-05T00:00:00"/>
    <x v="4"/>
    <x v="1"/>
    <s v="Valid"/>
    <s v="Valid"/>
    <n v="-29"/>
    <s v="CUST-2221"/>
    <s v="Sneha Kapoor"/>
    <s v="Sneha Kapoor"/>
    <s v="Consumer"/>
    <x v="0"/>
    <s v="East"/>
    <x v="1"/>
    <s v="Bihar"/>
    <s v="Bihar"/>
    <s v="Patna"/>
    <s v="Patna"/>
    <s v="Office Supplies"/>
    <x v="0"/>
    <s v="Binders"/>
    <x v="9"/>
    <s v="Classic Binders 873"/>
    <s v="Standard Class"/>
    <x v="3"/>
    <n v="6"/>
    <n v="1829.69"/>
    <n v="0.25"/>
    <n v="0.25"/>
    <s v="Valid"/>
    <n v="8233.6"/>
    <n v="8233.6049999999996"/>
    <n v="4713.79"/>
    <n v="3519.81"/>
    <n v="3519.8149999999996"/>
    <n v="-4713.79"/>
    <s v="Paid"/>
    <s v="Paid"/>
    <s v="Completed"/>
    <x v="0"/>
    <s v="Clean"/>
  </r>
  <r>
    <s v="ORD-2024-10819"/>
    <n v="1"/>
    <s v="Unique"/>
    <s v="29 Sep 2024"/>
    <s v="05-10-2024"/>
    <d v="2024-09-29T00:00:00"/>
    <d v="2024-05-10T00:00:00"/>
    <x v="9"/>
    <x v="0"/>
    <s v="Valid"/>
    <s v="Valid"/>
    <n v="-142"/>
    <s v="CUST-3943"/>
    <s v="Priya Menon"/>
    <s v="Priya Menon"/>
    <s v="Small Business"/>
    <x v="1"/>
    <s v="West"/>
    <x v="3"/>
    <s v="Maharashtra"/>
    <s v="Maharashtra"/>
    <s v="Mumbai"/>
    <s v="Mumbai"/>
    <s v="Office Supplies"/>
    <x v="0"/>
    <s v="Labels"/>
    <x v="7"/>
    <s v="Pro Labels 611"/>
    <s v="First Class"/>
    <x v="2"/>
    <n v="8"/>
    <n v="1981.04"/>
    <n v="-0.14000000000000001"/>
    <n v="-0.14000000000000001"/>
    <s v="Invalid - Negative Discount"/>
    <n v="12678.66"/>
    <n v="18067.084800000001"/>
    <n v="10088.65"/>
    <n v="2590.0100000000002"/>
    <n v="7978.4348000000009"/>
    <n v="-10088.65"/>
    <s v="Paid"/>
    <s v="Paid"/>
    <s v="Completed"/>
    <x v="0"/>
    <s v="Clean"/>
  </r>
  <r>
    <s v="ORD-2024-10820"/>
    <n v="2"/>
    <s v="Unique"/>
    <s v="07/31/2024"/>
    <s v="31-07-2024"/>
    <d v="2024-07-31T00:00:00"/>
    <d v="2024-07-31T00:00:00"/>
    <x v="0"/>
    <x v="0"/>
    <s v="Valid"/>
    <s v="Valid"/>
    <n v="0"/>
    <s v="CUST-7510"/>
    <s v="Karan Malhotra"/>
    <s v="Karan Malhotra"/>
    <s v="Home Office"/>
    <x v="3"/>
    <s v="South"/>
    <x v="2"/>
    <s v="Kerala"/>
    <s v="Kerala"/>
    <s v="Kochi"/>
    <s v="Kochi"/>
    <s v="Technology"/>
    <x v="2"/>
    <s v="Machines"/>
    <x v="12"/>
    <s v="Prime Machines 524"/>
    <s v="Standard Class"/>
    <x v="3"/>
    <n v="8"/>
    <n v="4246.01"/>
    <n v="0"/>
    <n v="0"/>
    <s v="Valid"/>
    <n v="33968.080000000002"/>
    <n v="33968.080000000002"/>
    <n v="26902.44"/>
    <n v="7065.64"/>
    <n v="7065.6400000000031"/>
    <n v="-26902.44"/>
    <s v="Failed"/>
    <s v="Failed"/>
    <s v="Cancelled"/>
    <x v="1"/>
    <s v="Clean"/>
  </r>
  <r>
    <s v="ORD-2025-10821"/>
    <n v="2"/>
    <s v="Unique"/>
    <s v="06-02-2025"/>
    <s v="10-02-2025"/>
    <d v="2025-06-02T00:00:00"/>
    <d v="2025-10-02T00:00:00"/>
    <x v="2"/>
    <x v="1"/>
    <s v="Valid"/>
    <s v="Valid"/>
    <n v="122"/>
    <s v="CUST-2041"/>
    <s v="Ananya Rao"/>
    <s v="Ananya Rao"/>
    <s v="Home Office"/>
    <x v="3"/>
    <s v="North"/>
    <x v="0"/>
    <s v="Uttar Pradesh"/>
    <s v="Uttar Pradesh"/>
    <s v="Noida"/>
    <s v="Noida"/>
    <s v="Furniture"/>
    <x v="1"/>
    <s v="Bookcases"/>
    <x v="10"/>
    <s v="Classic Bookcases 882"/>
    <s v="Standard Class"/>
    <x v="3"/>
    <n v="2"/>
    <n v="319.57"/>
    <n v="0.2"/>
    <n v="0.2"/>
    <s v="Valid"/>
    <n v="511.31"/>
    <n v="511.31200000000001"/>
    <n v="436.43"/>
    <n v="74.88"/>
    <n v="74.882000000000005"/>
    <n v="-436.43"/>
    <s v="Paid"/>
    <s v="Paid"/>
    <s v="Completed"/>
    <x v="0"/>
    <s v="Clean"/>
  </r>
  <r>
    <s v="ORD-2024-10822"/>
    <n v="2"/>
    <s v="Unique"/>
    <s v="2024-07-03"/>
    <s v="06-07-2024"/>
    <d v="2024-03-07T00:00:00"/>
    <d v="2024-06-07T00:00:00"/>
    <x v="11"/>
    <x v="0"/>
    <s v="Valid"/>
    <s v="Valid"/>
    <n v="92"/>
    <s v="CUST-4466"/>
    <s v="Aarav Sharma"/>
    <s v="Aarav Sharma"/>
    <s v="Corporate"/>
    <x v="2"/>
    <s v="South"/>
    <x v="2"/>
    <s v="Karnataka"/>
    <s v="Karnataka"/>
    <s v="Bengaluru"/>
    <s v="Bengaluru"/>
    <s v="Technology"/>
    <x v="2"/>
    <s v="Accessories"/>
    <x v="5"/>
    <s v="Classic Accessories 471"/>
    <s v="First Class"/>
    <x v="2"/>
    <n v="7"/>
    <n v="1942.49"/>
    <n v="0.2"/>
    <n v="0.2"/>
    <s v="Valid"/>
    <n v="10877.94"/>
    <n v="10877.944000000001"/>
    <n v="9110.14"/>
    <n v="1767.8"/>
    <n v="1767.8040000000019"/>
    <n v="-9110.14"/>
    <s v="Paid"/>
    <s v="Paid"/>
    <s v="Completed"/>
    <x v="0"/>
    <s v="Clean"/>
  </r>
  <r>
    <s v="ORD-2024-10823"/>
    <n v="1"/>
    <s v="Unique"/>
    <s v="10/12/2024"/>
    <s v="08 Oct 2024"/>
    <d v="2024-10-12T00:00:00"/>
    <d v="2024-08-10T00:00:00"/>
    <x v="10"/>
    <x v="0"/>
    <s v="Valid"/>
    <s v="Valid"/>
    <n v="-63"/>
    <s v="CUST-3188"/>
    <s v="Mira Das"/>
    <s v="Mira Das"/>
    <s v="Corporate"/>
    <x v="2"/>
    <s v="East"/>
    <x v="1"/>
    <s v="Assam"/>
    <s v="Assam"/>
    <s v="Guwahati"/>
    <s v="Guwahati"/>
    <s v="Furniture"/>
    <x v="1"/>
    <s v="Furnishings"/>
    <x v="3"/>
    <s v="Smart Furnishings 175"/>
    <s v="Second Class"/>
    <x v="0"/>
    <n v="4"/>
    <n v="3202.04"/>
    <n v="0.2"/>
    <n v="0.2"/>
    <s v="Valid"/>
    <n v="10246.530000000001"/>
    <n v="10246.528"/>
    <n v="8634.42"/>
    <n v="1612.11"/>
    <n v="1612.1080000000002"/>
    <n v="-8634.42"/>
    <s v="Pending"/>
    <s v="Pending"/>
    <s v="Returned"/>
    <x v="2"/>
    <s v="Clean"/>
  </r>
  <r>
    <s v="ORD-2025-10824"/>
    <n v="1"/>
    <s v="Unique"/>
    <s v="2025-01-06"/>
    <s v="12 Jan 2025"/>
    <d v="2025-06-01T00:00:00"/>
    <d v="2025-12-01T00:00:00"/>
    <x v="2"/>
    <x v="1"/>
    <s v="Valid"/>
    <s v="Valid"/>
    <n v="183"/>
    <s v="CUST-6638"/>
    <s v="Mira Das"/>
    <s v="Mira Das"/>
    <s v="Home Office"/>
    <x v="3"/>
    <s v="West"/>
    <x v="3"/>
    <s v="Goa"/>
    <s v="Goa"/>
    <s v="Panaji"/>
    <s v="Panaji"/>
    <s v="Office Supplies"/>
    <x v="0"/>
    <s v="Paper"/>
    <x v="0"/>
    <s v="Basic Paper 899"/>
    <s v="Same Day"/>
    <x v="1"/>
    <n v="3"/>
    <n v="668.33"/>
    <n v="0.15"/>
    <n v="0.15"/>
    <s v="Valid"/>
    <n v="1704.24"/>
    <n v="1704.2415000000001"/>
    <n v="957.55"/>
    <n v="746.69"/>
    <n v="746.69150000000013"/>
    <n v="-957.55"/>
    <s v="Paid"/>
    <s v="Paid"/>
    <s v="Completed"/>
    <x v="0"/>
    <s v="Clean"/>
  </r>
  <r>
    <s v="ORD-2025-10825"/>
    <n v="1"/>
    <s v="Unique"/>
    <s v="21-03-2025"/>
    <s v="22 Mar 2025"/>
    <d v="2025-03-21T00:00:00"/>
    <d v="2025-03-22T00:00:00"/>
    <x v="11"/>
    <x v="1"/>
    <s v="Valid"/>
    <s v="Valid"/>
    <n v="1"/>
    <s v="CUST-3540"/>
    <s v="Priya Menon"/>
    <s v="Priya Menon"/>
    <s v="Consumer"/>
    <x v="0"/>
    <s v="West"/>
    <x v="3"/>
    <s v="Goa"/>
    <s v="Goa"/>
    <s v="Panaji"/>
    <s v="Panaji"/>
    <s v="Office Supplies"/>
    <x v="0"/>
    <s v="Paper"/>
    <x v="0"/>
    <s v="Pro Paper 267"/>
    <s v="First Class"/>
    <x v="2"/>
    <n v="8"/>
    <n v="4436.74"/>
    <n v="0.05"/>
    <n v="0.05"/>
    <s v="Valid"/>
    <n v="33719.22"/>
    <n v="33719.223999999995"/>
    <n v="28924.43"/>
    <n v="4794.79"/>
    <n v="4794.7939999999944"/>
    <n v="-28924.43"/>
    <s v="Paid"/>
    <s v="Paid"/>
    <s v="Completed"/>
    <x v="0"/>
    <s v="Clean"/>
  </r>
  <r>
    <s v="ORD-2025-10826"/>
    <n v="1"/>
    <s v="Unique"/>
    <s v="16 Apr 2025"/>
    <s v="17-04-2025"/>
    <d v="2025-04-16T00:00:00"/>
    <d v="2025-04-17T00:00:00"/>
    <x v="5"/>
    <x v="1"/>
    <s v="Valid"/>
    <s v="Valid"/>
    <n v="1"/>
    <s v="CUST-3351"/>
    <s v="Vikram Iyer"/>
    <s v="Vikram Iyer"/>
    <s v="Small Business"/>
    <x v="1"/>
    <s v="North"/>
    <x v="0"/>
    <s v="Uttar Pradesh"/>
    <s v="Uttar Pradesh"/>
    <s v="Noida"/>
    <s v="Noida"/>
    <s v="Technology"/>
    <x v="2"/>
    <s v="Machines"/>
    <x v="12"/>
    <s v="Basic Machines 832"/>
    <s v="First Class"/>
    <x v="2"/>
    <n v="1"/>
    <n v="2720.17"/>
    <n v="0"/>
    <n v="0"/>
    <s v="Valid"/>
    <n v="2720.17"/>
    <n v="2720.17"/>
    <n v="1834.23"/>
    <n v="885.94"/>
    <n v="885.94"/>
    <n v="-1834.23"/>
    <s v="Paid"/>
    <s v="Paid"/>
    <s v="Completed"/>
    <x v="0"/>
    <s v="Clean"/>
  </r>
  <r>
    <s v="ORD-2025-10827"/>
    <n v="3"/>
    <s v="Unique"/>
    <s v="2025-08-10"/>
    <s v="14 Aug 2025"/>
    <d v="2025-10-08T00:00:00"/>
    <d v="2025-08-14T00:00:00"/>
    <x v="10"/>
    <x v="1"/>
    <s v="Valid"/>
    <s v="Valid"/>
    <n v="-55"/>
    <s v="CUST-4375"/>
    <s v="Aditi Sen"/>
    <s v="Aditi Sen"/>
    <s v="Consumer"/>
    <x v="0"/>
    <s v="West"/>
    <x v="3"/>
    <s v="Rajasthan"/>
    <s v="Rajasthan"/>
    <s v="Udaipur"/>
    <s v="Udaipur"/>
    <s v="Technology"/>
    <x v="2"/>
    <s v="Accessories"/>
    <x v="5"/>
    <s v="Elite Accessories 790"/>
    <s v="Standard Class"/>
    <x v="3"/>
    <n v="5"/>
    <n v="2190.14"/>
    <n v="0.25"/>
    <n v="0.25"/>
    <s v="Valid"/>
    <n v="8213.02"/>
    <n v="8213.0249999999996"/>
    <n v="5569.3"/>
    <n v="2643.72"/>
    <n v="2643.7249999999995"/>
    <n v="-5569.3"/>
    <s v="Paid"/>
    <s v="Paid"/>
    <s v="Completed"/>
    <x v="0"/>
    <s v="Clean"/>
  </r>
  <r>
    <s v="ORD-2024-10828"/>
    <n v="2"/>
    <s v="Unique"/>
    <s v="24 Nov 2024"/>
    <s v="01-12-2024"/>
    <d v="2024-11-24T00:00:00"/>
    <d v="2024-01-12T00:00:00"/>
    <x v="3"/>
    <x v="0"/>
    <s v="Valid"/>
    <s v="Valid"/>
    <n v="-317"/>
    <s v="CUST-5125"/>
    <s v="Priya Menon"/>
    <s v="Priya Menon"/>
    <s v="Home Office"/>
    <x v="3"/>
    <s v="South"/>
    <x v="2"/>
    <s v="Tamil Nadu"/>
    <s v="Tamil Nadu"/>
    <s v="Chennai"/>
    <s v="Chennai"/>
    <s v="Office Supplies"/>
    <x v="0"/>
    <s v="Paper"/>
    <x v="0"/>
    <s v="Basic Paper 707"/>
    <s v="Same Day"/>
    <x v="1"/>
    <n v="1"/>
    <n v="844.89"/>
    <n v="0.25"/>
    <n v="0.25"/>
    <s v="Valid"/>
    <n v="633.66999999999996"/>
    <n v="633.66750000000002"/>
    <n v="520.47"/>
    <n v="113.2"/>
    <n v="113.19749999999999"/>
    <n v="-520.47"/>
    <s v="Paid"/>
    <s v="Paid"/>
    <s v="Cancelled"/>
    <x v="1"/>
    <s v="Clean"/>
  </r>
  <r>
    <s v="ORD-2025-10829"/>
    <n v="2"/>
    <s v="Unique"/>
    <s v="10/10/2025"/>
    <s v="11-10-2025"/>
    <d v="2025-10-10T00:00:00"/>
    <d v="2025-11-10T00:00:00"/>
    <x v="10"/>
    <x v="1"/>
    <s v="Valid"/>
    <s v="Valid"/>
    <n v="31"/>
    <s v="CUST-6010"/>
    <s v="Karan Malhotra"/>
    <s v="Karan Malhotra"/>
    <s v="Corporate"/>
    <x v="2"/>
    <s v="East"/>
    <x v="1"/>
    <s v="Odisha"/>
    <s v="Odisha"/>
    <s v="Bhubaneswar"/>
    <s v="Bhubaneswar"/>
    <s v="Furniture"/>
    <x v="1"/>
    <s v="Chairs"/>
    <x v="4"/>
    <s v="Elite Chairs 979"/>
    <s v="Second Class"/>
    <x v="0"/>
    <n v="7"/>
    <n v="3791.96"/>
    <n v="0.05"/>
    <n v="0.05"/>
    <s v="Valid"/>
    <n v="25216.53"/>
    <n v="25216.534"/>
    <n v="14216.94"/>
    <n v="10999.59"/>
    <n v="10999.593999999999"/>
    <n v="-14216.94"/>
    <s v="Failed"/>
    <s v="Failed"/>
    <s v="Cancelled"/>
    <x v="1"/>
    <s v="Clean"/>
  </r>
  <r>
    <s v="ORD-2024-10830"/>
    <n v="1"/>
    <s v="Unique"/>
    <s v="02/26/2024"/>
    <s v="28-02-2024"/>
    <d v="2024-02-26T00:00:00"/>
    <d v="2024-02-28T00:00:00"/>
    <x v="6"/>
    <x v="0"/>
    <s v="Valid"/>
    <s v="Valid"/>
    <n v="2"/>
    <s v="CUST-9036"/>
    <s v="Aditi Sen"/>
    <s v="Aditi Sen"/>
    <s v="Small Business"/>
    <x v="1"/>
    <s v="West"/>
    <x v="3"/>
    <s v="Goa"/>
    <s v="Goa"/>
    <s v="Panaji"/>
    <s v="Panaji"/>
    <s v="Furniture"/>
    <x v="1"/>
    <s v="Furnishings"/>
    <x v="3"/>
    <s v="Pro Furnishings 192"/>
    <s v="Second Class"/>
    <x v="0"/>
    <n v="7"/>
    <n v="1035.1400000000001"/>
    <n v="0.1"/>
    <n v="0.1"/>
    <s v="Valid"/>
    <n v="6521.38"/>
    <n v="6521.3820000000005"/>
    <n v="4511.1000000000004"/>
    <n v="2010.28"/>
    <n v="2010.2820000000002"/>
    <n v="-4511.1000000000004"/>
    <s v="Paid"/>
    <s v="Paid"/>
    <s v="Completed"/>
    <x v="0"/>
    <s v="Clean"/>
  </r>
  <r>
    <s v="ORD-2025-10831"/>
    <n v="1"/>
    <s v="Unique"/>
    <s v="15 Jul 2025"/>
    <s v="18-07-2025"/>
    <d v="2025-07-15T00:00:00"/>
    <d v="2025-07-18T00:00:00"/>
    <x v="0"/>
    <x v="1"/>
    <s v="Valid"/>
    <s v="Valid"/>
    <n v="3"/>
    <s v="CUST-7929"/>
    <s v="Aditi Sen"/>
    <s v="Aditi Sen"/>
    <s v="Small Business"/>
    <x v="1"/>
    <s v="Unknown"/>
    <x v="4"/>
    <s v="Tamil Nadu"/>
    <s v="Tamil Nadu"/>
    <s v="Chennai"/>
    <s v="Chennai"/>
    <s v="Technology"/>
    <x v="2"/>
    <s v="Machines"/>
    <x v="12"/>
    <s v="Smart Machines 951"/>
    <s v="First Class"/>
    <x v="2"/>
    <n v="6"/>
    <n v="2382.88"/>
    <n v="0.1"/>
    <n v="0.1"/>
    <s v="Valid"/>
    <n v="12867.55"/>
    <n v="12867.552000000001"/>
    <n v="10068.94"/>
    <n v="2798.61"/>
    <n v="2798.612000000001"/>
    <n v="-10068.94"/>
    <s v="Paid"/>
    <s v="Paid"/>
    <s v="Completed"/>
    <x v="0"/>
    <s v="Clean"/>
  </r>
  <r>
    <s v="ORD-2025-10832"/>
    <n v="2"/>
    <s v="Unique"/>
    <s v="04/03/2025"/>
    <s v="03-04-2025"/>
    <d v="2025-04-03T00:00:00"/>
    <d v="2025-03-04T00:00:00"/>
    <x v="5"/>
    <x v="1"/>
    <s v="Valid"/>
    <s v="Valid"/>
    <n v="-30"/>
    <s v="CUST-1106"/>
    <s v="Diya Patel"/>
    <s v="Diya Patel"/>
    <s v="Home Office"/>
    <x v="3"/>
    <s v="Unknown"/>
    <x v="4"/>
    <s v="Haryana"/>
    <s v="Haryana"/>
    <s v="Gurugram"/>
    <s v="Gurugram"/>
    <s v="Furniture"/>
    <x v="1"/>
    <s v="Chairs"/>
    <x v="4"/>
    <s v="Smart Chairs 794"/>
    <s v="First Class"/>
    <x v="2"/>
    <n v="9"/>
    <n v="3462.7"/>
    <n v="0.15"/>
    <n v="0.15"/>
    <s v="Valid"/>
    <n v="26489.65"/>
    <n v="26489.654999999999"/>
    <n v="15818.46"/>
    <n v="10671.19"/>
    <n v="10671.195"/>
    <n v="-15818.46"/>
    <s v="Failed"/>
    <s v="Failed"/>
    <s v="Returned"/>
    <x v="2"/>
    <s v="Clean"/>
  </r>
  <r>
    <s v="ORD-2025-10833"/>
    <n v="2"/>
    <s v="Unique"/>
    <s v="26 May 2025"/>
    <s v="28-05-2025"/>
    <d v="2025-05-26T00:00:00"/>
    <d v="2025-05-28T00:00:00"/>
    <x v="4"/>
    <x v="1"/>
    <s v="Valid"/>
    <s v="Valid"/>
    <n v="2"/>
    <s v="CUST-9557"/>
    <s v="Kabir Singh"/>
    <s v="Kabir Singh"/>
    <s v="Small Business"/>
    <x v="1"/>
    <s v="South"/>
    <x v="2"/>
    <s v="Andhra Pradesh"/>
    <s v="Andhra Pradesh"/>
    <s v="Vijayawada"/>
    <s v="Vijayawada"/>
    <s v="Technology"/>
    <x v="2"/>
    <s v="Phones"/>
    <x v="11"/>
    <s v="Max Phones 919"/>
    <s v="Second Class"/>
    <x v="0"/>
    <n v="9"/>
    <n v="4302.0200000000004"/>
    <n v="0.05"/>
    <n v="0.05"/>
    <s v="Valid"/>
    <n v="36782.269999999997"/>
    <n v="36782.271000000008"/>
    <n v="25902.81"/>
    <n v="10879.46"/>
    <n v="10879.461000000007"/>
    <n v="-25902.81"/>
    <s v="Paid"/>
    <s v="Paid"/>
    <s v="Completed"/>
    <x v="0"/>
    <s v="Clean"/>
  </r>
  <r>
    <s v="ORD-2024-10834"/>
    <n v="1"/>
    <s v="Unique"/>
    <s v="2024-06-04"/>
    <s v="06/04/2024"/>
    <d v="2024-04-06T00:00:00"/>
    <d v="2024-06-04T00:00:00"/>
    <x v="5"/>
    <x v="0"/>
    <s v="Valid"/>
    <s v="Valid"/>
    <n v="59"/>
    <s v="CUST-2689"/>
    <s v="Rahul Verma"/>
    <s v="Rahul Verma"/>
    <s v="Home Office"/>
    <x v="3"/>
    <s v="East"/>
    <x v="1"/>
    <s v="West Bengal"/>
    <s v="West Bengal"/>
    <s v="Kolkata"/>
    <s v="Kolkata"/>
    <s v="Furniture"/>
    <x v="1"/>
    <s v="Bookcases"/>
    <x v="10"/>
    <s v="Basic Bookcases 499"/>
    <s v="First Class"/>
    <x v="2"/>
    <n v="6"/>
    <n v="3949.4"/>
    <n v="0"/>
    <n v="0"/>
    <s v="Valid"/>
    <n v="23696.400000000001"/>
    <n v="23696.400000000001"/>
    <n v="18109.77"/>
    <n v="5586.63"/>
    <n v="5586.630000000001"/>
    <n v="-18109.77"/>
    <s v="Paid"/>
    <s v="Paid"/>
    <s v="Completed"/>
    <x v="0"/>
    <s v="Clean"/>
  </r>
  <r>
    <s v="ORD-2024-10835"/>
    <n v="1"/>
    <s v="Unique"/>
    <s v="18-10-2024"/>
    <s v="2024-10-22"/>
    <d v="2024-10-18T00:00:00"/>
    <d v="2024-10-22T00:00:00"/>
    <x v="10"/>
    <x v="0"/>
    <s v="Valid"/>
    <s v="Valid"/>
    <n v="4"/>
    <s v="CUST-2879"/>
    <s v="Aarav Sharma"/>
    <s v="Aarav Sharma"/>
    <s v="Home Office"/>
    <x v="3"/>
    <s v="South"/>
    <x v="2"/>
    <s v="Telangana"/>
    <s v="Telangana"/>
    <s v="Hyderabad"/>
    <s v="Hyderabad"/>
    <s v="Office Supplies"/>
    <x v="0"/>
    <s v="Art"/>
    <x v="2"/>
    <s v="Basic Art 143"/>
    <s v="First Class"/>
    <x v="2"/>
    <n v="6"/>
    <n v="674.61"/>
    <n v="0"/>
    <n v="0"/>
    <s v="Valid"/>
    <n v="4047.66"/>
    <n v="4047.66"/>
    <n v="3078.93"/>
    <n v="1279.79"/>
    <n v="968.73"/>
    <n v="-3078.93"/>
    <s v="Paid"/>
    <s v="Paid"/>
    <s v="Completed"/>
    <x v="0"/>
    <s v="Clean"/>
  </r>
  <r>
    <s v="ORD-2025-10836"/>
    <n v="1"/>
    <s v="Unique"/>
    <s v="09/26/2025"/>
    <s v="04-10-2025"/>
    <d v="2025-09-26T00:00:00"/>
    <d v="2025-04-10T00:00:00"/>
    <x v="9"/>
    <x v="1"/>
    <s v="Valid"/>
    <s v="Valid"/>
    <n v="-169"/>
    <s v="CUST-5150"/>
    <s v="Priya Menon"/>
    <s v="Priya Menon"/>
    <s v="Small Business"/>
    <x v="1"/>
    <s v="East"/>
    <x v="1"/>
    <s v="Assam"/>
    <s v="Assam"/>
    <s v="Guwahati"/>
    <s v="Guwahati"/>
    <s v="Technology"/>
    <x v="2"/>
    <s v="Phones"/>
    <x v="11"/>
    <s v="Prime Phones 338"/>
    <s v="Second Class"/>
    <x v="0"/>
    <n v="7"/>
    <n v="1509.59"/>
    <n v="0.05"/>
    <n v="0.05"/>
    <s v="Valid"/>
    <n v="10038.77"/>
    <n v="10038.773499999999"/>
    <n v="5673.1"/>
    <n v="4365.67"/>
    <n v="4365.673499999999"/>
    <n v="-5673.1"/>
    <s v="Paid"/>
    <s v="Paid"/>
    <s v="Completed"/>
    <x v="0"/>
    <s v="Clean"/>
  </r>
  <r>
    <s v="ORD-2024-10837"/>
    <n v="3"/>
    <s v="Unique"/>
    <s v="2024-12-15"/>
    <s v="2024-12-18"/>
    <d v="2024-12-15T00:00:00"/>
    <d v="2024-12-18T00:00:00"/>
    <x v="7"/>
    <x v="0"/>
    <s v="Valid"/>
    <s v="Valid"/>
    <n v="3"/>
    <s v="CUST-9776"/>
    <s v="Isha Nair"/>
    <s v="Isha Nair"/>
    <s v="Small Business"/>
    <x v="1"/>
    <s v="North"/>
    <x v="0"/>
    <s v="Rajasthan"/>
    <s v="Rajasthan"/>
    <s v="Jaipur"/>
    <s v="Jaipur"/>
    <s v="Office Supplies"/>
    <x v="0"/>
    <s v="Labels"/>
    <x v="7"/>
    <s v="Smart Labels 814"/>
    <s v="Second Class"/>
    <x v="0"/>
    <n v="2"/>
    <n v="537.11"/>
    <n v="0"/>
    <n v="0"/>
    <s v="Valid"/>
    <n v="1074.22"/>
    <n v="1074.22"/>
    <n v="850.86"/>
    <n v="223.36"/>
    <n v="223.36"/>
    <n v="-850.86"/>
    <s v="Paid"/>
    <s v="Paid"/>
    <s v="Completed"/>
    <x v="0"/>
    <s v="Clean"/>
  </r>
  <r>
    <s v="ORD-2025-10838"/>
    <n v="3"/>
    <s v="Unique"/>
    <s v="2025-09-27"/>
    <s v="09/28/2025"/>
    <d v="2025-09-27T00:00:00"/>
    <d v="2025-09-28T00:00:00"/>
    <x v="9"/>
    <x v="1"/>
    <s v="Valid"/>
    <s v="Valid"/>
    <n v="1"/>
    <s v="CUST-2551"/>
    <s v="Karan Malhotra"/>
    <s v="Karan Malhotra"/>
    <s v="Home Office"/>
    <x v="3"/>
    <s v="West"/>
    <x v="3"/>
    <s v="Maharashtra"/>
    <s v="Maharashtra"/>
    <s v="Mumbai"/>
    <s v="Mumbai"/>
    <s v="Office Supplies"/>
    <x v="0"/>
    <s v="Paper"/>
    <x v="0"/>
    <s v="Prime Paper 812"/>
    <s v="First Class"/>
    <x v="2"/>
    <n v="3"/>
    <n v="4177.63"/>
    <n v="0.25"/>
    <n v="0.25"/>
    <s v="Valid"/>
    <n v="9399.67"/>
    <n v="9399.6674999999996"/>
    <n v="6540.37"/>
    <n v="2859.3"/>
    <n v="2859.2974999999997"/>
    <n v="-6540.37"/>
    <s v="Paid"/>
    <s v="Paid"/>
    <s v="Completed"/>
    <x v="0"/>
    <s v="Clean"/>
  </r>
  <r>
    <s v="ORD-2025-10839"/>
    <n v="3"/>
    <s v="Unique"/>
    <s v="04/03/2025"/>
    <s v="07 Apr 2025"/>
    <d v="2025-04-03T00:00:00"/>
    <d v="2025-07-04T00:00:00"/>
    <x v="5"/>
    <x v="1"/>
    <s v="Valid"/>
    <s v="Valid"/>
    <n v="92"/>
    <s v="CUST-4708"/>
    <s v="Ananya Rao"/>
    <s v="Ananya Rao"/>
    <s v="Small Business"/>
    <x v="1"/>
    <s v="West"/>
    <x v="3"/>
    <s v="Goa"/>
    <s v="Goa"/>
    <s v="Panaji"/>
    <s v="Panaji"/>
    <s v="Office Supplies"/>
    <x v="0"/>
    <s v="Paper"/>
    <x v="0"/>
    <s v="Pro Paper 355"/>
    <s v="Same Day"/>
    <x v="1"/>
    <n v="1"/>
    <n v="1470.57"/>
    <n v="0"/>
    <n v="0"/>
    <s v="Valid"/>
    <n v="1470.57"/>
    <n v="1470.57"/>
    <n v="834.02"/>
    <n v="636.54999999999995"/>
    <n v="636.54999999999995"/>
    <n v="-834.02"/>
    <s v="Paid"/>
    <s v="Paid"/>
    <s v="Returned"/>
    <x v="2"/>
    <s v="Clean"/>
  </r>
  <r>
    <s v="ORD-2024-10840"/>
    <n v="1"/>
    <s v="Unique"/>
    <s v="09/20/2024"/>
    <s v="22-09-2024"/>
    <d v="2024-09-20T00:00:00"/>
    <d v="2024-09-22T00:00:00"/>
    <x v="9"/>
    <x v="0"/>
    <s v="Valid"/>
    <s v="Valid"/>
    <n v="2"/>
    <s v="CUST-8206"/>
    <s v="Rohan Mehta"/>
    <s v="Rohan Mehta"/>
    <s v="Home Office"/>
    <x v="3"/>
    <s v="East"/>
    <x v="1"/>
    <s v="Odisha"/>
    <s v="Odisha"/>
    <s v="Bhubaneswar"/>
    <s v="Bhubaneswar"/>
    <s v="Technology"/>
    <x v="2"/>
    <s v="Phones"/>
    <x v="11"/>
    <s v="Basic Phones 398"/>
    <s v="Standard Class"/>
    <x v="3"/>
    <n v="8"/>
    <n v="531.42999999999995"/>
    <n v="0.1"/>
    <n v="0.1"/>
    <s v="Valid"/>
    <n v="3826.3"/>
    <n v="3826.2959999999998"/>
    <n v="2194.12"/>
    <n v="1632.18"/>
    <n v="1632.1759999999999"/>
    <n v="-2194.12"/>
    <s v="Paid"/>
    <s v="Paid"/>
    <s v="Completed"/>
    <x v="0"/>
    <s v="Clean"/>
  </r>
  <r>
    <s v="ORD-2025-10841"/>
    <n v="2"/>
    <s v="Unique"/>
    <s v="2025-09-19"/>
    <s v="19-09-2025"/>
    <d v="2025-09-19T00:00:00"/>
    <d v="2025-09-19T00:00:00"/>
    <x v="9"/>
    <x v="1"/>
    <s v="Valid"/>
    <s v="Valid"/>
    <n v="0"/>
    <s v="CUST-1297"/>
    <s v="Neha Gupta"/>
    <s v="Neha Gupta"/>
    <s v="Home Office"/>
    <x v="3"/>
    <s v="North"/>
    <x v="0"/>
    <s v="Delhi"/>
    <s v="Delhi"/>
    <s v="New Delhi"/>
    <s v="New Delhi"/>
    <s v="Furniture"/>
    <x v="1"/>
    <s v="Chairs"/>
    <x v="4"/>
    <s v="Classic Chairs 204"/>
    <s v="Same Day"/>
    <x v="1"/>
    <n v="4"/>
    <n v="1584.11"/>
    <n v="0"/>
    <n v="0"/>
    <s v="Valid"/>
    <n v="6336.44"/>
    <n v="6336.44"/>
    <n v="4680.68"/>
    <n v="1655.76"/>
    <n v="1655.7599999999993"/>
    <n v="-4680.68"/>
    <s v="Paid"/>
    <s v="Paid"/>
    <s v="Completed"/>
    <x v="0"/>
    <s v="Clean"/>
  </r>
  <r>
    <s v="ORD-2025-10842"/>
    <n v="3"/>
    <s v="Unique"/>
    <s v="2025-02-06"/>
    <s v="12 Feb 2025"/>
    <d v="2025-06-02T00:00:00"/>
    <d v="2025-12-02T00:00:00"/>
    <x v="2"/>
    <x v="1"/>
    <s v="Valid"/>
    <s v="Valid"/>
    <n v="183"/>
    <s v="CUST-7558"/>
    <s v="Ananya Rao"/>
    <s v="Ananya Rao"/>
    <s v="Small Business"/>
    <x v="1"/>
    <s v="East"/>
    <x v="1"/>
    <s v="Bihar"/>
    <s v="Bihar"/>
    <s v="Patna"/>
    <s v="Patna"/>
    <s v="Office Supplies"/>
    <x v="0"/>
    <s v="Art"/>
    <x v="2"/>
    <s v="Max Art 339"/>
    <s v="Standard Class"/>
    <x v="3"/>
    <n v="9"/>
    <n v="3237.16"/>
    <n v="0.25"/>
    <n v="0.25"/>
    <s v="Valid"/>
    <n v="21850.83"/>
    <n v="21850.829999999998"/>
    <n v="16600.13"/>
    <n v="5250.7"/>
    <n v="5250.6999999999971"/>
    <n v="-16600.13"/>
    <s v="Paid"/>
    <s v="Paid"/>
    <s v="Completed"/>
    <x v="0"/>
    <s v="Clean"/>
  </r>
  <r>
    <s v="ORD-2024-10843"/>
    <n v="2"/>
    <s v="Unique"/>
    <s v="31-03-2024"/>
    <s v="03/30/2024"/>
    <d v="2024-03-31T00:00:00"/>
    <d v="2024-03-30T00:00:00"/>
    <x v="11"/>
    <x v="0"/>
    <s v="Valid"/>
    <s v="Valid"/>
    <n v="-1"/>
    <s v="CUST-1798"/>
    <s v="Kabir Singh"/>
    <s v="Kabir Singh"/>
    <s v="Consumer"/>
    <x v="0"/>
    <s v="North"/>
    <x v="0"/>
    <s v="Haryana"/>
    <s v="Haryana"/>
    <s v="Gurugram"/>
    <s v="Gurugram"/>
    <s v="Technology"/>
    <x v="2"/>
    <s v="Machines"/>
    <x v="12"/>
    <s v="Smart Machines 581"/>
    <s v="First Class"/>
    <x v="2"/>
    <n v="4"/>
    <n v="2192.08"/>
    <n v="0.15"/>
    <n v="0.15"/>
    <s v="Valid"/>
    <n v="7453.07"/>
    <n v="7453.0719999999992"/>
    <n v="5133.78"/>
    <n v="2319.29"/>
    <n v="2319.2919999999995"/>
    <n v="-5133.78"/>
    <s v="Paid"/>
    <s v="Paid"/>
    <s v="Returned"/>
    <x v="2"/>
    <s v="Clean"/>
  </r>
  <r>
    <s v="ORD-2025-10844"/>
    <n v="3"/>
    <s v="Unique"/>
    <s v="18 Jul 2025"/>
    <s v="25 Jul 2025"/>
    <d v="2025-07-18T00:00:00"/>
    <d v="2025-07-25T00:00:00"/>
    <x v="0"/>
    <x v="1"/>
    <s v="Valid"/>
    <s v="Valid"/>
    <n v="7"/>
    <s v="CUST-7333"/>
    <s v="Priya Menon"/>
    <s v="Priya Menon"/>
    <s v="Small Business"/>
    <x v="1"/>
    <s v="North"/>
    <x v="0"/>
    <s v="Uttar Pradesh"/>
    <s v="Uttar Pradesh"/>
    <s v="Noida"/>
    <s v="Noida"/>
    <s v="Technology"/>
    <x v="2"/>
    <s v="Phones"/>
    <x v="11"/>
    <s v="Prime Phones 482"/>
    <s v="First Class"/>
    <x v="2"/>
    <n v="9"/>
    <n v="3989.52"/>
    <n v="-0.02"/>
    <n v="-0.02"/>
    <s v="Invalid - Negative Discount"/>
    <n v="35905.68"/>
    <n v="36623.793600000005"/>
    <n v="23916.1"/>
    <n v="11989.58"/>
    <n v="12707.693600000006"/>
    <n v="-23916.1"/>
    <s v="Paid"/>
    <s v="Paid"/>
    <s v="Completed"/>
    <x v="0"/>
    <s v="Clean"/>
  </r>
  <r>
    <s v="ORD-2025-10845"/>
    <n v="1"/>
    <s v="Unique"/>
    <s v="20-01-2025"/>
    <s v="25-01-2025"/>
    <d v="2025-01-20T00:00:00"/>
    <d v="2025-01-25T00:00:00"/>
    <x v="8"/>
    <x v="1"/>
    <s v="Valid"/>
    <s v="Valid"/>
    <n v="5"/>
    <s v="CUST-2086"/>
    <s v="Aditi Sen"/>
    <s v="Aditi Sen"/>
    <s v="Home Office"/>
    <x v="3"/>
    <s v="West"/>
    <x v="3"/>
    <s v="Goa"/>
    <s v="Goa"/>
    <s v="Panaji"/>
    <s v="Panaji"/>
    <s v="Office Supplies"/>
    <x v="0"/>
    <s v="Art"/>
    <x v="2"/>
    <s v="Pro Art 588"/>
    <s v="First Class"/>
    <x v="2"/>
    <n v="1"/>
    <n v="3515.15"/>
    <n v="0"/>
    <n v="0"/>
    <s v="Valid"/>
    <n v="3515.15"/>
    <n v="3515.15"/>
    <n v="2216.34"/>
    <n v="1298.81"/>
    <n v="1298.81"/>
    <n v="-2216.34"/>
    <s v="Paid"/>
    <s v="Paid"/>
    <s v="Completed"/>
    <x v="0"/>
    <s v="Clean"/>
  </r>
  <r>
    <s v="ORD-2024-10846"/>
    <n v="2"/>
    <s v="Unique"/>
    <s v="23-02-2024"/>
    <s v="27 Feb 2024"/>
    <d v="2024-02-23T00:00:00"/>
    <d v="2024-02-27T00:00:00"/>
    <x v="6"/>
    <x v="0"/>
    <s v="Valid"/>
    <s v="Valid"/>
    <n v="4"/>
    <s v="CUST-2367"/>
    <s v="Karan Malhotra"/>
    <s v="Karan Malhotra"/>
    <s v="Consumer"/>
    <x v="0"/>
    <s v="East"/>
    <x v="1"/>
    <s v="Odisha"/>
    <s v="Odisha"/>
    <s v="Bhubaneswar"/>
    <s v="Bhubaneswar"/>
    <s v="Furniture"/>
    <x v="1"/>
    <s v="Tables"/>
    <x v="1"/>
    <s v="Eco Tables 792"/>
    <s v="First Class"/>
    <x v="2"/>
    <n v="9"/>
    <n v="3616.23"/>
    <n v="0.25"/>
    <n v="0.25"/>
    <s v="Valid"/>
    <n v="24409.55"/>
    <n v="24409.552499999998"/>
    <n v="17157.580000000002"/>
    <n v="7251.97"/>
    <n v="7251.9724999999962"/>
    <n v="-17157.580000000002"/>
    <s v="Pending"/>
    <s v="Pending"/>
    <s v="Returned"/>
    <x v="2"/>
    <s v="Clean"/>
  </r>
  <r>
    <s v="ORD-2024-10847"/>
    <n v="2"/>
    <s v="Unique"/>
    <s v="2024-04-14"/>
    <s v="2024-04-22"/>
    <d v="2024-04-14T00:00:00"/>
    <d v="2024-04-22T00:00:00"/>
    <x v="5"/>
    <x v="0"/>
    <s v="Valid"/>
    <s v="Valid"/>
    <n v="8"/>
    <s v="CUST-6522"/>
    <s v="Priya Menon"/>
    <s v="Priya Menon"/>
    <s v="Small Business"/>
    <x v="1"/>
    <s v="West"/>
    <x v="3"/>
    <s v="Gujarat"/>
    <s v="Gujarat"/>
    <s v="Ahmedabad"/>
    <s v="Ahmedabad"/>
    <s v="Furniture"/>
    <x v="1"/>
    <s v="Bookcases"/>
    <x v="10"/>
    <s v="Prime Bookcases 177"/>
    <s v="Standard Class"/>
    <x v="3"/>
    <n v="2"/>
    <n v="3977.52"/>
    <n v="0"/>
    <n v="0"/>
    <s v="Valid"/>
    <n v="7955.04"/>
    <n v="7955.04"/>
    <n v="5580.68"/>
    <n v="2374.36"/>
    <n v="2374.3599999999997"/>
    <n v="-5580.68"/>
    <s v="Pending"/>
    <s v="Pending"/>
    <s v="Returned"/>
    <x v="2"/>
    <s v="Clean"/>
  </r>
  <r>
    <s v="ORD-2025-10848"/>
    <n v="3"/>
    <s v="Unique"/>
    <s v="2025-05-20"/>
    <s v="05/22/2025"/>
    <d v="2025-05-20T00:00:00"/>
    <d v="2025-05-22T00:00:00"/>
    <x v="4"/>
    <x v="1"/>
    <s v="Valid"/>
    <s v="Valid"/>
    <n v="2"/>
    <s v="CUST-8329"/>
    <s v="Diya Patel"/>
    <s v="Diya Patel"/>
    <s v="Home Office"/>
    <x v="3"/>
    <s v="East"/>
    <x v="1"/>
    <s v="Odisha"/>
    <s v="Odisha"/>
    <s v="Bhubaneswar"/>
    <s v="Bhubaneswar"/>
    <s v="Furniture"/>
    <x v="1"/>
    <s v="Tables"/>
    <x v="1"/>
    <s v="Pro Tables 828"/>
    <s v="Second Class"/>
    <x v="0"/>
    <n v="2"/>
    <n v="210.08"/>
    <n v="0.2"/>
    <n v="0.2"/>
    <s v="Valid"/>
    <n v="336.13"/>
    <n v="336.12800000000004"/>
    <n v="242.19"/>
    <n v="93.94"/>
    <n v="93.938000000000045"/>
    <n v="-242.19"/>
    <s v="Paid"/>
    <s v="Paid"/>
    <s v="Completed"/>
    <x v="0"/>
    <s v="Clean"/>
  </r>
  <r>
    <s v="ORD-2025-10849"/>
    <n v="2"/>
    <s v="Unique"/>
    <s v="27-05-2025"/>
    <s v="29 May 2025"/>
    <d v="2025-05-27T00:00:00"/>
    <d v="2025-05-29T00:00:00"/>
    <x v="4"/>
    <x v="1"/>
    <s v="Valid"/>
    <s v="Valid"/>
    <n v="2"/>
    <s v="CUST-4426"/>
    <s v="Rahul Verma"/>
    <s v="Rahul Verma"/>
    <s v="Home Office"/>
    <x v="3"/>
    <s v="South"/>
    <x v="2"/>
    <s v="Tamil Nadu"/>
    <s v="Tamil Nadu"/>
    <s v="Chennai"/>
    <s v="Chennai"/>
    <s v="Furniture"/>
    <x v="1"/>
    <s v="Furnishings"/>
    <x v="3"/>
    <s v="Elite Furnishings 480"/>
    <s v="Second Class"/>
    <x v="0"/>
    <n v="1"/>
    <n v="1744.35"/>
    <n v="0.25"/>
    <n v="0.25"/>
    <s v="Valid"/>
    <n v="1308.26"/>
    <n v="1308.2624999999998"/>
    <n v="1083.56"/>
    <n v="224.7"/>
    <n v="224.70249999999987"/>
    <n v="-1083.56"/>
    <s v="Paid"/>
    <s v="Paid"/>
    <s v="Completed"/>
    <x v="0"/>
    <s v="Clean"/>
  </r>
  <r>
    <s v="ORD-2024-10850"/>
    <n v="1"/>
    <s v="Exact Duplicate"/>
    <s v="2024-03-06"/>
    <s v="12-03-2024"/>
    <d v="2024-06-03T00:00:00"/>
    <d v="2024-12-03T00:00:00"/>
    <x v="2"/>
    <x v="0"/>
    <s v="Valid"/>
    <s v="Valid"/>
    <n v="183"/>
    <s v="CUST-3360"/>
    <s v="Isha Nair"/>
    <s v="Isha Nair"/>
    <s v="Home Office"/>
    <x v="3"/>
    <s v="West"/>
    <x v="3"/>
    <s v="Gujarat"/>
    <s v="Gujarat"/>
    <s v="Ahmedabad"/>
    <s v="Ahmedabad"/>
    <s v="Furniture"/>
    <x v="1"/>
    <s v="Bookcases"/>
    <x v="10"/>
    <s v="Prime Bookcases 755"/>
    <s v="Standard Class"/>
    <x v="3"/>
    <n v="3"/>
    <n v="679.63"/>
    <n v="0.2"/>
    <n v="0.2"/>
    <s v="Valid"/>
    <n v="1631.11"/>
    <n v="1631.1120000000001"/>
    <n v="898.73"/>
    <n v="396.58"/>
    <n v="732.38200000000006"/>
    <n v="-898.73"/>
    <s v="Paid"/>
    <s v="Paid"/>
    <s v="Completed"/>
    <x v="0"/>
    <s v="Clean"/>
  </r>
  <r>
    <s v="ORD-2024-10851"/>
    <n v="2"/>
    <s v="Unique"/>
    <s v="30-06-2024"/>
    <s v="2024-07-03"/>
    <d v="2024-06-30T00:00:00"/>
    <d v="2024-03-07T00:00:00"/>
    <x v="2"/>
    <x v="0"/>
    <s v="Valid"/>
    <s v="Valid"/>
    <n v="-115"/>
    <s v="CUST-2623"/>
    <s v="Priya Menon"/>
    <s v="Priya Menon"/>
    <s v="Home Office"/>
    <x v="3"/>
    <s v="East"/>
    <x v="1"/>
    <s v="West Bengal"/>
    <s v="West Bengal"/>
    <s v="Kolkata"/>
    <s v="Kolkata"/>
    <s v="Office Supplies"/>
    <x v="0"/>
    <s v="Paper"/>
    <x v="0"/>
    <s v="Prime Paper 317"/>
    <s v="First Class"/>
    <x v="2"/>
    <n v="6"/>
    <n v="1211.01"/>
    <n v="0"/>
    <n v="0"/>
    <s v="Valid"/>
    <n v="7266.06"/>
    <n v="7266.0599999999995"/>
    <n v="6216.89"/>
    <n v="1049.17"/>
    <n v="1049.1699999999992"/>
    <n v="-6216.89"/>
    <s v="Paid"/>
    <s v="Paid"/>
    <s v="Completed"/>
    <x v="0"/>
    <s v="Clean"/>
  </r>
  <r>
    <s v="ORD-2024-10852"/>
    <n v="1"/>
    <s v="Unique"/>
    <s v="2024-03-26"/>
    <s v="01 Apr 2024"/>
    <d v="2024-03-26T00:00:00"/>
    <d v="2024-01-04T00:00:00"/>
    <x v="11"/>
    <x v="0"/>
    <s v="Valid"/>
    <s v="Valid"/>
    <n v="-82"/>
    <s v="CUST-3175"/>
    <s v="Karan Malhotra"/>
    <s v="Karan Malhotra"/>
    <s v="Small Business"/>
    <x v="1"/>
    <s v="West"/>
    <x v="3"/>
    <s v="Gujarat"/>
    <s v="Gujarat"/>
    <s v="Ahmedabad"/>
    <s v="Ahmedabad"/>
    <s v="Technology"/>
    <x v="2"/>
    <s v="Accessories"/>
    <x v="5"/>
    <s v="Classic Accessories 933"/>
    <s v="First Class"/>
    <x v="2"/>
    <n v="2"/>
    <n v="1161.3"/>
    <n v="0.2"/>
    <n v="0.2"/>
    <s v="Valid"/>
    <n v="1858.08"/>
    <n v="1858.08"/>
    <n v="1590.75"/>
    <n v="267.33"/>
    <n v="267.32999999999993"/>
    <n v="-1590.75"/>
    <s v="Paid"/>
    <s v="Paid"/>
    <s v="Completed"/>
    <x v="0"/>
    <s v="Clean"/>
  </r>
  <r>
    <s v="ORD-2024-10853"/>
    <n v="1"/>
    <s v="Unique"/>
    <s v="01-04-2024"/>
    <s v="08-04-2024"/>
    <d v="2024-01-04T00:00:00"/>
    <d v="2024-08-04T00:00:00"/>
    <x v="8"/>
    <x v="0"/>
    <s v="Valid"/>
    <s v="Valid"/>
    <n v="213"/>
    <s v="CUST-9630"/>
    <s v="Ananya Rao"/>
    <s v="Ananya Rao"/>
    <s v="Consumer"/>
    <x v="0"/>
    <s v="East"/>
    <x v="1"/>
    <s v="Assam"/>
    <s v="Assam"/>
    <s v="Guwahati"/>
    <s v="Guwahati"/>
    <s v="Furniture"/>
    <x v="1"/>
    <s v="Tables"/>
    <x v="1"/>
    <s v="Smart Tables 513"/>
    <s v="Second Class"/>
    <x v="0"/>
    <n v="7"/>
    <n v="4205.3500000000004"/>
    <n v="0.15"/>
    <n v="0.15"/>
    <s v="Valid"/>
    <n v="25021.83"/>
    <n v="25021.832500000004"/>
    <n v="15544.44"/>
    <n v="9477.39"/>
    <n v="9477.3925000000036"/>
    <n v="-15544.44"/>
    <s v="Pending"/>
    <s v="Pending"/>
    <s v="Cancelled"/>
    <x v="1"/>
    <s v="Clean"/>
  </r>
  <r>
    <s v="ORD-2025-10854"/>
    <n v="1"/>
    <s v="Unique"/>
    <s v="2025-05-16"/>
    <s v="05/22/2025"/>
    <d v="2025-05-16T00:00:00"/>
    <d v="2025-05-22T00:00:00"/>
    <x v="4"/>
    <x v="1"/>
    <s v="Valid"/>
    <s v="Valid"/>
    <n v="6"/>
    <s v="CUST-8274"/>
    <s v="Arjun Bose"/>
    <s v="Arjun Bose"/>
    <s v="Corporate"/>
    <x v="2"/>
    <s v="South"/>
    <x v="2"/>
    <s v="Tamil Nadu"/>
    <s v="Tamil Nadu"/>
    <s v="Chennai"/>
    <s v="Chennai"/>
    <s v="Technology"/>
    <x v="2"/>
    <s v="Accessories"/>
    <x v="5"/>
    <s v="Elite Accessories 708"/>
    <s v="Same Day"/>
    <x v="1"/>
    <n v="8"/>
    <n v="579.79999999999995"/>
    <n v="0.2"/>
    <n v="0.2"/>
    <s v="Valid"/>
    <n v="3710.72"/>
    <n v="3710.72"/>
    <n v="3115.29"/>
    <n v="595.42999999999995"/>
    <n v="595.42999999999984"/>
    <n v="-3115.29"/>
    <s v="Paid"/>
    <s v="Paid"/>
    <s v="Completed"/>
    <x v="0"/>
    <s v="Clean"/>
  </r>
  <r>
    <s v="ORD-2025-10855"/>
    <n v="1"/>
    <s v="Unique"/>
    <s v="03/25/2025"/>
    <s v="04/02/2025"/>
    <d v="2025-03-25T00:00:00"/>
    <d v="2025-04-02T00:00:00"/>
    <x v="11"/>
    <x v="1"/>
    <s v="Valid"/>
    <s v="Valid"/>
    <n v="8"/>
    <s v="CUST-2514"/>
    <s v="Priya Menon"/>
    <s v="Priya Menon"/>
    <s v="Consumer"/>
    <x v="0"/>
    <s v="South"/>
    <x v="2"/>
    <s v="Karnataka"/>
    <s v="Karnataka"/>
    <s v="Bengaluru"/>
    <s v="Bengaluru"/>
    <s v="Furniture"/>
    <x v="1"/>
    <s v="Bookcases"/>
    <x v="10"/>
    <s v="Max Bookcases 381"/>
    <s v="Second Class"/>
    <x v="0"/>
    <n v="4"/>
    <n v="2233.64"/>
    <n v="0.05"/>
    <n v="0.05"/>
    <s v="Valid"/>
    <n v="8487.83"/>
    <n v="8487.8319999999985"/>
    <n v="5245.72"/>
    <n v="3242.11"/>
    <n v="3242.1119999999983"/>
    <n v="-5245.72"/>
    <s v="Paid"/>
    <s v="Paid"/>
    <s v="Completed"/>
    <x v="0"/>
    <s v="Clean"/>
  </r>
  <r>
    <s v="ORD-2024-10856"/>
    <n v="1"/>
    <s v="Unique"/>
    <s v="25-07-2024"/>
    <s v="02 Aug 2024"/>
    <d v="2024-07-25T00:00:00"/>
    <d v="2024-02-08T00:00:00"/>
    <x v="0"/>
    <x v="0"/>
    <s v="Valid"/>
    <s v="Valid"/>
    <n v="-168"/>
    <s v="CUST-2752"/>
    <s v="Rahul Verma"/>
    <s v="Rahul Verma"/>
    <s v="Consumer"/>
    <x v="0"/>
    <s v="North"/>
    <x v="0"/>
    <s v="Rajasthan"/>
    <s v="Rajasthan"/>
    <s v="Jaipur"/>
    <s v="Jaipur"/>
    <s v="Office Supplies"/>
    <x v="0"/>
    <s v="Labels"/>
    <x v="7"/>
    <s v="Classic Labels 215"/>
    <s v="Second Class"/>
    <x v="0"/>
    <n v="2"/>
    <n v="2073.5300000000002"/>
    <n v="0.25"/>
    <n v="0.25"/>
    <s v="Valid"/>
    <n v="3110.3"/>
    <n v="3110.2950000000001"/>
    <n v="2101.0300000000002"/>
    <n v="1009.27"/>
    <n v="1009.2649999999999"/>
    <n v="-2101.0300000000002"/>
    <s v="Paid"/>
    <s v="Paid"/>
    <s v="Completed"/>
    <x v="0"/>
    <s v="Clean"/>
  </r>
  <r>
    <s v="ORD-2024-10857"/>
    <n v="2"/>
    <s v="Unique"/>
    <s v="2024-06-12"/>
    <s v="19 Jun 2024"/>
    <d v="2024-12-06T00:00:00"/>
    <d v="2024-06-19T00:00:00"/>
    <x v="7"/>
    <x v="0"/>
    <s v="Valid"/>
    <s v="Valid"/>
    <n v="-170"/>
    <s v="CUST-5647"/>
    <s v="Rohan Mehta"/>
    <s v="Rohan Mehta"/>
    <s v="Home Office"/>
    <x v="3"/>
    <s v="South"/>
    <x v="2"/>
    <s v="Tamil Nadu"/>
    <s v="Tamil Nadu"/>
    <s v="Chennai"/>
    <s v="Chennai"/>
    <s v="Office Supplies"/>
    <x v="0"/>
    <s v="Storage"/>
    <x v="8"/>
    <s v="Classic Storage 918"/>
    <s v="Standard Class"/>
    <x v="3"/>
    <n v="4"/>
    <n v="395.1"/>
    <n v="-0.16"/>
    <n v="-0.16"/>
    <s v="Invalid - Negative Discount"/>
    <n v="1185.3"/>
    <n v="1833.2639999999999"/>
    <n v="966.55"/>
    <n v="218.75"/>
    <n v="866.71399999999994"/>
    <n v="-966.55"/>
    <s v="Failed"/>
    <s v="Failed"/>
    <s v="Cancelled"/>
    <x v="1"/>
    <s v="Clean"/>
  </r>
  <r>
    <s v="ORD-2024-10858"/>
    <n v="2"/>
    <s v="Unique"/>
    <s v="04 Jun 2024"/>
    <s v="04-06-2024"/>
    <d v="2024-04-06T00:00:00"/>
    <d v="2024-04-06T00:00:00"/>
    <x v="5"/>
    <x v="0"/>
    <s v="Valid"/>
    <s v="Valid"/>
    <n v="0"/>
    <s v="CUST-8575"/>
    <s v="Sneha Kapoor"/>
    <s v="Sneha Kapoor"/>
    <s v="Home Office"/>
    <x v="3"/>
    <s v="South"/>
    <x v="2"/>
    <s v="Kerala"/>
    <s v="Kerala"/>
    <s v="Kochi"/>
    <s v="Kochi"/>
    <s v="Office Supplies"/>
    <x v="0"/>
    <s v="Storage"/>
    <x v="8"/>
    <s v="Max Storage 223"/>
    <s v="First Class"/>
    <x v="2"/>
    <n v="6"/>
    <n v="2708.97"/>
    <n v="0.25"/>
    <n v="0.25"/>
    <s v="Valid"/>
    <n v="12190.36"/>
    <n v="12190.365"/>
    <n v="10176.99"/>
    <n v="2013.37"/>
    <n v="2013.375"/>
    <n v="-10176.99"/>
    <s v="Paid"/>
    <s v="Paid"/>
    <s v="Completed"/>
    <x v="0"/>
    <s v="Clean"/>
  </r>
  <r>
    <s v="ORD-2024-10859"/>
    <n v="3"/>
    <s v="Unique"/>
    <s v="05/02/2024"/>
    <s v="09 May 2024"/>
    <d v="2024-05-02T00:00:00"/>
    <d v="2024-09-05T00:00:00"/>
    <x v="4"/>
    <x v="0"/>
    <s v="Valid"/>
    <s v="Valid"/>
    <n v="126"/>
    <s v="CUST-9576"/>
    <s v="Arjun Bose"/>
    <s v="Arjun Bose"/>
    <s v="Consumer"/>
    <x v="0"/>
    <s v="East"/>
    <x v="1"/>
    <s v="Odisha"/>
    <s v="Odisha"/>
    <s v="Bhubaneswar"/>
    <s v="Bhubaneswar"/>
    <s v="Technology"/>
    <x v="2"/>
    <s v="Accessories"/>
    <x v="5"/>
    <s v="Basic Accessories 602"/>
    <s v="Second Class"/>
    <x v="0"/>
    <n v="4"/>
    <n v="2904.86"/>
    <n v="0"/>
    <n v="0"/>
    <s v="Valid"/>
    <n v="11619.44"/>
    <n v="11619.44"/>
    <n v="7184.32"/>
    <n v="4494.6400000000003"/>
    <n v="4435.1200000000008"/>
    <n v="-7184.32"/>
    <s v="Paid"/>
    <s v="Paid"/>
    <s v="Completed"/>
    <x v="0"/>
    <s v="Clean"/>
  </r>
  <r>
    <s v="ORD-2024-10860"/>
    <n v="2"/>
    <s v="Unique"/>
    <s v="10/27/2024"/>
    <s v="2024-11-01"/>
    <d v="2024-10-27T00:00:00"/>
    <d v="2024-01-11T00:00:00"/>
    <x v="10"/>
    <x v="0"/>
    <s v="Valid"/>
    <s v="Valid"/>
    <n v="-290"/>
    <s v="CUST-2395"/>
    <s v="Aditi Sen"/>
    <s v="Aditi Sen"/>
    <s v="Corporate"/>
    <x v="2"/>
    <s v="South"/>
    <x v="2"/>
    <s v="Tamil Nadu"/>
    <s v="Tamil Nadu"/>
    <s v="Chennai"/>
    <s v="Chennai"/>
    <s v="Technology"/>
    <x v="2"/>
    <s v="Phones"/>
    <x v="11"/>
    <s v="Elite Phones 394"/>
    <s v="Standard Class"/>
    <x v="3"/>
    <n v="6"/>
    <n v="4399.2"/>
    <n v="0.05"/>
    <n v="0.05"/>
    <s v="Valid"/>
    <n v="25075.439999999999"/>
    <n v="25075.439999999995"/>
    <n v="16282.74"/>
    <n v="8792.7000000000007"/>
    <n v="8792.6999999999953"/>
    <n v="-16282.74"/>
    <s v="Paid"/>
    <s v="Paid"/>
    <s v="Completed"/>
    <x v="0"/>
    <s v="Clean"/>
  </r>
  <r>
    <s v="ORD-2024-10861"/>
    <n v="2"/>
    <s v="Unique"/>
    <s v="02 Feb 2024"/>
    <s v="04 Feb 2024"/>
    <d v="2024-02-02T00:00:00"/>
    <d v="2024-04-02T00:00:00"/>
    <x v="6"/>
    <x v="0"/>
    <s v="Valid"/>
    <s v="Valid"/>
    <n v="60"/>
    <s v="CUST-8941"/>
    <s v="Vikram Iyer"/>
    <s v="Vikram Iyer"/>
    <s v="Home Office"/>
    <x v="3"/>
    <s v="North"/>
    <x v="0"/>
    <s v="Uttar Pradesh"/>
    <s v="Uttar Pradesh"/>
    <s v="Noida"/>
    <s v="Noida"/>
    <s v="Office Supplies"/>
    <x v="0"/>
    <s v="Storage"/>
    <x v="8"/>
    <s v="Classic Storage 194"/>
    <s v="Second Class"/>
    <x v="0"/>
    <n v="1"/>
    <n v="4397.32"/>
    <n v="0.05"/>
    <n v="0.05"/>
    <s v="Valid"/>
    <n v="4177.45"/>
    <n v="4177.4539999999997"/>
    <n v="2299.5"/>
    <n v="1877.95"/>
    <n v="1877.9539999999997"/>
    <n v="-2299.5"/>
    <s v="Paid"/>
    <s v="Paid"/>
    <s v="Completed"/>
    <x v="0"/>
    <s v="Clean"/>
  </r>
  <r>
    <s v="ORD-2025-10862"/>
    <n v="1"/>
    <s v="Unique"/>
    <s v="2025-03-08"/>
    <s v="2025-03-09"/>
    <d v="2025-08-03T00:00:00"/>
    <d v="2025-09-03T00:00:00"/>
    <x v="1"/>
    <x v="1"/>
    <s v="Valid"/>
    <s v="Valid"/>
    <n v="31"/>
    <s v="CUST-9448"/>
    <s v="Priya Menon"/>
    <s v="Priya Menon"/>
    <s v="Home Office"/>
    <x v="3"/>
    <s v="North"/>
    <x v="0"/>
    <s v="Delhi"/>
    <s v="Delhi"/>
    <s v="New Delhi"/>
    <s v="New Delhi"/>
    <s v="Furniture"/>
    <x v="1"/>
    <s v="Furnishings"/>
    <x v="3"/>
    <s v="Smart Furnishings 892"/>
    <s v="Same Day"/>
    <x v="1"/>
    <n v="4"/>
    <n v="3405.68"/>
    <n v="0.2"/>
    <n v="0.2"/>
    <s v="Valid"/>
    <n v="10898.18"/>
    <n v="10898.175999999999"/>
    <n v="6231.41"/>
    <n v="4666.7700000000004"/>
    <n v="4666.7659999999996"/>
    <n v="-6231.41"/>
    <s v="Paid"/>
    <s v="Paid"/>
    <s v="Completed"/>
    <x v="0"/>
    <s v="Clean"/>
  </r>
  <r>
    <s v="ORD-2025-10863"/>
    <n v="1"/>
    <s v="Unique"/>
    <s v="2025-03-26"/>
    <s v="31-03-2025"/>
    <d v="2025-03-26T00:00:00"/>
    <d v="2025-03-31T00:00:00"/>
    <x v="11"/>
    <x v="1"/>
    <s v="Valid"/>
    <s v="Valid"/>
    <n v="5"/>
    <s v="CUST-8354"/>
    <s v="Priya Menon"/>
    <s v="Priya Menon"/>
    <s v="Small Business"/>
    <x v="1"/>
    <s v="East"/>
    <x v="1"/>
    <s v="Jharkhand"/>
    <s v="Jharkhand"/>
    <s v="Ranchi"/>
    <s v="Ranchi"/>
    <s v="Office Supplies"/>
    <x v="0"/>
    <s v="Binders"/>
    <x v="9"/>
    <s v="Pro Binders 488"/>
    <s v="First Class"/>
    <x v="2"/>
    <n v="5"/>
    <n v="1395.14"/>
    <n v="0"/>
    <n v="0"/>
    <s v="Valid"/>
    <n v="6975.7"/>
    <n v="6975.7000000000007"/>
    <n v="4797.88"/>
    <n v="2177.8200000000002"/>
    <n v="2177.8200000000006"/>
    <n v="-4797.88"/>
    <s v="Paid"/>
    <s v="Paid"/>
    <s v="Cancelled"/>
    <x v="1"/>
    <s v="Clean"/>
  </r>
  <r>
    <s v="ORD-2025-10864"/>
    <n v="3"/>
    <s v="Unique"/>
    <s v="09/06/2025"/>
    <s v="09/08/2025"/>
    <d v="2025-09-06T00:00:00"/>
    <d v="2025-09-08T00:00:00"/>
    <x v="9"/>
    <x v="1"/>
    <s v="Valid"/>
    <s v="Valid"/>
    <n v="2"/>
    <s v="CUST-2200"/>
    <s v="Aarav Sharma"/>
    <s v="Aarav Sharma"/>
    <s v="Home Office"/>
    <x v="3"/>
    <s v="West"/>
    <x v="3"/>
    <s v="Madhya Pradesh"/>
    <s v="Madhya Pradesh"/>
    <s v="Indore"/>
    <s v="Indore"/>
    <s v="Furniture"/>
    <x v="1"/>
    <s v="Furnishings"/>
    <x v="3"/>
    <s v="Prime Furnishings 679"/>
    <s v="Same Day"/>
    <x v="1"/>
    <n v="3"/>
    <n v="2937.23"/>
    <n v="0"/>
    <n v="0"/>
    <s v="Valid"/>
    <n v="8811.69"/>
    <n v="8811.69"/>
    <n v="6765.91"/>
    <n v="2045.78"/>
    <n v="2045.7800000000007"/>
    <n v="-6765.91"/>
    <s v="Paid"/>
    <s v="Paid"/>
    <s v="Completed"/>
    <x v="0"/>
    <s v="Clean"/>
  </r>
  <r>
    <s v="ORD-2025-10865"/>
    <n v="1"/>
    <s v="Unique"/>
    <s v="02 Sep 2025"/>
    <s v="05-09-2025"/>
    <d v="2025-02-09T00:00:00"/>
    <d v="2025-05-09T00:00:00"/>
    <x v="6"/>
    <x v="1"/>
    <s v="Valid"/>
    <s v="Valid"/>
    <n v="89"/>
    <s v="CUST-1178"/>
    <s v="Vikram Iyer"/>
    <s v="Vikram Iyer"/>
    <s v="Consumer"/>
    <x v="0"/>
    <s v="South"/>
    <x v="2"/>
    <s v="Tamil Nadu"/>
    <s v="Tamil Nadu"/>
    <s v="Chennai"/>
    <s v="Chennai"/>
    <s v="Technology"/>
    <x v="2"/>
    <s v="Phones"/>
    <x v="11"/>
    <s v="Smart Phones 158"/>
    <s v="First Class"/>
    <x v="2"/>
    <n v="5"/>
    <n v="3406.87"/>
    <n v="0"/>
    <n v="0"/>
    <s v="Valid"/>
    <n v="17034.349999999999"/>
    <n v="17034.349999999999"/>
    <n v="14631.36"/>
    <n v="2402.9899999999998"/>
    <n v="2402.989999999998"/>
    <n v="-14631.36"/>
    <s v="Paid"/>
    <s v="Paid"/>
    <s v="Completed"/>
    <x v="0"/>
    <s v="Clean"/>
  </r>
  <r>
    <s v="ORD-2025-10866"/>
    <n v="4"/>
    <s v="Unique"/>
    <s v="06-02-2025"/>
    <s v="14-02-2025"/>
    <d v="2025-06-02T00:00:00"/>
    <d v="2025-02-14T00:00:00"/>
    <x v="2"/>
    <x v="1"/>
    <s v="Valid"/>
    <s v="Valid"/>
    <n v="-108"/>
    <s v="CUST-8099"/>
    <s v="Kabir Singh"/>
    <s v="Kabir Singh"/>
    <s v="Consumer"/>
    <x v="0"/>
    <s v="West"/>
    <x v="3"/>
    <s v="Maharashtra"/>
    <s v="Maharashtra"/>
    <s v="Mumbai"/>
    <s v="Mumbai"/>
    <s v="Office Supplies"/>
    <x v="0"/>
    <s v="Labels"/>
    <x v="7"/>
    <s v="Classic Labels 218"/>
    <s v="Second Class"/>
    <x v="0"/>
    <n v="2"/>
    <n v="3992.04"/>
    <n v="0"/>
    <n v="0"/>
    <s v="Valid"/>
    <n v="7984.08"/>
    <n v="7984.08"/>
    <n v="5658.05"/>
    <n v="2326.0300000000002"/>
    <n v="2326.0299999999997"/>
    <n v="-5658.05"/>
    <s v="Paid"/>
    <s v="Paid"/>
    <s v="Completed"/>
    <x v="0"/>
    <s v="Clean"/>
  </r>
  <r>
    <s v="ORD-2025-10867"/>
    <n v="1"/>
    <s v="Unique"/>
    <s v="02/26/2025"/>
    <s v="2025-03-06"/>
    <d v="2025-02-26T00:00:00"/>
    <d v="2025-06-03T00:00:00"/>
    <x v="6"/>
    <x v="1"/>
    <s v="Valid"/>
    <s v="Valid"/>
    <n v="97"/>
    <s v="CUST-7596"/>
    <s v="Priya Menon"/>
    <s v="Priya Menon"/>
    <s v="Consumer"/>
    <x v="0"/>
    <s v="East"/>
    <x v="1"/>
    <s v="Bihar"/>
    <s v="Bihar"/>
    <s v="Patna"/>
    <s v="Patna"/>
    <s v="Furniture"/>
    <x v="1"/>
    <s v="Bookcases"/>
    <x v="10"/>
    <s v="Smart Bookcases 552"/>
    <s v="First Class"/>
    <x v="2"/>
    <n v="9"/>
    <n v="3043.37"/>
    <n v="0.2"/>
    <n v="0.2"/>
    <s v="Valid"/>
    <n v="21912.26"/>
    <n v="21912.263999999999"/>
    <n v="16367.78"/>
    <n v="5544.48"/>
    <n v="5544.4839999999986"/>
    <n v="-16367.78"/>
    <s v="Pending"/>
    <s v="Pending"/>
    <s v="Cancelled"/>
    <x v="1"/>
    <s v="Clean"/>
  </r>
  <r>
    <s v="ORD-2024-10868"/>
    <n v="1"/>
    <s v="Unique"/>
    <s v="21 Nov 2024"/>
    <s v="22 Nov 2024"/>
    <d v="2024-11-21T00:00:00"/>
    <d v="2024-11-22T00:00:00"/>
    <x v="3"/>
    <x v="0"/>
    <s v="Valid"/>
    <s v="Valid"/>
    <n v="1"/>
    <s v="CUST-2328"/>
    <s v="Rahul Verma"/>
    <s v="Rahul Verma"/>
    <s v="Home Office"/>
    <x v="3"/>
    <s v="South"/>
    <x v="2"/>
    <s v="Andhra Pradesh"/>
    <s v="Andhra Pradesh"/>
    <s v="Vijayawada"/>
    <s v="Vijayawada"/>
    <s v="Technology"/>
    <x v="2"/>
    <s v="Accessories"/>
    <x v="5"/>
    <s v="Eco Accessories 389"/>
    <s v="Same Day"/>
    <x v="1"/>
    <n v="6"/>
    <n v="1043.49"/>
    <n v="0.25"/>
    <n v="0.25"/>
    <s v="Valid"/>
    <n v="4695.7"/>
    <n v="4695.7049999999999"/>
    <n v="3871.69"/>
    <n v="824.01"/>
    <n v="824.01499999999987"/>
    <n v="-3871.69"/>
    <s v="Failed"/>
    <s v="Failed"/>
    <s v="Cancelled"/>
    <x v="1"/>
    <s v="Clean"/>
  </r>
  <r>
    <s v="ORD-2025-10869"/>
    <n v="2"/>
    <s v="Unique"/>
    <s v="11-04-2025"/>
    <s v="2025-04-15"/>
    <d v="2025-11-04T00:00:00"/>
    <d v="2025-04-15T00:00:00"/>
    <x v="3"/>
    <x v="1"/>
    <s v="Valid"/>
    <s v="Valid"/>
    <n v="-203"/>
    <s v="CUST-8483"/>
    <s v="Vikram Iyer"/>
    <s v="Vikram Iyer"/>
    <s v="Home Office"/>
    <x v="3"/>
    <s v="South"/>
    <x v="2"/>
    <s v="Karnataka"/>
    <s v="Karnataka"/>
    <s v="Bengaluru"/>
    <s v="Bengaluru"/>
    <s v="Office Supplies"/>
    <x v="0"/>
    <s v="Storage"/>
    <x v="8"/>
    <s v="Elite Storage 187"/>
    <s v="Same Day"/>
    <x v="1"/>
    <n v="9"/>
    <n v="224.94"/>
    <n v="0.05"/>
    <n v="0.05"/>
    <s v="Valid"/>
    <n v="1923.24"/>
    <n v="1923.2369999999999"/>
    <n v="1093.6600000000001"/>
    <n v="829.58"/>
    <n v="829.57699999999977"/>
    <n v="-1093.6600000000001"/>
    <s v="Paid"/>
    <s v="Paid"/>
    <s v="Completed"/>
    <x v="0"/>
    <s v="Clean"/>
  </r>
  <r>
    <s v="ORD-2025-10870"/>
    <n v="1"/>
    <s v="Unique"/>
    <s v="03/06/2025"/>
    <s v="07-03-2025"/>
    <d v="2025-03-06T00:00:00"/>
    <d v="2025-07-03T00:00:00"/>
    <x v="11"/>
    <x v="1"/>
    <s v="Valid"/>
    <s v="Valid"/>
    <n v="119"/>
    <s v="CUST-2388"/>
    <s v="Rohan Mehta"/>
    <s v="Rohan Mehta"/>
    <s v="Home Office"/>
    <x v="3"/>
    <s v="Unknown"/>
    <x v="4"/>
    <s v="Delhi"/>
    <s v="Delhi"/>
    <s v="New Delhi"/>
    <s v="New Delhi"/>
    <s v="Furniture"/>
    <x v="1"/>
    <s v="Chairs"/>
    <x v="4"/>
    <s v="Max Chairs 487"/>
    <s v="Same Day"/>
    <x v="1"/>
    <n v="6"/>
    <n v="796.65"/>
    <n v="0.1"/>
    <n v="0.1"/>
    <s v="Valid"/>
    <n v="4301.91"/>
    <n v="4301.91"/>
    <n v="2374.4"/>
    <n v="1927.51"/>
    <n v="1927.5099999999998"/>
    <n v="-2374.4"/>
    <s v="Paid"/>
    <s v="Paid"/>
    <s v="Completed"/>
    <x v="0"/>
    <s v="Clean"/>
  </r>
  <r>
    <s v="ORD-2025-10871"/>
    <n v="3"/>
    <s v="Unique"/>
    <s v="06 Jun 2025"/>
    <s v="07 Jun 2025"/>
    <d v="2025-06-06T00:00:00"/>
    <d v="2025-07-06T00:00:00"/>
    <x v="2"/>
    <x v="1"/>
    <s v="Valid"/>
    <s v="Valid"/>
    <n v="30"/>
    <s v="CUST-7054"/>
    <s v="Vikram Iyer"/>
    <s v="Vikram Iyer"/>
    <s v="Corporate"/>
    <x v="2"/>
    <s v="West"/>
    <x v="3"/>
    <s v="Goa"/>
    <s v="Goa"/>
    <s v="Panaji"/>
    <s v="Panaji"/>
    <s v="Furniture"/>
    <x v="1"/>
    <s v="Tables"/>
    <x v="1"/>
    <s v="Max Tables 281"/>
    <s v="Standard Class"/>
    <x v="3"/>
    <n v="9"/>
    <n v="2932.92"/>
    <n v="0.15"/>
    <n v="0.15"/>
    <s v="Valid"/>
    <n v="22436.84"/>
    <n v="22436.838"/>
    <n v="17454.669999999998"/>
    <n v="4982.17"/>
    <n v="4982.1680000000015"/>
    <n v="-17454.669999999998"/>
    <s v="Paid"/>
    <s v="Paid"/>
    <s v="Cancelled"/>
    <x v="1"/>
    <s v="Clean"/>
  </r>
  <r>
    <s v="ORD-2024-10872"/>
    <n v="1"/>
    <s v="Unique"/>
    <s v="02/20/2024"/>
    <s v="2024-02-22"/>
    <d v="2024-02-20T00:00:00"/>
    <d v="2024-02-22T00:00:00"/>
    <x v="6"/>
    <x v="0"/>
    <s v="Valid"/>
    <s v="Valid"/>
    <n v="2"/>
    <s v="CUST-4375"/>
    <s v="Neha Gupta"/>
    <s v="Neha Gupta"/>
    <s v="Small Business"/>
    <x v="1"/>
    <s v="South"/>
    <x v="2"/>
    <s v="Telangana"/>
    <s v="Telangana"/>
    <s v="Hyderabad"/>
    <s v="Hyderabad"/>
    <s v="Technology"/>
    <x v="2"/>
    <s v="Accessories"/>
    <x v="5"/>
    <s v="Pro Accessories 325"/>
    <s v="First Class"/>
    <x v="2"/>
    <n v="9"/>
    <n v="2186.23"/>
    <n v="0"/>
    <n v="0"/>
    <s v="Valid"/>
    <n v="19676.07"/>
    <n v="19676.07"/>
    <n v="12458.62"/>
    <n v="7217.45"/>
    <n v="7217.4499999999989"/>
    <n v="-12458.62"/>
    <s v="Refunded"/>
    <s v="Refunded"/>
    <s v="Cancelled"/>
    <x v="1"/>
    <s v="Clean"/>
  </r>
  <r>
    <s v="ORD-2024-10873"/>
    <n v="1"/>
    <s v="Unique"/>
    <s v="11/01/2024"/>
    <s v="02 Nov 2024"/>
    <d v="2024-11-01T00:00:00"/>
    <d v="2024-02-11T00:00:00"/>
    <x v="3"/>
    <x v="0"/>
    <s v="Valid"/>
    <s v="Valid"/>
    <n v="-264"/>
    <s v="CUST-6262"/>
    <s v="Karan Malhotra"/>
    <s v="Karan Malhotra"/>
    <s v="Corporate"/>
    <x v="2"/>
    <s v="East"/>
    <x v="1"/>
    <s v="West Bengal"/>
    <s v="West Bengal"/>
    <s v="Kolkata"/>
    <s v="Kolkata"/>
    <s v="Furniture"/>
    <x v="1"/>
    <s v="Furnishings"/>
    <x v="3"/>
    <s v="Prime Furnishings 178"/>
    <s v="Standard Class"/>
    <x v="3"/>
    <n v="5"/>
    <n v="2212.02"/>
    <n v="0.2"/>
    <n v="0.2"/>
    <s v="Valid"/>
    <n v="8848.08"/>
    <n v="8848.08"/>
    <n v="5691.56"/>
    <n v="3156.52"/>
    <n v="3156.5199999999995"/>
    <n v="-5691.56"/>
    <s v="Paid"/>
    <s v="Paid"/>
    <s v="Completed"/>
    <x v="0"/>
    <s v="Clean"/>
  </r>
  <r>
    <s v="ORD-2025-10874"/>
    <n v="2"/>
    <s v="Unique"/>
    <s v="01 Feb 2025"/>
    <s v="08-02-2025"/>
    <d v="2025-01-02T00:00:00"/>
    <d v="2025-08-02T00:00:00"/>
    <x v="8"/>
    <x v="1"/>
    <s v="Valid"/>
    <s v="Valid"/>
    <n v="212"/>
    <s v="CUST-8160"/>
    <s v="Aditi Sen"/>
    <s v="Aditi Sen"/>
    <s v="Home Office"/>
    <x v="3"/>
    <s v="West"/>
    <x v="3"/>
    <s v="Gujarat"/>
    <s v="Gujarat"/>
    <s v="Ahmedabad"/>
    <s v="Ahmedabad"/>
    <s v="Office Supplies"/>
    <x v="0"/>
    <s v="Storage"/>
    <x v="8"/>
    <s v="Elite Storage 144"/>
    <s v="Second Class"/>
    <x v="0"/>
    <n v="8"/>
    <n v="623.30999999999995"/>
    <n v="0.1"/>
    <n v="0.1"/>
    <s v="Valid"/>
    <n v="4487.83"/>
    <n v="4487.8319999999994"/>
    <n v="2633.78"/>
    <n v="1854.05"/>
    <n v="1854.0519999999992"/>
    <n v="-2633.78"/>
    <s v="Paid"/>
    <s v="Paid"/>
    <s v="Completed"/>
    <x v="0"/>
    <s v="Clean"/>
  </r>
  <r>
    <s v="ORD-2025-10875"/>
    <n v="2"/>
    <s v="Unique"/>
    <s v="15 Jul 2025"/>
    <s v="16 Jul 2025"/>
    <d v="2025-07-15T00:00:00"/>
    <d v="2025-07-16T00:00:00"/>
    <x v="0"/>
    <x v="1"/>
    <s v="Valid"/>
    <s v="Valid"/>
    <n v="1"/>
    <s v="CUST-8770"/>
    <s v="Vikram Iyer"/>
    <s v="Vikram Iyer"/>
    <s v="Small Business"/>
    <x v="1"/>
    <s v="West"/>
    <x v="3"/>
    <s v="Maharashtra"/>
    <s v="Maharashtra"/>
    <s v="Mumbai"/>
    <s v="Mumbai"/>
    <s v="Office Supplies"/>
    <x v="0"/>
    <s v="Paper"/>
    <x v="0"/>
    <s v="Elite Paper 309"/>
    <s v="Standard Class"/>
    <x v="3"/>
    <n v="8"/>
    <n v="3924.88"/>
    <n v="0.05"/>
    <n v="0.05"/>
    <s v="Valid"/>
    <n v="29829.09"/>
    <n v="29829.088"/>
    <n v="20710.18"/>
    <n v="9118.91"/>
    <n v="9118.9079999999994"/>
    <n v="-20710.18"/>
    <s v="Paid"/>
    <s v="Paid"/>
    <s v="Completed"/>
    <x v="0"/>
    <s v="Clean"/>
  </r>
  <r>
    <s v="ORD-2024-10876"/>
    <n v="3"/>
    <s v="Unique"/>
    <s v="10 Aug 2024"/>
    <s v="08/11/2024"/>
    <d v="2024-10-08T00:00:00"/>
    <d v="2024-08-11T00:00:00"/>
    <x v="10"/>
    <x v="0"/>
    <s v="Valid"/>
    <s v="Valid"/>
    <n v="-58"/>
    <s v="CUST-6928"/>
    <s v="Mira Das"/>
    <s v="Mira Das"/>
    <s v="Corporate"/>
    <x v="2"/>
    <s v="West"/>
    <x v="3"/>
    <s v="Maharashtra"/>
    <s v="Maharashtra"/>
    <s v="Mumbai"/>
    <s v="Mumbai"/>
    <s v="Technology"/>
    <x v="2"/>
    <s v="Copiers"/>
    <x v="6"/>
    <s v="Elite Copiers 752"/>
    <s v="First Class"/>
    <x v="2"/>
    <n v="7"/>
    <n v="3852.62"/>
    <n v="0.2"/>
    <n v="0.2"/>
    <s v="Valid"/>
    <n v="21574.67"/>
    <n v="21574.672000000002"/>
    <n v="14672.83"/>
    <n v="6901.84"/>
    <n v="6901.8420000000024"/>
    <n v="-14672.83"/>
    <s v="Paid"/>
    <s v="Paid"/>
    <s v="Completed"/>
    <x v="0"/>
    <s v="Clean"/>
  </r>
  <r>
    <s v="ORD-2024-10877"/>
    <n v="1"/>
    <s v="Unique"/>
    <s v="11/18/2024"/>
    <s v="20-11-2024"/>
    <d v="2024-11-18T00:00:00"/>
    <d v="2024-11-20T00:00:00"/>
    <x v="3"/>
    <x v="0"/>
    <s v="Valid"/>
    <s v="Valid"/>
    <n v="2"/>
    <s v="CUST-9044"/>
    <s v="Priya Menon"/>
    <s v="Priya Menon"/>
    <s v="Consumer"/>
    <x v="0"/>
    <s v="West"/>
    <x v="3"/>
    <s v="Rajasthan"/>
    <s v="Rajasthan"/>
    <s v="Udaipur"/>
    <s v="Udaipur"/>
    <s v="Furniture"/>
    <x v="1"/>
    <s v="Chairs"/>
    <x v="4"/>
    <s v="Pro Chairs 316"/>
    <s v="First Class"/>
    <x v="2"/>
    <n v="6"/>
    <n v="3790.22"/>
    <n v="0"/>
    <n v="0"/>
    <s v="Valid"/>
    <n v="22741.32"/>
    <n v="22741.32"/>
    <n v="16388.57"/>
    <n v="6352.75"/>
    <n v="6352.75"/>
    <n v="-16388.57"/>
    <s v="Paid"/>
    <s v="Paid"/>
    <s v="Completed"/>
    <x v="0"/>
    <s v="Clean"/>
  </r>
  <r>
    <s v="ORD-2025-10878"/>
    <n v="2"/>
    <s v="Unique"/>
    <s v="26-08-2025"/>
    <s v="2025-09-03"/>
    <d v="2025-08-26T00:00:00"/>
    <d v="2025-03-09T00:00:00"/>
    <x v="1"/>
    <x v="1"/>
    <s v="Valid"/>
    <s v="Valid"/>
    <n v="-170"/>
    <s v="CUST-7146"/>
    <s v="Aarav Sharma"/>
    <s v="Aarav Sharma"/>
    <s v="Consumer"/>
    <x v="0"/>
    <s v="West"/>
    <x v="3"/>
    <s v="Rajasthan"/>
    <s v="Rajasthan"/>
    <s v="Udaipur"/>
    <s v="Udaipur"/>
    <s v="Office Supplies"/>
    <x v="0"/>
    <s v="Storage"/>
    <x v="8"/>
    <s v="Max Storage 438"/>
    <s v="Second Class"/>
    <x v="0"/>
    <n v="6"/>
    <n v="674.36"/>
    <n v="0.1"/>
    <n v="0.1"/>
    <s v="Valid"/>
    <n v="3641.54"/>
    <n v="3641.5439999999999"/>
    <n v="2690.37"/>
    <n v="951.17"/>
    <n v="951.17399999999998"/>
    <n v="-2690.37"/>
    <s v="Paid"/>
    <s v="Paid"/>
    <s v="Completed"/>
    <x v="0"/>
    <s v="Clean"/>
  </r>
  <r>
    <s v="ORD-2024-10879"/>
    <n v="6"/>
    <s v="Unique"/>
    <s v="2024-01-22"/>
    <s v="2024-01-22"/>
    <d v="2024-01-22T00:00:00"/>
    <d v="2024-01-22T00:00:00"/>
    <x v="8"/>
    <x v="0"/>
    <s v="Valid"/>
    <s v="Valid"/>
    <n v="0"/>
    <s v="CUST-8534"/>
    <s v="Karan Malhotra"/>
    <s v="Karan Malhotra"/>
    <s v="Corporate"/>
    <x v="2"/>
    <s v="East"/>
    <x v="1"/>
    <s v="West Bengal"/>
    <s v="West Bengal"/>
    <s v="Kolkata"/>
    <s v="Kolkata"/>
    <s v="Office Supplies"/>
    <x v="0"/>
    <s v="Paper"/>
    <x v="0"/>
    <s v="Basic Paper 904"/>
    <s v="First Class"/>
    <x v="2"/>
    <n v="8"/>
    <n v="1557.21"/>
    <n v="0.05"/>
    <n v="0.05"/>
    <s v="Valid"/>
    <n v="11834.8"/>
    <n v="11834.796"/>
    <n v="9322.36"/>
    <n v="2512.44"/>
    <n v="2512.4359999999997"/>
    <n v="-9322.36"/>
    <s v="Paid"/>
    <s v="Paid"/>
    <s v="Completed"/>
    <x v="0"/>
    <s v="Clean"/>
  </r>
  <r>
    <s v="ORD-2025-10880"/>
    <n v="2"/>
    <s v="Unique"/>
    <s v="2025-08-27"/>
    <s v="08/28/2025"/>
    <d v="2025-08-27T00:00:00"/>
    <d v="2025-08-28T00:00:00"/>
    <x v="1"/>
    <x v="1"/>
    <s v="Valid"/>
    <s v="Valid"/>
    <n v="1"/>
    <s v="CUST-4486"/>
    <s v="Ananya Rao"/>
    <s v="Ananya Rao"/>
    <s v="Home Office"/>
    <x v="3"/>
    <s v="North"/>
    <x v="0"/>
    <s v="Uttar Pradesh"/>
    <s v="Uttar Pradesh"/>
    <s v="Noida"/>
    <s v="Noida"/>
    <s v="Office Supplies"/>
    <x v="0"/>
    <s v="Art"/>
    <x v="2"/>
    <s v="Smart Art 990"/>
    <s v="Standard Class"/>
    <x v="3"/>
    <n v="6"/>
    <n v="1182.03"/>
    <n v="0.15"/>
    <n v="0.15"/>
    <s v="Valid"/>
    <n v="6028.35"/>
    <n v="6028.3530000000001"/>
    <n v="4433.63"/>
    <n v="1594.72"/>
    <n v="1594.723"/>
    <n v="-4433.63"/>
    <s v="Paid"/>
    <s v="Paid"/>
    <s v="Completed"/>
    <x v="0"/>
    <s v="Clean"/>
  </r>
  <r>
    <s v="ORD-2024-10881"/>
    <n v="1"/>
    <s v="Unique"/>
    <s v="08-03-2024"/>
    <s v="03/15/2024"/>
    <d v="2024-08-03T00:00:00"/>
    <d v="2024-03-15T00:00:00"/>
    <x v="1"/>
    <x v="0"/>
    <s v="Valid"/>
    <s v="Valid"/>
    <n v="-141"/>
    <s v="CUST-5287"/>
    <s v="Aarav Sharma"/>
    <s v="Aarav Sharma"/>
    <s v="Small Business"/>
    <x v="1"/>
    <s v="Unknown"/>
    <x v="4"/>
    <s v="Punjab"/>
    <s v="Punjab"/>
    <s v="Ludhiana"/>
    <s v="Ludhiana"/>
    <s v="Furniture"/>
    <x v="1"/>
    <s v="Chairs"/>
    <x v="4"/>
    <s v="Basic Chairs 327"/>
    <s v="First Class"/>
    <x v="2"/>
    <n v="5"/>
    <n v="3234.77"/>
    <n v="0"/>
    <n v="0"/>
    <s v="Valid"/>
    <n v="16173.85"/>
    <n v="16173.85"/>
    <n v="13636.34"/>
    <n v="2537.5100000000002"/>
    <n v="2537.5100000000002"/>
    <n v="-13636.34"/>
    <s v="Paid"/>
    <s v="Paid"/>
    <s v="Completed"/>
    <x v="0"/>
    <s v="Clean"/>
  </r>
  <r>
    <s v="ORD-2024-10882"/>
    <n v="4"/>
    <s v="Unique"/>
    <s v="01 Dec 2024"/>
    <s v="05-12-2024"/>
    <d v="2024-01-12T00:00:00"/>
    <d v="2024-05-12T00:00:00"/>
    <x v="8"/>
    <x v="0"/>
    <s v="Valid"/>
    <s v="Valid"/>
    <n v="121"/>
    <s v="CUST-3445"/>
    <s v="Ananya Rao"/>
    <s v="Ananya Rao"/>
    <s v="Small Business"/>
    <x v="1"/>
    <s v="South"/>
    <x v="2"/>
    <s v="Andhra Pradesh"/>
    <s v="Andhra Pradesh"/>
    <s v="Vijayawada"/>
    <s v="Vijayawada"/>
    <s v="Technology"/>
    <x v="2"/>
    <s v="Copiers"/>
    <x v="6"/>
    <s v="Eco Copiers 987"/>
    <s v="Second Class"/>
    <x v="0"/>
    <n v="9"/>
    <n v="3726.75"/>
    <n v="0.25"/>
    <n v="0.25"/>
    <s v="Valid"/>
    <n v="25155.56"/>
    <n v="25155.5625"/>
    <n v="17592.689999999999"/>
    <n v="7562.87"/>
    <n v="7562.8725000000013"/>
    <n v="-17592.689999999999"/>
    <s v="Paid"/>
    <s v="Paid"/>
    <s v="Completed"/>
    <x v="0"/>
    <s v="Clean"/>
  </r>
  <r>
    <s v="ORD-2025-10883"/>
    <n v="4"/>
    <s v="Unique"/>
    <s v="02 Feb 2025"/>
    <s v="02/10/2025"/>
    <d v="2025-02-02T00:00:00"/>
    <d v="2025-02-10T00:00:00"/>
    <x v="6"/>
    <x v="1"/>
    <s v="Valid"/>
    <s v="Valid"/>
    <n v="8"/>
    <s v="CUST-4983"/>
    <s v="Sneha Kapoor"/>
    <s v="Sneha Kapoor"/>
    <s v="Corporate"/>
    <x v="2"/>
    <s v="East"/>
    <x v="1"/>
    <s v="Bihar"/>
    <s v="Bihar"/>
    <s v="Patna"/>
    <s v="Patna"/>
    <s v="Technology"/>
    <x v="2"/>
    <s v="Accessories"/>
    <x v="5"/>
    <s v="Basic Accessories 607"/>
    <s v="Standard Class"/>
    <x v="3"/>
    <n v="4"/>
    <n v="1912.45"/>
    <n v="0"/>
    <n v="0"/>
    <s v="Valid"/>
    <n v="7649.8"/>
    <n v="7649.8"/>
    <n v="4894.53"/>
    <n v="2755.27"/>
    <n v="2755.2700000000004"/>
    <n v="-4894.53"/>
    <s v="Pending"/>
    <s v="Pending"/>
    <s v="Returned"/>
    <x v="2"/>
    <s v="Clean"/>
  </r>
  <r>
    <s v="ORD-2025-10884"/>
    <n v="1"/>
    <s v="Unique"/>
    <s v="28 Apr 2025"/>
    <s v="05/01/2025"/>
    <d v="2025-04-28T00:00:00"/>
    <d v="2025-05-01T00:00:00"/>
    <x v="5"/>
    <x v="1"/>
    <s v="Valid"/>
    <s v="Valid"/>
    <n v="3"/>
    <s v="CUST-2597"/>
    <s v="Aarav Sharma"/>
    <s v="Aarav Sharma"/>
    <s v="Small Business"/>
    <x v="1"/>
    <s v="West"/>
    <x v="3"/>
    <s v="Goa"/>
    <s v="Goa"/>
    <s v="Panaji"/>
    <s v="Panaji"/>
    <s v="Office Supplies"/>
    <x v="0"/>
    <s v="Storage"/>
    <x v="8"/>
    <s v="Classic Storage 211"/>
    <s v="Same Day"/>
    <x v="1"/>
    <n v="1"/>
    <n v="1620.87"/>
    <n v="0"/>
    <n v="0"/>
    <s v="Valid"/>
    <n v="1620.87"/>
    <n v="1620.87"/>
    <n v="1103.6099999999999"/>
    <n v="517.26"/>
    <n v="517.26"/>
    <n v="-1103.6099999999999"/>
    <s v="Paid"/>
    <s v="Paid"/>
    <s v="Completed"/>
    <x v="0"/>
    <s v="Clean"/>
  </r>
  <r>
    <s v="ORD-2025-10885"/>
    <n v="1"/>
    <s v="Unique"/>
    <s v="18-01-2025"/>
    <s v="2025-01-25"/>
    <d v="2025-01-18T00:00:00"/>
    <d v="2025-01-25T00:00:00"/>
    <x v="8"/>
    <x v="1"/>
    <s v="Valid"/>
    <s v="Valid"/>
    <n v="7"/>
    <s v="CUST-7505"/>
    <s v="Neha Gupta"/>
    <s v="Neha Gupta"/>
    <s v="Home Office"/>
    <x v="3"/>
    <s v="South"/>
    <x v="2"/>
    <s v="Karnataka"/>
    <s v="Karnataka"/>
    <s v="Bengaluru"/>
    <s v="Bengaluru"/>
    <s v="Office Supplies"/>
    <x v="0"/>
    <s v="Storage"/>
    <x v="8"/>
    <s v="Eco Storage 783"/>
    <s v="Same Day"/>
    <x v="1"/>
    <n v="2"/>
    <n v="2098.54"/>
    <n v="0.15"/>
    <n v="0.15"/>
    <s v="Valid"/>
    <n v="3567.52"/>
    <n v="3567.518"/>
    <n v="2411.8000000000002"/>
    <n v="1155.72"/>
    <n v="1155.7179999999998"/>
    <n v="-2411.8000000000002"/>
    <s v="Paid"/>
    <s v="Paid"/>
    <s v="Completed"/>
    <x v="0"/>
    <s v="Clean"/>
  </r>
  <r>
    <s v="ORD-2024-10886"/>
    <n v="1"/>
    <s v="Unique"/>
    <s v="2024-01-05"/>
    <s v="2024-01-05"/>
    <d v="2024-05-01T00:00:00"/>
    <d v="2024-05-01T00:00:00"/>
    <x v="4"/>
    <x v="0"/>
    <s v="Valid"/>
    <s v="Valid"/>
    <n v="0"/>
    <s v="CUST-3446"/>
    <s v="Diya Patel"/>
    <s v="Diya Patel"/>
    <s v="Consumer"/>
    <x v="0"/>
    <s v="North"/>
    <x v="0"/>
    <s v="Rajasthan"/>
    <s v="Rajasthan"/>
    <s v="Jaipur"/>
    <s v="Jaipur"/>
    <s v="Furniture"/>
    <x v="1"/>
    <s v="Tables"/>
    <x v="1"/>
    <s v="Pro Tables 866"/>
    <s v="Standard Class"/>
    <x v="3"/>
    <n v="1"/>
    <n v="2167.08"/>
    <n v="0.25"/>
    <n v="0.25"/>
    <s v="Valid"/>
    <n v="1625.31"/>
    <n v="1625.31"/>
    <n v="1157.8900000000001"/>
    <n v="467.42"/>
    <n v="467.41999999999985"/>
    <n v="-1157.8900000000001"/>
    <s v="Paid"/>
    <s v="Paid"/>
    <s v="Completed"/>
    <x v="0"/>
    <s v="Clean"/>
  </r>
  <r>
    <s v="ORD-2025-10887"/>
    <n v="1"/>
    <s v="Unique"/>
    <s v="26-04-2025"/>
    <s v="03-05-2025"/>
    <d v="2025-04-26T00:00:00"/>
    <d v="2025-03-05T00:00:00"/>
    <x v="5"/>
    <x v="1"/>
    <s v="Valid"/>
    <s v="Valid"/>
    <n v="-52"/>
    <s v="CUST-3549"/>
    <s v="Arjun Bose"/>
    <s v="Arjun Bose"/>
    <s v="Home Office"/>
    <x v="3"/>
    <s v="South"/>
    <x v="2"/>
    <s v="Tamil Nadu"/>
    <s v="Tamil Nadu"/>
    <s v="Chennai"/>
    <s v="Chennai"/>
    <s v="Technology"/>
    <x v="2"/>
    <s v="Accessories"/>
    <x v="5"/>
    <s v="Max Accessories 541"/>
    <s v="First Class"/>
    <x v="2"/>
    <n v="7"/>
    <n v="3989.9"/>
    <n v="0.15"/>
    <n v="0.15"/>
    <s v="Valid"/>
    <n v="23739.9"/>
    <n v="23739.904999999999"/>
    <n v="17716.52"/>
    <n v="6023.38"/>
    <n v="6023.3849999999984"/>
    <n v="-17716.52"/>
    <s v="Paid"/>
    <s v="Paid"/>
    <s v="Cancelled"/>
    <x v="1"/>
    <s v="Clean"/>
  </r>
  <r>
    <s v="ORD-2024-10888"/>
    <n v="3"/>
    <s v="Unique"/>
    <s v="2024-06-12"/>
    <s v="2024-06-18"/>
    <d v="2024-12-06T00:00:00"/>
    <d v="2024-06-18T00:00:00"/>
    <x v="7"/>
    <x v="0"/>
    <s v="Valid"/>
    <s v="Valid"/>
    <n v="-171"/>
    <s v="CUST-2795"/>
    <s v="Aarav Sharma"/>
    <s v="Aarav Sharma"/>
    <s v="Small Business"/>
    <x v="1"/>
    <s v="South"/>
    <x v="2"/>
    <s v="Andhra Pradesh"/>
    <s v="Andhra Pradesh"/>
    <s v="Vijayawada"/>
    <s v="Vijayawada"/>
    <s v="Office Supplies"/>
    <x v="0"/>
    <s v="Art"/>
    <x v="2"/>
    <s v="Prime Art 596"/>
    <s v="Standard Class"/>
    <x v="3"/>
    <n v="4"/>
    <n v="4176.13"/>
    <n v="0"/>
    <n v="0"/>
    <s v="Valid"/>
    <n v="16704.52"/>
    <n v="16704.52"/>
    <n v="10158.280000000001"/>
    <n v="6546.24"/>
    <n v="6546.24"/>
    <n v="-10158.280000000001"/>
    <s v="Paid"/>
    <s v="Paid"/>
    <s v="Completed"/>
    <x v="0"/>
    <s v="Clean"/>
  </r>
  <r>
    <s v="ORD-2025-10889"/>
    <n v="4"/>
    <s v="Unique"/>
    <s v="06-08-2025"/>
    <s v="07-08-2025"/>
    <d v="2025-06-08T00:00:00"/>
    <d v="2025-07-08T00:00:00"/>
    <x v="2"/>
    <x v="1"/>
    <s v="Valid"/>
    <s v="Valid"/>
    <n v="30"/>
    <s v="CUST-1081"/>
    <s v="Rahul Verma"/>
    <s v="Rahul Verma"/>
    <s v="Small Business"/>
    <x v="1"/>
    <s v="West"/>
    <x v="3"/>
    <s v="Maharashtra"/>
    <s v="Maharashtra"/>
    <s v="Mumbai"/>
    <s v="Mumbai"/>
    <s v="Office Supplies"/>
    <x v="0"/>
    <s v="Art"/>
    <x v="2"/>
    <s v="Pro Art 620"/>
    <s v="Standard Class"/>
    <x v="3"/>
    <n v="4"/>
    <n v="3523.64"/>
    <n v="0.1"/>
    <n v="0.1"/>
    <s v="Valid"/>
    <n v="12685.1"/>
    <n v="12685.103999999999"/>
    <n v="10779.56"/>
    <n v="1905.54"/>
    <n v="1905.5439999999999"/>
    <n v="-10779.56"/>
    <s v="Refunded"/>
    <s v="Refunded"/>
    <s v="Cancelled"/>
    <x v="1"/>
    <s v="Clean"/>
  </r>
  <r>
    <s v="ORD-2025-10890"/>
    <n v="2"/>
    <s v="Unique"/>
    <s v="10 Mar 2025"/>
    <s v="03/11/2025"/>
    <d v="2025-10-03T00:00:00"/>
    <d v="2025-03-11T00:00:00"/>
    <x v="10"/>
    <x v="1"/>
    <s v="Valid"/>
    <s v="Valid"/>
    <n v="-206"/>
    <s v="CUST-8467"/>
    <s v="Aditi Sen"/>
    <s v="Aditi Sen"/>
    <s v="Home Office"/>
    <x v="3"/>
    <s v="West"/>
    <x v="3"/>
    <s v="Madhya Pradesh"/>
    <s v="Madhya Pradesh"/>
    <s v="Indore"/>
    <s v="Indore"/>
    <s v="Office Supplies"/>
    <x v="0"/>
    <s v="Storage"/>
    <x v="8"/>
    <s v="Prime Storage 806"/>
    <s v="First Class"/>
    <x v="2"/>
    <n v="2"/>
    <n v="3922.08"/>
    <n v="0.25"/>
    <n v="0.25"/>
    <s v="Valid"/>
    <n v="5883.12"/>
    <n v="5883.12"/>
    <n v="4647.91"/>
    <n v="1235.21"/>
    <n v="1235.21"/>
    <n v="-4647.91"/>
    <s v="Paid"/>
    <s v="Paid"/>
    <s v="Returned"/>
    <x v="2"/>
    <s v="Clean"/>
  </r>
  <r>
    <s v="ORD-2024-10891"/>
    <n v="2"/>
    <s v="Unique"/>
    <s v="15-05-2024"/>
    <s v="21-05-2024"/>
    <d v="2024-05-15T00:00:00"/>
    <d v="2024-05-21T00:00:00"/>
    <x v="4"/>
    <x v="0"/>
    <s v="Valid"/>
    <s v="Valid"/>
    <n v="6"/>
    <s v="CUST-3992"/>
    <s v="Karan Malhotra"/>
    <s v="Karan Malhotra"/>
    <s v="Consumer"/>
    <x v="0"/>
    <s v="West"/>
    <x v="3"/>
    <s v="Goa"/>
    <s v="Goa"/>
    <s v="Panaji"/>
    <s v="Panaji"/>
    <s v="Office Supplies"/>
    <x v="0"/>
    <s v="Storage"/>
    <x v="8"/>
    <s v="Smart Storage 288"/>
    <s v="Standard Class"/>
    <x v="3"/>
    <n v="6"/>
    <n v="2909.56"/>
    <n v="0.2"/>
    <n v="0.2"/>
    <s v="Valid"/>
    <n v="13965.89"/>
    <n v="13965.888000000001"/>
    <n v="11646.12"/>
    <n v="2319.77"/>
    <n v="2319.768"/>
    <n v="-11646.12"/>
    <s v="Paid"/>
    <s v="Paid"/>
    <s v="Completed"/>
    <x v="0"/>
    <s v="Clean"/>
  </r>
  <r>
    <s v="ORD-2024-10892"/>
    <n v="1"/>
    <s v="Unique"/>
    <s v="08 Oct 2024"/>
    <s v="09-10-2024"/>
    <d v="2024-08-10T00:00:00"/>
    <d v="2024-09-10T00:00:00"/>
    <x v="1"/>
    <x v="0"/>
    <s v="Valid"/>
    <s v="Valid"/>
    <n v="31"/>
    <s v="CUST-6647"/>
    <s v="Kabir Singh"/>
    <s v="Kabir Singh"/>
    <s v="Corporate"/>
    <x v="2"/>
    <s v="South"/>
    <x v="2"/>
    <s v="Tamil Nadu"/>
    <s v="Tamil Nadu"/>
    <s v="Chennai"/>
    <s v="Chennai"/>
    <s v="Technology"/>
    <x v="2"/>
    <s v="Machines"/>
    <x v="12"/>
    <s v="Elite Machines 281"/>
    <s v="Same Day"/>
    <x v="1"/>
    <n v="5"/>
    <n v="2407.9699999999998"/>
    <n v="0.1"/>
    <n v="0.1"/>
    <s v="Valid"/>
    <n v="10835.86"/>
    <n v="10835.865"/>
    <n v="6419.92"/>
    <n v="4415.9399999999996"/>
    <n v="4415.9449999999997"/>
    <n v="-6419.92"/>
    <s v="Failed"/>
    <s v="Failed"/>
    <s v="Cancelled"/>
    <x v="1"/>
    <s v="Clean"/>
  </r>
  <r>
    <s v="ORD-2025-10893"/>
    <n v="1"/>
    <s v="Unique"/>
    <s v="04/12/2025"/>
    <s v="04/18/2025"/>
    <d v="2025-04-12T00:00:00"/>
    <d v="2025-04-18T00:00:00"/>
    <x v="5"/>
    <x v="1"/>
    <s v="Valid"/>
    <s v="Valid"/>
    <n v="6"/>
    <s v="CUST-5087"/>
    <s v="Isha Nair"/>
    <s v="Isha Nair"/>
    <s v="Small Business"/>
    <x v="1"/>
    <s v="East"/>
    <x v="1"/>
    <s v="Jharkhand"/>
    <s v="Jharkhand"/>
    <s v="Ranchi"/>
    <s v="Ranchi"/>
    <s v="Technology"/>
    <x v="2"/>
    <s v="Copiers"/>
    <x v="6"/>
    <s v="Elite Copiers 221"/>
    <s v="Same Day"/>
    <x v="1"/>
    <n v="1"/>
    <n v="726.89"/>
    <n v="0.2"/>
    <n v="0.2"/>
    <s v="Valid"/>
    <n v="581.51"/>
    <n v="581.51200000000006"/>
    <n v="423.86"/>
    <n v="157.65"/>
    <n v="157.65200000000004"/>
    <n v="-423.86"/>
    <s v="Paid"/>
    <s v="Paid"/>
    <s v="Completed"/>
    <x v="0"/>
    <s v="Clean"/>
  </r>
  <r>
    <s v="ORD-2024-10894"/>
    <n v="3"/>
    <s v="Unique"/>
    <s v="06 Jun 2024"/>
    <s v="08 Jun 2024"/>
    <d v="2024-06-06T00:00:00"/>
    <d v="2024-08-06T00:00:00"/>
    <x v="2"/>
    <x v="0"/>
    <s v="Valid"/>
    <s v="Valid"/>
    <n v="61"/>
    <s v="CUST-9297"/>
    <s v="Aarav Sharma"/>
    <s v="Aarav Sharma"/>
    <s v="Corporate"/>
    <x v="2"/>
    <s v="South"/>
    <x v="2"/>
    <s v="Karnataka"/>
    <s v="Karnataka"/>
    <s v="Bengaluru"/>
    <s v="Bengaluru"/>
    <s v="Furniture"/>
    <x v="1"/>
    <s v="Tables"/>
    <x v="1"/>
    <s v="Max Tables 291"/>
    <s v="Second Class"/>
    <x v="0"/>
    <n v="3"/>
    <n v="395.49"/>
    <n v="0.05"/>
    <n v="0.05"/>
    <s v="Valid"/>
    <n v="1127.1500000000001"/>
    <n v="1127.1465000000001"/>
    <n v="845.62"/>
    <n v="281.52999999999997"/>
    <n v="281.52650000000006"/>
    <n v="-845.62"/>
    <s v="Paid"/>
    <s v="Paid"/>
    <s v="Returned"/>
    <x v="2"/>
    <s v="Clean"/>
  </r>
  <r>
    <s v="ORD-2024-10895"/>
    <n v="2"/>
    <s v="Unique"/>
    <s v="22 Feb 2024"/>
    <s v="02/29/2024"/>
    <d v="2024-02-22T00:00:00"/>
    <d v="2024-02-29T00:00:00"/>
    <x v="6"/>
    <x v="0"/>
    <s v="Valid"/>
    <s v="Valid"/>
    <n v="7"/>
    <s v="CUST-7996"/>
    <s v="Isha Nair"/>
    <s v="Isha Nair"/>
    <s v="Home Office"/>
    <x v="3"/>
    <s v="South"/>
    <x v="2"/>
    <s v="Telangana"/>
    <s v="Telangana"/>
    <s v="Hyderabad"/>
    <s v="Hyderabad"/>
    <s v="Furniture"/>
    <x v="1"/>
    <s v="Tables"/>
    <x v="1"/>
    <s v="Classic Tables 638"/>
    <s v="First Class"/>
    <x v="2"/>
    <n v="6"/>
    <n v="4254.05"/>
    <n v="0"/>
    <n v="0"/>
    <s v="Valid"/>
    <n v="25524.3"/>
    <n v="25524.300000000003"/>
    <n v="16711.93"/>
    <n v="8812.3700000000008"/>
    <n v="8812.3700000000026"/>
    <n v="-16711.93"/>
    <s v="Paid"/>
    <s v="Paid"/>
    <s v="Completed"/>
    <x v="0"/>
    <s v="Clean"/>
  </r>
  <r>
    <s v="ORD-2024-10896"/>
    <n v="3"/>
    <s v="Unique"/>
    <s v="05 Nov 2024"/>
    <s v="11/10/2024"/>
    <d v="2024-05-11T00:00:00"/>
    <d v="2024-11-10T00:00:00"/>
    <x v="4"/>
    <x v="0"/>
    <s v="Valid"/>
    <s v="Valid"/>
    <n v="183"/>
    <s v="CUST-4117"/>
    <s v="Arjun Bose"/>
    <s v="Arjun Bose"/>
    <s v="Consumer"/>
    <x v="0"/>
    <s v="South"/>
    <x v="2"/>
    <s v="Kerala"/>
    <s v="Kerala"/>
    <s v="Kochi"/>
    <s v="Kochi"/>
    <s v="Furniture"/>
    <x v="1"/>
    <s v="Chairs"/>
    <x v="4"/>
    <s v="Basic Chairs 212"/>
    <s v="Same Day"/>
    <x v="1"/>
    <n v="4"/>
    <n v="711.18"/>
    <n v="0.15"/>
    <n v="0.15"/>
    <s v="Valid"/>
    <n v="2418.0100000000002"/>
    <n v="2418.0119999999997"/>
    <n v="1441.89"/>
    <n v="976.12"/>
    <n v="976.12199999999962"/>
    <n v="-1441.89"/>
    <s v="Pending"/>
    <s v="Pending"/>
    <s v="Returned"/>
    <x v="2"/>
    <s v="Clean"/>
  </r>
  <r>
    <s v="ORD-2024-10897"/>
    <n v="1"/>
    <s v="Unique"/>
    <s v="12/24/2024"/>
    <s v="25-12-2024"/>
    <d v="2024-12-24T00:00:00"/>
    <d v="2024-12-25T00:00:00"/>
    <x v="7"/>
    <x v="0"/>
    <s v="Valid"/>
    <s v="Valid"/>
    <n v="1"/>
    <s v="CUST-4848"/>
    <s v="Ananya Rao"/>
    <s v="Ananya Rao"/>
    <s v="Small Business"/>
    <x v="1"/>
    <s v="South"/>
    <x v="2"/>
    <s v="Tamil Nadu"/>
    <s v="Tamil Nadu"/>
    <s v="Chennai"/>
    <s v="Chennai"/>
    <s v="Technology"/>
    <x v="2"/>
    <s v="Copiers"/>
    <x v="6"/>
    <s v="Max Copiers 121"/>
    <s v="Second Class"/>
    <x v="0"/>
    <n v="1"/>
    <n v="3693.03"/>
    <n v="0.05"/>
    <n v="0.05"/>
    <s v="Valid"/>
    <n v="3508.38"/>
    <n v="3508.3784999999998"/>
    <n v="2828.06"/>
    <n v="680.32"/>
    <n v="680.31849999999986"/>
    <n v="-2828.06"/>
    <s v="Failed"/>
    <s v="Failed"/>
    <s v="Returned"/>
    <x v="2"/>
    <s v="Clean"/>
  </r>
  <r>
    <s v="ORD-2025-10898"/>
    <n v="2"/>
    <s v="Unique"/>
    <s v="04/29/2025"/>
    <s v="03 May 2025"/>
    <d v="2025-04-29T00:00:00"/>
    <d v="2025-03-05T00:00:00"/>
    <x v="5"/>
    <x v="1"/>
    <s v="Valid"/>
    <s v="Valid"/>
    <n v="-55"/>
    <s v="CUST-2897"/>
    <s v="Rohan Mehta"/>
    <s v="Rohan Mehta"/>
    <s v="Corporate"/>
    <x v="2"/>
    <s v="North"/>
    <x v="0"/>
    <s v="Haryana"/>
    <s v="Haryana"/>
    <s v="Gurugram"/>
    <s v="Gurugram"/>
    <s v="Office Supplies"/>
    <x v="0"/>
    <s v="Paper"/>
    <x v="0"/>
    <s v="Eco Paper 747"/>
    <s v="First Class"/>
    <x v="2"/>
    <n v="4"/>
    <n v="1786.65"/>
    <n v="0.05"/>
    <n v="0.05"/>
    <s v="Valid"/>
    <n v="6789.27"/>
    <n v="6789.27"/>
    <n v="5626.43"/>
    <n v="1162.8399999999999"/>
    <n v="1162.8400000000001"/>
    <n v="-5626.43"/>
    <s v="Paid"/>
    <s v="Paid"/>
    <s v="Completed"/>
    <x v="0"/>
    <s v="Clean"/>
  </r>
  <r>
    <s v="ORD-2024-10899"/>
    <n v="1"/>
    <s v="Unique"/>
    <s v="2024-06-02"/>
    <s v="06/08/2024"/>
    <d v="2024-02-06T00:00:00"/>
    <d v="2024-06-08T00:00:00"/>
    <x v="6"/>
    <x v="0"/>
    <s v="Valid"/>
    <s v="Valid"/>
    <n v="123"/>
    <s v="CUST-6046"/>
    <s v="Vikram Iyer"/>
    <s v="Vikram Iyer"/>
    <s v="Consumer"/>
    <x v="0"/>
    <s v="North"/>
    <x v="0"/>
    <s v="Delhi"/>
    <s v="Delhi"/>
    <s v="New Delhi"/>
    <s v="New Delhi"/>
    <s v="Furniture"/>
    <x v="1"/>
    <s v="Tables"/>
    <x v="1"/>
    <s v="Classic Tables 535"/>
    <s v="First Class"/>
    <x v="2"/>
    <n v="4"/>
    <n v="1536.7"/>
    <n v="0.2"/>
    <n v="0.2"/>
    <s v="Valid"/>
    <n v="4917.4399999999996"/>
    <n v="4917.4400000000005"/>
    <n v="3846.77"/>
    <n v="1070.67"/>
    <n v="1070.6700000000005"/>
    <n v="-3846.77"/>
    <s v="Paid"/>
    <s v="Paid"/>
    <s v="Completed"/>
    <x v="0"/>
    <s v="Clean"/>
  </r>
  <r>
    <s v="ORD-2025-10900"/>
    <n v="3"/>
    <s v="Unique"/>
    <s v="27 May 2025"/>
    <s v="06/03/2025"/>
    <d v="2025-05-27T00:00:00"/>
    <d v="2025-06-03T00:00:00"/>
    <x v="4"/>
    <x v="1"/>
    <s v="Valid"/>
    <s v="Valid"/>
    <n v="7"/>
    <s v="CUST-3789"/>
    <s v="Karan Malhotra"/>
    <s v="Karan Malhotra"/>
    <s v="Consumer"/>
    <x v="0"/>
    <s v="North"/>
    <x v="0"/>
    <s v="Punjab"/>
    <s v="Punjab"/>
    <s v="Ludhiana"/>
    <s v="Ludhiana"/>
    <s v="Furniture"/>
    <x v="1"/>
    <s v="Chairs"/>
    <x v="4"/>
    <s v="Elite Chairs 971"/>
    <s v="First Class"/>
    <x v="2"/>
    <n v="5"/>
    <n v="881.08"/>
    <n v="0.25"/>
    <n v="0.25"/>
    <s v="Valid"/>
    <n v="3304.05"/>
    <n v="3304.05"/>
    <n v="2279.41"/>
    <n v="1024.6400000000001"/>
    <n v="1024.6400000000003"/>
    <n v="-2279.41"/>
    <s v="Failed"/>
    <s v="Failed"/>
    <s v="Cancelled"/>
    <x v="1"/>
    <s v="Clean"/>
  </r>
  <r>
    <s v="ORD-2024-10503"/>
    <n v="6"/>
    <s v="Exact Duplicate"/>
    <s v="04/01/2024"/>
    <s v="2024-04-09"/>
    <d v="2024-04-01T00:00:00"/>
    <d v="2024-09-04T00:00:00"/>
    <x v="5"/>
    <x v="0"/>
    <s v="Valid"/>
    <s v="Valid"/>
    <n v="156"/>
    <s v="CUST-1534"/>
    <s v="Priya Menon"/>
    <s v="Priya Menon"/>
    <s v="Small Business"/>
    <x v="1"/>
    <s v="East"/>
    <x v="1"/>
    <s v="Odisha"/>
    <s v="Odisha"/>
    <s v="Bhubaneswar"/>
    <s v="Bhubaneswar"/>
    <s v="Technology"/>
    <x v="2"/>
    <s v="Copiers"/>
    <x v="6"/>
    <s v="Prime Copiers 557"/>
    <s v="Second Class"/>
    <x v="0"/>
    <n v="6"/>
    <n v="826.93"/>
    <n v="0.1"/>
    <n v="0.1"/>
    <s v="Valid"/>
    <n v="4465.42"/>
    <n v="4465.4220000000005"/>
    <n v="3377.1"/>
    <n v="1088.32"/>
    <n v="1088.3220000000006"/>
    <n v="-3377.1"/>
    <s v="Paid"/>
    <s v="Paid"/>
    <s v="Completed"/>
    <x v="0"/>
    <s v="Clean"/>
  </r>
  <r>
    <s v="ORD-2024-10599"/>
    <n v="2"/>
    <s v="Exact Duplicate"/>
    <s v="08/17/2024"/>
    <s v="08/24/2024"/>
    <d v="2024-08-17T00:00:00"/>
    <d v="2024-08-24T00:00:00"/>
    <x v="1"/>
    <x v="0"/>
    <s v="Valid"/>
    <s v="Valid"/>
    <n v="7"/>
    <s v="CUST-8498"/>
    <s v="Ananya Rao"/>
    <s v="Ananya Rao"/>
    <s v="Corporate"/>
    <x v="2"/>
    <s v="East"/>
    <x v="1"/>
    <s v="West Bengal"/>
    <s v="West Bengal"/>
    <s v="Kolkata"/>
    <s v="Kolkata"/>
    <s v="Technology"/>
    <x v="2"/>
    <s v="Copiers"/>
    <x v="6"/>
    <s v="Eco Copiers 268"/>
    <s v="Same Day"/>
    <x v="1"/>
    <n v="3"/>
    <n v="1490.69"/>
    <n v="0.25"/>
    <n v="0.25"/>
    <s v="Valid"/>
    <n v="3354.05"/>
    <n v="3354.0524999999998"/>
    <n v="2672.67"/>
    <n v="681.38"/>
    <n v="681.38249999999971"/>
    <n v="-2672.67"/>
    <s v="Paid"/>
    <s v="Paid"/>
    <s v="Completed"/>
    <x v="0"/>
    <s v="Clean"/>
  </r>
  <r>
    <s v="ORD-2025-10695"/>
    <n v="3"/>
    <s v="Exact Duplicate"/>
    <s v="01-08-2025"/>
    <s v="09-08-2025"/>
    <d v="2025-01-08T00:00:00"/>
    <d v="2025-09-08T00:00:00"/>
    <x v="8"/>
    <x v="1"/>
    <s v="Valid"/>
    <s v="Valid"/>
    <n v="243"/>
    <s v="CUST-8025"/>
    <s v="Isha Nair"/>
    <s v="Isha Nair"/>
    <s v="Consumer"/>
    <x v="0"/>
    <s v="South"/>
    <x v="2"/>
    <s v="Andhra Pradesh"/>
    <s v="Andhra Pradesh"/>
    <s v="Vijayawada"/>
    <s v="Vijayawada"/>
    <s v="Office Supplies"/>
    <x v="0"/>
    <s v="Storage"/>
    <x v="8"/>
    <s v="Classic Storage 291"/>
    <s v="First Class"/>
    <x v="2"/>
    <n v="5"/>
    <n v="2736.24"/>
    <n v="0.15"/>
    <n v="0.15"/>
    <s v="Valid"/>
    <n v="11629.02"/>
    <n v="11629.019999999999"/>
    <n v="9627.2099999999991"/>
    <n v="2001.81"/>
    <n v="2001.8099999999995"/>
    <n v="-9627.2099999999991"/>
    <s v="Paid"/>
    <s v="Paid"/>
    <s v="Completed"/>
    <x v="0"/>
    <s v="Clean"/>
  </r>
  <r>
    <s v="ORD-2024-10705"/>
    <n v="2"/>
    <s v="Exact Duplicate"/>
    <s v="2024-03-13"/>
    <s v="03/20/2024"/>
    <d v="2024-03-13T00:00:00"/>
    <d v="2024-03-20T00:00:00"/>
    <x v="11"/>
    <x v="0"/>
    <s v="Valid"/>
    <s v="Valid"/>
    <n v="7"/>
    <s v="CUST-4916"/>
    <s v="Priya Menon"/>
    <s v="Priya Menon"/>
    <s v="Home Office"/>
    <x v="3"/>
    <s v="South"/>
    <x v="2"/>
    <s v="Tamil Nadu"/>
    <s v="Tamil Nadu"/>
    <s v="Chennai"/>
    <s v="Chennai"/>
    <s v="Furniture"/>
    <x v="1"/>
    <s v="Bookcases"/>
    <x v="10"/>
    <s v="Max Bookcases 738"/>
    <s v="Unknown"/>
    <x v="4"/>
    <n v="1"/>
    <n v="2825.63"/>
    <n v="0.15"/>
    <n v="0.15"/>
    <s v="Valid"/>
    <n v="2401.79"/>
    <n v="2401.7855"/>
    <n v="1820.34"/>
    <n v="581.45000000000005"/>
    <n v="581.44550000000004"/>
    <n v="-1820.34"/>
    <s v="Paid"/>
    <s v="Paid"/>
    <s v="Completed"/>
    <x v="0"/>
    <s v="Clean"/>
  </r>
  <r>
    <s v="ORD-2024-10277"/>
    <n v="7"/>
    <s v="Exact Duplicate"/>
    <s v="22-01-2024"/>
    <s v="23-01-2024"/>
    <d v="2024-01-22T00:00:00"/>
    <d v="2024-01-23T00:00:00"/>
    <x v="8"/>
    <x v="0"/>
    <s v="Valid"/>
    <s v="Valid"/>
    <n v="1"/>
    <s v="CUST-7039"/>
    <s v="Aarav Sharma"/>
    <s v="Aarav Sharma"/>
    <s v="Small Business"/>
    <x v="1"/>
    <s v="Unknown"/>
    <x v="4"/>
    <s v="Assam"/>
    <s v="Assam"/>
    <s v="Guwahati"/>
    <s v="Guwahati"/>
    <s v="Furniture"/>
    <x v="1"/>
    <s v="Chairs"/>
    <x v="4"/>
    <s v="Basic Chairs 141"/>
    <s v="Second Class"/>
    <x v="0"/>
    <n v="6"/>
    <n v="3391.53"/>
    <n v="-0.14000000000000001"/>
    <n v="-0.14000000000000001"/>
    <s v="Invalid - Negative Discount"/>
    <n v="15261.89"/>
    <n v="23198.065200000005"/>
    <n v="8413.5300000000007"/>
    <n v="6848.36"/>
    <n v="14784.535200000004"/>
    <n v="-8413.5300000000007"/>
    <s v="Paid"/>
    <s v="Paid"/>
    <s v="Completed"/>
    <x v="0"/>
    <s v="Clean"/>
  </r>
  <r>
    <s v="ORD-2025-10633"/>
    <n v="3"/>
    <s v="Exact Duplicate"/>
    <s v="15-04-2025"/>
    <s v="16-04-2025"/>
    <d v="2025-04-15T00:00:00"/>
    <d v="2025-04-16T00:00:00"/>
    <x v="5"/>
    <x v="1"/>
    <s v="Valid"/>
    <s v="Valid"/>
    <n v="1"/>
    <s v="CUST-4593"/>
    <s v="Sneha Kapoor"/>
    <s v="Sneha Kapoor"/>
    <s v="Small Business"/>
    <x v="1"/>
    <s v="South"/>
    <x v="2"/>
    <s v="Karnataka"/>
    <s v="Karnataka"/>
    <s v="Bengaluru"/>
    <s v="Bengaluru"/>
    <s v="Furniture"/>
    <x v="1"/>
    <s v="Furnishings"/>
    <x v="3"/>
    <s v="Smart Furnishings 721"/>
    <s v="First Class"/>
    <x v="2"/>
    <n v="5"/>
    <n v="2850.53"/>
    <n v="0"/>
    <n v="0"/>
    <s v="Valid"/>
    <n v="14252.65"/>
    <n v="14252.650000000001"/>
    <n v="11558.31"/>
    <n v="2694.34"/>
    <n v="2694.340000000002"/>
    <n v="-11558.31"/>
    <s v="Paid"/>
    <s v="Paid"/>
    <s v="Completed"/>
    <x v="0"/>
    <s v="Clean"/>
  </r>
  <r>
    <s v="ORD-2025-10730"/>
    <n v="2"/>
    <s v="Exact Duplicate"/>
    <s v="17-05-2025"/>
    <s v="25 May 2025"/>
    <d v="2025-05-17T00:00:00"/>
    <d v="2025-05-25T00:00:00"/>
    <x v="4"/>
    <x v="1"/>
    <s v="Valid"/>
    <s v="Valid"/>
    <n v="8"/>
    <s v="CUST-8713"/>
    <s v="Ananya Rao"/>
    <s v="Ananya Rao"/>
    <s v="Corporate"/>
    <x v="2"/>
    <s v="South"/>
    <x v="2"/>
    <s v="Tamil Nadu"/>
    <s v="Tamil Nadu"/>
    <s v="Chennai"/>
    <s v="Chennai"/>
    <s v="Technology"/>
    <x v="2"/>
    <s v="Machines"/>
    <x v="12"/>
    <s v="Pro Machines 563"/>
    <s v="Same Day"/>
    <x v="1"/>
    <n v="6"/>
    <n v="1810.63"/>
    <n v="0.15"/>
    <n v="0.15"/>
    <s v="Valid"/>
    <n v="9234.2099999999991"/>
    <n v="9234.2129999999997"/>
    <n v="5516.52"/>
    <n v="3717.69"/>
    <n v="3717.6929999999993"/>
    <n v="-5516.52"/>
    <s v="Paid"/>
    <s v="Paid"/>
    <s v="Completed"/>
    <x v="0"/>
    <s v="Clean"/>
  </r>
  <r>
    <s v="ORD-2024-10134"/>
    <n v="3"/>
    <s v="Exact Duplicate"/>
    <s v="2024-12-13"/>
    <s v="12/18/2024"/>
    <d v="2024-12-13T00:00:00"/>
    <d v="2024-12-18T00:00:00"/>
    <x v="7"/>
    <x v="0"/>
    <s v="Valid"/>
    <s v="Valid"/>
    <n v="5"/>
    <s v="CUST-9441"/>
    <s v="Karan Malhotra"/>
    <s v="Karan Malhotra"/>
    <s v="Consumer"/>
    <x v="0"/>
    <s v="West"/>
    <x v="3"/>
    <s v="Goa"/>
    <s v="Goa"/>
    <s v="Panaji"/>
    <s v="Panaji"/>
    <s v="Technology"/>
    <x v="2"/>
    <s v="Phones"/>
    <x v="11"/>
    <s v="Prime Phones 419"/>
    <s v="Second Class"/>
    <x v="0"/>
    <n v="8"/>
    <n v="3372.15"/>
    <n v="0.15"/>
    <n v="0.15"/>
    <s v="Valid"/>
    <n v="22930.62"/>
    <n v="22930.62"/>
    <n v="16875.55"/>
    <n v="6055.07"/>
    <n v="6055.07"/>
    <n v="-16875.55"/>
    <s v="Paid"/>
    <s v="Paid"/>
    <s v="Completed"/>
    <x v="0"/>
    <s v="Clean"/>
  </r>
  <r>
    <s v="ORD-2025-10720"/>
    <n v="4"/>
    <s v="Exact Duplicate"/>
    <s v="08 Sep 2025"/>
    <s v="2025-09-09"/>
    <d v="2025-08-09T00:00:00"/>
    <d v="2025-09-09T00:00:00"/>
    <x v="1"/>
    <x v="1"/>
    <s v="Valid"/>
    <s v="Valid"/>
    <n v="31"/>
    <s v="CUST-3190"/>
    <s v="Kabir Singh"/>
    <s v="Kabir Singh"/>
    <s v="Corporate"/>
    <x v="2"/>
    <s v="West"/>
    <x v="3"/>
    <s v="Gujarat"/>
    <s v="Gujarat"/>
    <s v="Ahmedabad"/>
    <s v="Ahmedabad"/>
    <s v="Office Supplies"/>
    <x v="0"/>
    <s v="Art"/>
    <x v="2"/>
    <s v="Pro Art 447"/>
    <s v="Same Day"/>
    <x v="1"/>
    <n v="2"/>
    <n v="2372.41"/>
    <n v="0.2"/>
    <n v="0.2"/>
    <s v="Valid"/>
    <n v="3795.86"/>
    <n v="3795.8559999999998"/>
    <n v="2264.92"/>
    <n v="1530.94"/>
    <n v="1530.9359999999997"/>
    <n v="-2264.92"/>
    <s v="Paid"/>
    <s v="Paid"/>
    <s v="Completed"/>
    <x v="0"/>
    <s v="Clean"/>
  </r>
  <r>
    <s v="ORD-2025-10400"/>
    <n v="2"/>
    <s v="Exact Duplicate"/>
    <s v="04/24/2025"/>
    <s v="2025-04-29"/>
    <d v="2025-04-24T00:00:00"/>
    <d v="2025-04-29T00:00:00"/>
    <x v="5"/>
    <x v="1"/>
    <s v="Valid"/>
    <s v="Valid"/>
    <n v="5"/>
    <s v="CUST-5647"/>
    <s v="Diya Patel"/>
    <s v="Diya Patel"/>
    <s v="Small Business"/>
    <x v="1"/>
    <s v="South"/>
    <x v="2"/>
    <s v="Andhra Pradesh"/>
    <s v="Andhra Pradesh"/>
    <s v="Vijayawada"/>
    <s v="Vijayawada"/>
    <s v="Office Supplies"/>
    <x v="0"/>
    <s v="Paper"/>
    <x v="0"/>
    <s v="Elite Paper 308"/>
    <s v="Same Day"/>
    <x v="1"/>
    <n v="1"/>
    <n v="4358.5"/>
    <n v="0.25"/>
    <n v="0.25"/>
    <s v="Valid"/>
    <n v="3268.88"/>
    <n v="3268.875"/>
    <n v="1993.74"/>
    <n v="1275.1400000000001"/>
    <n v="1275.135"/>
    <n v="-1993.74"/>
    <s v="Paid"/>
    <s v="Paid"/>
    <s v="Completed"/>
    <x v="0"/>
    <s v="Clean"/>
  </r>
  <r>
    <s v="ORD-2024-10124"/>
    <n v="2"/>
    <s v="Exact Duplicate"/>
    <s v="05/24/2024"/>
    <s v="25 May 2024"/>
    <d v="2024-05-24T00:00:00"/>
    <d v="2024-05-25T00:00:00"/>
    <x v="4"/>
    <x v="0"/>
    <s v="Valid"/>
    <s v="Valid"/>
    <n v="1"/>
    <s v="CUST-1007"/>
    <s v="Sneha Kapoor"/>
    <s v="Sneha Kapoor"/>
    <s v="Small Business"/>
    <x v="1"/>
    <s v="North"/>
    <x v="0"/>
    <s v="Punjab"/>
    <s v="Punjab"/>
    <s v="Ludhiana"/>
    <s v="Ludhiana"/>
    <s v="Technology"/>
    <x v="2"/>
    <s v="Copiers"/>
    <x v="6"/>
    <s v="Max Copiers 970"/>
    <s v="Same Day"/>
    <x v="1"/>
    <n v="1"/>
    <n v="634.13"/>
    <n v="0"/>
    <n v="0"/>
    <s v="Valid"/>
    <n v="634.13"/>
    <n v="634.13"/>
    <n v="453.35"/>
    <n v="180.78"/>
    <n v="180.77999999999997"/>
    <n v="-453.35"/>
    <s v="Refunded"/>
    <s v="Refunded"/>
    <s v="Cancelled"/>
    <x v="1"/>
    <s v="Clean"/>
  </r>
  <r>
    <s v="ORD-2024-10251"/>
    <n v="2"/>
    <s v="Exact Duplicate"/>
    <s v="02/21/2024"/>
    <s v="02/27/2024"/>
    <d v="2024-02-21T00:00:00"/>
    <d v="2024-02-27T00:00:00"/>
    <x v="6"/>
    <x v="0"/>
    <s v="Valid"/>
    <s v="Valid"/>
    <n v="6"/>
    <s v="CUST-5351"/>
    <s v="Arjun Bose"/>
    <s v="Arjun Bose"/>
    <s v="Small Business"/>
    <x v="1"/>
    <s v="East"/>
    <x v="1"/>
    <s v="West Bengal"/>
    <s v="West Bengal"/>
    <s v="Kolkata"/>
    <s v="Kolkata"/>
    <s v="Furniture"/>
    <x v="1"/>
    <s v="Furnishings"/>
    <x v="3"/>
    <s v="Prime Furnishings 781"/>
    <s v="Standard Class"/>
    <x v="3"/>
    <n v="5"/>
    <n v="3373.86"/>
    <n v="0.15"/>
    <n v="0.15"/>
    <s v="Valid"/>
    <n v="14338.9"/>
    <n v="14338.904999999999"/>
    <n v="11897.65"/>
    <n v="2441.25"/>
    <n v="2441.2549999999992"/>
    <n v="-11897.65"/>
    <s v="Pending"/>
    <s v="Pending"/>
    <s v="Returned"/>
    <x v="2"/>
    <s v="Clean"/>
  </r>
  <r>
    <s v="ORD-2025-10378"/>
    <n v="3"/>
    <s v="Exact Duplicate"/>
    <s v="24 May 2025"/>
    <s v="30-05-2025"/>
    <d v="2025-05-24T00:00:00"/>
    <d v="2025-05-30T00:00:00"/>
    <x v="4"/>
    <x v="1"/>
    <s v="Valid"/>
    <s v="Valid"/>
    <n v="6"/>
    <s v="CUST-4875"/>
    <s v="Kabir Singh"/>
    <s v="Kabir Singh"/>
    <s v="Small Business"/>
    <x v="1"/>
    <s v="East"/>
    <x v="1"/>
    <s v="Odisha"/>
    <s v="Odisha"/>
    <s v="Bhubaneswar"/>
    <s v="Bhubaneswar"/>
    <s v="Office Supplies"/>
    <x v="0"/>
    <s v="Storage"/>
    <x v="8"/>
    <s v="Basic Storage 360"/>
    <s v="Same Day"/>
    <x v="1"/>
    <n v="1"/>
    <n v="2564.7399999999998"/>
    <n v="0"/>
    <n v="0"/>
    <s v="Valid"/>
    <n v="2564.7399999999998"/>
    <n v="2564.7399999999998"/>
    <n v="1754.58"/>
    <n v="810.16"/>
    <n v="810.15999999999985"/>
    <n v="-1754.58"/>
    <s v="Paid"/>
    <s v="Paid"/>
    <s v="Completed"/>
    <x v="0"/>
    <s v="Clean"/>
  </r>
  <r>
    <s v="ORD-2024-10281"/>
    <n v="2"/>
    <s v="Exact Duplicate"/>
    <s v="12/23/2024"/>
    <s v="26-12-2024"/>
    <d v="2024-12-23T00:00:00"/>
    <d v="2024-12-26T00:00:00"/>
    <x v="7"/>
    <x v="0"/>
    <s v="Valid"/>
    <s v="Valid"/>
    <n v="3"/>
    <s v="CUST-4098"/>
    <s v="Aditi Sen"/>
    <s v="Aditi Sen"/>
    <s v="Consumer"/>
    <x v="0"/>
    <s v="South"/>
    <x v="2"/>
    <s v="Karnataka"/>
    <s v="Karnataka"/>
    <s v="Bengaluru"/>
    <s v="Bengaluru"/>
    <s v="Technology"/>
    <x v="2"/>
    <s v="Copiers"/>
    <x v="6"/>
    <s v="Prime Copiers 961"/>
    <s v="Standard Class"/>
    <x v="3"/>
    <n v="9"/>
    <n v="993.67"/>
    <n v="0"/>
    <n v="0"/>
    <s v="Valid"/>
    <n v="8943.0300000000007"/>
    <n v="8943.0299999999988"/>
    <n v="5165.38"/>
    <n v="3777.65"/>
    <n v="3777.6499999999987"/>
    <n v="-5165.38"/>
    <s v="Paid"/>
    <s v="Paid"/>
    <s v="Completed"/>
    <x v="0"/>
    <s v="Clean"/>
  </r>
  <r>
    <s v="ORD-2024-10713"/>
    <n v="5"/>
    <s v="Exact Duplicate"/>
    <s v="10 Feb 2024"/>
    <s v="18 Feb 2024"/>
    <d v="2024-10-02T00:00:00"/>
    <d v="2024-02-18T00:00:00"/>
    <x v="10"/>
    <x v="0"/>
    <s v="Valid"/>
    <s v="Valid"/>
    <n v="-227"/>
    <s v="CUST-5127"/>
    <s v="Isha Nair"/>
    <s v="Isha Nair"/>
    <s v="Home Office"/>
    <x v="3"/>
    <s v="West"/>
    <x v="3"/>
    <s v="Madhya Pradesh"/>
    <s v="Madhya Pradesh"/>
    <s v="Indore"/>
    <s v="Indore"/>
    <s v="Furniture"/>
    <x v="1"/>
    <s v="Chairs"/>
    <x v="4"/>
    <s v="Smart Chairs 259"/>
    <s v="First Class"/>
    <x v="2"/>
    <n v="7"/>
    <n v="1382.86"/>
    <n v="0"/>
    <n v="0"/>
    <s v="Valid"/>
    <n v="9680.02"/>
    <n v="9680.0199999999986"/>
    <n v="6876.66"/>
    <n v="2803.36"/>
    <n v="2803.3599999999988"/>
    <n v="-6876.66"/>
    <s v="Paid"/>
    <s v="Paid"/>
    <s v="Completed"/>
    <x v="0"/>
    <s v="Clean"/>
  </r>
  <r>
    <s v="ORD-2025-10550"/>
    <n v="2"/>
    <s v="Exact Duplicate"/>
    <s v="10/11/2025"/>
    <s v="13 Oct 2025"/>
    <d v="2025-10-11T00:00:00"/>
    <d v="2025-10-13T00:00:00"/>
    <x v="10"/>
    <x v="1"/>
    <s v="Valid"/>
    <s v="Valid"/>
    <n v="2"/>
    <s v="CUST-6028"/>
    <s v="Mira Das"/>
    <s v="Mira Das"/>
    <s v="Corporate"/>
    <x v="2"/>
    <s v="South"/>
    <x v="2"/>
    <s v="Telangana"/>
    <s v="Telangana"/>
    <s v="Hyderabad"/>
    <s v="Hyderabad"/>
    <s v="Office Supplies"/>
    <x v="0"/>
    <s v="Art"/>
    <x v="2"/>
    <s v="Pro Art 287"/>
    <s v="Second Class"/>
    <x v="0"/>
    <n v="3"/>
    <n v="3804.27"/>
    <n v="0.1"/>
    <n v="0.1"/>
    <s v="Valid"/>
    <n v="10271.530000000001"/>
    <n v="10271.529"/>
    <n v="8272.24"/>
    <n v="1999.29"/>
    <n v="1999.2890000000007"/>
    <n v="-8272.24"/>
    <s v="Paid"/>
    <s v="Paid"/>
    <s v="Completed"/>
    <x v="0"/>
    <s v="Clean"/>
  </r>
  <r>
    <s v="ORD-2024-10850"/>
    <n v="2"/>
    <s v="Exact Duplicate"/>
    <s v="2024-03-06"/>
    <s v="12-03-2024"/>
    <d v="2024-06-03T00:00:00"/>
    <d v="2024-12-03T00:00:00"/>
    <x v="2"/>
    <x v="0"/>
    <s v="Valid"/>
    <s v="Valid"/>
    <n v="183"/>
    <s v="CUST-3360"/>
    <s v="Isha Nair"/>
    <s v="Isha Nair"/>
    <s v="Home Office"/>
    <x v="3"/>
    <s v="West"/>
    <x v="3"/>
    <s v="Gujarat"/>
    <s v="Gujarat"/>
    <s v="Ahmedabad"/>
    <s v="Ahmedabad"/>
    <s v="Furniture"/>
    <x v="1"/>
    <s v="Bookcases"/>
    <x v="10"/>
    <s v="Prime Bookcases 755"/>
    <s v="Standard Class"/>
    <x v="3"/>
    <n v="3"/>
    <n v="679.63"/>
    <n v="0.2"/>
    <n v="0.2"/>
    <s v="Valid"/>
    <n v="1631.11"/>
    <n v="1631.1120000000001"/>
    <n v="898.73"/>
    <n v="396.58"/>
    <n v="732.38200000000006"/>
    <n v="-898.73"/>
    <s v="Paid"/>
    <s v="Paid"/>
    <s v="Completed"/>
    <x v="0"/>
    <s v="Clean"/>
  </r>
  <r>
    <s v="ORD-2025-10128"/>
    <n v="2"/>
    <s v="Exact Duplicate"/>
    <s v="01/30/2025"/>
    <s v="26-01-2025"/>
    <d v="2025-01-30T00:00:00"/>
    <d v="2025-01-26T00:00:00"/>
    <x v="8"/>
    <x v="1"/>
    <s v="Valid"/>
    <s v="Valid"/>
    <n v="-4"/>
    <s v="CUST-6802"/>
    <s v="Priya Menon"/>
    <s v="Priya Menon"/>
    <s v="Corporate"/>
    <x v="2"/>
    <s v="West"/>
    <x v="3"/>
    <s v="Madhya Pradesh"/>
    <s v="Madhya Pradesh"/>
    <s v="Indore"/>
    <s v="Indore"/>
    <s v="Office Supplies"/>
    <x v="0"/>
    <s v="Storage"/>
    <x v="8"/>
    <s v="Basic Storage 321"/>
    <s v="Second Class"/>
    <x v="0"/>
    <n v="2"/>
    <n v="3039.3"/>
    <n v="0.05"/>
    <n v="0.05"/>
    <s v="Valid"/>
    <n v="5774.67"/>
    <n v="5774.67"/>
    <n v="3518.36"/>
    <n v="2256.31"/>
    <n v="2256.31"/>
    <n v="-3518.36"/>
    <s v="Paid"/>
    <s v="Paid"/>
    <s v="Completed"/>
    <x v="0"/>
    <s v="Clean"/>
  </r>
  <r>
    <s v="ORD-2025-10677"/>
    <n v="2"/>
    <s v="Exact Duplicate"/>
    <s v="09/11/2025"/>
    <s v="09/18/2025"/>
    <d v="2025-09-11T00:00:00"/>
    <d v="2025-09-18T00:00:00"/>
    <x v="9"/>
    <x v="1"/>
    <s v="Valid"/>
    <s v="Valid"/>
    <n v="7"/>
    <s v="CUST-9212"/>
    <s v="Rahul Verma"/>
    <s v="Rahul Verma"/>
    <s v="Small Business"/>
    <x v="1"/>
    <s v="North"/>
    <x v="0"/>
    <s v="Delhi"/>
    <s v="Delhi"/>
    <s v="New Delhi"/>
    <s v="New Delhi"/>
    <s v="Technology"/>
    <x v="2"/>
    <s v="Phones"/>
    <x v="11"/>
    <s v="Smart Phones 967"/>
    <s v="Same Day"/>
    <x v="1"/>
    <n v="7"/>
    <n v="3411.21"/>
    <n v="0.15"/>
    <n v="0.15"/>
    <s v="Valid"/>
    <n v="20296.7"/>
    <n v="20296.699499999999"/>
    <n v="14920.87"/>
    <n v="5375.83"/>
    <n v="5375.829499999998"/>
    <n v="-14920.87"/>
    <s v="Paid"/>
    <s v="Paid"/>
    <s v="Completed"/>
    <x v="0"/>
    <s v="Clean"/>
  </r>
  <r>
    <s v="ORD-2025-10007"/>
    <n v="3"/>
    <s v="Exact Duplicate"/>
    <s v="04/10/2025"/>
    <s v="04/16/2025"/>
    <d v="2025-04-10T00:00:00"/>
    <d v="2025-04-16T00:00:00"/>
    <x v="5"/>
    <x v="1"/>
    <s v="Valid"/>
    <s v="Valid"/>
    <n v="6"/>
    <s v="CUST-3656"/>
    <s v="Neha Gupta"/>
    <s v="Neha Gupta"/>
    <s v="Consumer"/>
    <x v="0"/>
    <s v="East"/>
    <x v="1"/>
    <s v="Odisha"/>
    <s v="Odisha"/>
    <s v="Bhubaneswar"/>
    <s v="Bhubaneswar"/>
    <s v="Technology"/>
    <x v="2"/>
    <s v="Copiers"/>
    <x v="6"/>
    <s v="Eco Copiers 790"/>
    <s v="Standard Class"/>
    <x v="3"/>
    <n v="4"/>
    <n v="1719.87"/>
    <n v="0.15"/>
    <n v="0.15"/>
    <s v="Valid"/>
    <n v="5847.56"/>
    <n v="5847.5579999999991"/>
    <n v="4727.25"/>
    <n v="1120.31"/>
    <n v="1120.3079999999991"/>
    <n v="-4727.25"/>
    <s v="Paid"/>
    <s v="Paid"/>
    <s v="Completed"/>
    <x v="0"/>
    <s v="Clean"/>
  </r>
  <r>
    <s v="ORD-2024-10332"/>
    <n v="2"/>
    <s v="Conflicting Duplicate"/>
    <s v="04-12-2024"/>
    <s v="2024-12-06"/>
    <d v="2024-04-12T00:00:00"/>
    <d v="2024-06-12T00:00:00"/>
    <x v="5"/>
    <x v="0"/>
    <s v="Valid"/>
    <s v="Valid"/>
    <n v="61"/>
    <s v="CUST-9346"/>
    <s v="Sneha Kapoor"/>
    <s v="Sneha Kapoor"/>
    <s v="Home Office"/>
    <x v="3"/>
    <s v="East"/>
    <x v="1"/>
    <s v="Odisha"/>
    <s v="Odisha"/>
    <s v="Bhubaneswar"/>
    <s v="Bhubaneswar"/>
    <s v="Office Supplies"/>
    <x v="0"/>
    <s v="Binders"/>
    <x v="9"/>
    <s v="Smart Binders 939"/>
    <s v="Second Class"/>
    <x v="0"/>
    <n v="4"/>
    <n v="2685.66"/>
    <n v="0"/>
    <n v="0"/>
    <s v="Valid"/>
    <n v="10989.89"/>
    <n v="10742.64"/>
    <n v="6477.37"/>
    <n v="4265.2700000000004"/>
    <n v="4265.2699999999995"/>
    <n v="-6477.37"/>
    <s v="Paid"/>
    <s v="Paid"/>
    <s v="Completed"/>
    <x v="0"/>
    <s v="Clean"/>
  </r>
  <r>
    <s v="ORD-2025-10091"/>
    <n v="2"/>
    <s v="Conflicting Duplicate"/>
    <s v="08/24/2025"/>
    <s v="29 Aug 2025"/>
    <d v="2025-08-24T00:00:00"/>
    <d v="2025-08-29T00:00:00"/>
    <x v="1"/>
    <x v="1"/>
    <s v="Valid"/>
    <s v="Valid"/>
    <n v="5"/>
    <s v="CUST-5909"/>
    <s v="Aarav Sharma"/>
    <s v="Aarav Sharma"/>
    <s v="Small Business"/>
    <x v="1"/>
    <s v="East"/>
    <x v="1"/>
    <s v="Bihar"/>
    <s v="Bihar"/>
    <s v="Patna"/>
    <s v="Patna"/>
    <s v="Technology"/>
    <x v="2"/>
    <s v="Copiers"/>
    <x v="6"/>
    <s v="Smart Copiers 556"/>
    <s v="First Class"/>
    <x v="2"/>
    <n v="3"/>
    <n v="3703.96"/>
    <n v="0.15"/>
    <n v="0.15"/>
    <s v="Valid"/>
    <n v="9549.44"/>
    <n v="9445.098"/>
    <n v="5586.28"/>
    <n v="3858.82"/>
    <n v="3858.8180000000002"/>
    <n v="-5586.28"/>
    <s v="Paid"/>
    <s v="Paid"/>
    <s v="Returned"/>
    <x v="2"/>
    <s v="Clean"/>
  </r>
  <r>
    <s v="ORD-2025-10374"/>
    <n v="3"/>
    <s v="Conflicting Duplicate"/>
    <s v="2025-04-13"/>
    <s v="2025-04-13"/>
    <d v="2025-04-13T00:00:00"/>
    <d v="2025-04-13T00:00:00"/>
    <x v="5"/>
    <x v="1"/>
    <s v="Valid"/>
    <s v="Valid"/>
    <n v="0"/>
    <s v="CUST-8566"/>
    <s v="Sneha Kapoor"/>
    <s v="Sneha Kapoor"/>
    <s v="Small Business"/>
    <x v="1"/>
    <s v="North"/>
    <x v="0"/>
    <s v="Uttar Pradesh"/>
    <s v="Uttar Pradesh"/>
    <s v="Noida"/>
    <s v="Noida"/>
    <s v="Office Supplies"/>
    <x v="0"/>
    <s v="Storage"/>
    <x v="8"/>
    <s v="Prime Storage 951"/>
    <s v="Second Class"/>
    <x v="0"/>
    <n v="9"/>
    <n v="1118.68"/>
    <n v="0"/>
    <n v="0"/>
    <s v="Valid"/>
    <n v="10348.43"/>
    <n v="10068.120000000001"/>
    <n v="8595.3700000000008"/>
    <n v="1472.75"/>
    <n v="1472.75"/>
    <n v="-8595.3700000000008"/>
    <s v="Paid"/>
    <s v="Paid"/>
    <s v="Returned"/>
    <x v="2"/>
    <s v="Clean"/>
  </r>
  <r>
    <s v="ORD-2025-10225"/>
    <n v="3"/>
    <s v="Conflicting Duplicate"/>
    <s v="10/02/2025"/>
    <s v="08 Oct 2025"/>
    <d v="2025-10-02T00:00:00"/>
    <d v="2025-08-10T00:00:00"/>
    <x v="10"/>
    <x v="1"/>
    <s v="Valid"/>
    <s v="Valid"/>
    <n v="-53"/>
    <s v="CUST-9871"/>
    <s v="Isha Nair"/>
    <s v="Isha Nair"/>
    <s v="Small Business"/>
    <x v="1"/>
    <s v="North"/>
    <x v="0"/>
    <s v="Punjab"/>
    <s v="Punjab"/>
    <s v="Ludhiana"/>
    <s v="Ludhiana"/>
    <s v="Furniture"/>
    <x v="1"/>
    <s v="Furnishings"/>
    <x v="3"/>
    <s v="Classic Furnishings 109"/>
    <s v="Standard Class"/>
    <x v="3"/>
    <n v="4"/>
    <n v="3944.64"/>
    <n v="0.25"/>
    <n v="0.25"/>
    <s v="Valid"/>
    <n v="12116.89"/>
    <n v="11833.92"/>
    <n v="6682.92"/>
    <n v="5151"/>
    <n v="5151"/>
    <n v="-6682.92"/>
    <s v="Paid"/>
    <s v="Paid"/>
    <s v="Returned"/>
    <x v="2"/>
    <s v="Clean"/>
  </r>
  <r>
    <s v="ORD-2025-10315"/>
    <n v="3"/>
    <s v="Conflicting Duplicate"/>
    <s v="05/18/2025"/>
    <s v="20 May 2025"/>
    <d v="2025-05-18T00:00:00"/>
    <d v="2025-05-20T00:00:00"/>
    <x v="4"/>
    <x v="1"/>
    <s v="Valid"/>
    <s v="Valid"/>
    <n v="2"/>
    <s v="CUST-1945"/>
    <s v="Isha Nair"/>
    <s v="Isha Nair"/>
    <s v="Corporate"/>
    <x v="2"/>
    <s v="West"/>
    <x v="3"/>
    <s v="Madhya Pradesh"/>
    <s v="Madhya Pradesh"/>
    <s v="Indore"/>
    <s v="Indore"/>
    <s v="Office Supplies"/>
    <x v="0"/>
    <s v="Labels"/>
    <x v="7"/>
    <s v="Elite Labels 544"/>
    <s v="Standard Class"/>
    <x v="3"/>
    <n v="9"/>
    <n v="847.76"/>
    <n v="0.15"/>
    <n v="0.15"/>
    <s v="Valid"/>
    <n v="6589.37"/>
    <n v="6485.3639999999996"/>
    <n v="5376.17"/>
    <n v="1109.19"/>
    <n v="1109.1939999999995"/>
    <n v="-5376.17"/>
    <s v="Failed"/>
    <s v="Failed"/>
    <s v="Completed"/>
    <x v="0"/>
    <s v="Clean"/>
  </r>
  <r>
    <s v="ORD-2025-10171"/>
    <n v="4"/>
    <s v="Conflicting Duplicate"/>
    <s v="07-09-2025"/>
    <s v="09/15/2025"/>
    <d v="2025-07-09T00:00:00"/>
    <d v="2025-09-15T00:00:00"/>
    <x v="0"/>
    <x v="1"/>
    <s v="Valid"/>
    <s v="Valid"/>
    <n v="68"/>
    <s v="CUST-3734"/>
    <s v="Rohan Mehta"/>
    <s v="Rohan Mehta"/>
    <s v="Corporate"/>
    <x v="2"/>
    <s v="East"/>
    <x v="1"/>
    <s v="Bihar"/>
    <s v="Bihar"/>
    <s v="Patna"/>
    <s v="Patna"/>
    <s v="Technology"/>
    <x v="2"/>
    <s v="Copiers"/>
    <x v="6"/>
    <s v="Eco Copiers 102"/>
    <s v="Standard Class"/>
    <x v="3"/>
    <n v="3"/>
    <n v="1711.32"/>
    <n v="0"/>
    <n v="0"/>
    <s v="Valid"/>
    <n v="5206.53"/>
    <n v="5133.96"/>
    <n v="3930"/>
    <n v="1203.96"/>
    <n v="1203.96"/>
    <n v="-3930"/>
    <s v="Paid"/>
    <s v="Paid"/>
    <s v="Returned"/>
    <x v="2"/>
    <s v="Clean"/>
  </r>
  <r>
    <s v="ORD-2024-10424"/>
    <n v="5"/>
    <s v="Conflicting Duplicate"/>
    <s v="2024-02-20"/>
    <s v="27-02-2024"/>
    <d v="2024-02-20T00:00:00"/>
    <d v="2024-02-27T00:00:00"/>
    <x v="6"/>
    <x v="0"/>
    <s v="Valid"/>
    <s v="Valid"/>
    <n v="7"/>
    <s v="CUST-6169"/>
    <s v="Diya Patel"/>
    <s v="Diya Patel"/>
    <s v="Consumer"/>
    <x v="0"/>
    <s v="South"/>
    <x v="2"/>
    <s v="Kerala"/>
    <s v="Kerala"/>
    <s v="Kochi"/>
    <s v="Kochi"/>
    <s v="Technology"/>
    <x v="2"/>
    <s v="Accessories"/>
    <x v="5"/>
    <s v="Prime Accessories 236"/>
    <s v="First Class"/>
    <x v="2"/>
    <n v="9"/>
    <n v="3779.31"/>
    <n v="0.2"/>
    <n v="0.2"/>
    <s v="Valid"/>
    <n v="27322.9"/>
    <n v="27211.032000000003"/>
    <n v="17940.43"/>
    <n v="9270.6"/>
    <n v="9270.6020000000026"/>
    <n v="-17940.43"/>
    <s v="Paid"/>
    <s v="Paid"/>
    <s v="Returned"/>
    <x v="2"/>
    <s v="Clean"/>
  </r>
  <r>
    <s v="ORD-2025-10572"/>
    <n v="4"/>
    <s v="Conflicting Duplicate"/>
    <s v="10 Feb 2025"/>
    <s v="2025-02-14"/>
    <d v="2025-10-02T00:00:00"/>
    <d v="2025-02-14T00:00:00"/>
    <x v="10"/>
    <x v="1"/>
    <s v="Valid"/>
    <s v="Valid"/>
    <n v="-230"/>
    <s v="CUST-3425"/>
    <s v="Priya Menon"/>
    <s v="Priya Menon"/>
    <s v="Small Business"/>
    <x v="1"/>
    <s v="North"/>
    <x v="0"/>
    <s v="Uttar Pradesh"/>
    <s v="Uttar Pradesh"/>
    <s v="Noida"/>
    <s v="Noida"/>
    <s v="Technology"/>
    <x v="2"/>
    <s v="Phones"/>
    <x v="11"/>
    <s v="Prime Phones 895"/>
    <s v="Unknown"/>
    <x v="4"/>
    <n v="5"/>
    <n v="4276.29"/>
    <n v="0"/>
    <n v="0"/>
    <s v="Valid"/>
    <n v="21443.63"/>
    <n v="21381.45"/>
    <n v="13240.21"/>
    <n v="8141.24"/>
    <n v="8141.2400000000016"/>
    <n v="-13240.21"/>
    <s v="Failed"/>
    <s v="Failed"/>
    <s v="Completed"/>
    <x v="0"/>
    <s v="Clean"/>
  </r>
  <r>
    <s v="ORD-2024-10143"/>
    <n v="2"/>
    <s v="Conflicting Duplicate"/>
    <s v="30 Mar 2024"/>
    <s v="26 Mar 2024"/>
    <d v="2024-03-30T00:00:00"/>
    <d v="2024-03-26T00:00:00"/>
    <x v="11"/>
    <x v="0"/>
    <s v="Valid"/>
    <s v="Valid"/>
    <n v="-4"/>
    <s v="CUST-8944"/>
    <s v="Aditi Sen"/>
    <s v="Aditi Sen"/>
    <s v="Home Office"/>
    <x v="3"/>
    <s v="North"/>
    <x v="0"/>
    <s v="Rajasthan"/>
    <s v="Rajasthan"/>
    <s v="Jaipur"/>
    <s v="Jaipur"/>
    <s v="Technology"/>
    <x v="2"/>
    <s v="Phones"/>
    <x v="11"/>
    <s v="Classic Phones 142"/>
    <s v="Second Class"/>
    <x v="0"/>
    <n v="5"/>
    <n v="907.54"/>
    <n v="0.15"/>
    <n v="0.15"/>
    <s v="Valid"/>
    <n v="4099.6899999999996"/>
    <n v="3857.0449999999996"/>
    <n v="2769.26"/>
    <n v="1087.78"/>
    <n v="1087.7849999999994"/>
    <n v="-2769.26"/>
    <s v="Paid"/>
    <s v="Paid"/>
    <s v="Returned"/>
    <x v="2"/>
    <s v="Clean"/>
  </r>
  <r>
    <s v="ORD-2024-10273"/>
    <n v="2"/>
    <s v="Conflicting Duplicate"/>
    <s v="08/18/2024"/>
    <s v="24 Aug 2024"/>
    <d v="2024-08-18T00:00:00"/>
    <d v="2024-08-24T00:00:00"/>
    <x v="1"/>
    <x v="0"/>
    <s v="Valid"/>
    <s v="Valid"/>
    <n v="6"/>
    <s v="CUST-7389"/>
    <s v="Arjun Bose"/>
    <s v="Arjun Bose"/>
    <s v="Consumer"/>
    <x v="0"/>
    <s v="South"/>
    <x v="2"/>
    <s v="Andhra Pradesh"/>
    <s v="Andhra Pradesh"/>
    <s v="Vijayawada"/>
    <s v="Vijayawada"/>
    <s v="Furniture"/>
    <x v="1"/>
    <s v="Chairs"/>
    <x v="4"/>
    <s v="Eco Chairs 314"/>
    <s v="First Class"/>
    <x v="2"/>
    <n v="7"/>
    <n v="557.21"/>
    <n v="0.1"/>
    <n v="0.1"/>
    <s v="Valid"/>
    <n v="3797.79"/>
    <n v="3510.4230000000002"/>
    <n v="2191.5"/>
    <n v="1213.48"/>
    <n v="1318.9230000000002"/>
    <n v="-2191.5"/>
    <s v="Paid"/>
    <s v="Paid"/>
    <s v="Returned"/>
    <x v="2"/>
    <s v="Clean"/>
  </r>
  <r>
    <s v="ORD-2024-10124"/>
    <n v="3"/>
    <s v="Conflicting Duplicate"/>
    <s v="05/24/2024"/>
    <s v="25 May 2024"/>
    <d v="2024-05-24T00:00:00"/>
    <d v="2024-05-25T00:00:00"/>
    <x v="4"/>
    <x v="0"/>
    <s v="Valid"/>
    <s v="Valid"/>
    <n v="1"/>
    <s v="CUST-1007"/>
    <s v="Sneha Kapoor"/>
    <s v="Sneha Kapoor"/>
    <s v="Small Business"/>
    <x v="1"/>
    <s v="North"/>
    <x v="0"/>
    <s v="Punjab"/>
    <s v="Punjab"/>
    <s v="Ludhiana"/>
    <s v="Ludhiana"/>
    <s v="Technology"/>
    <x v="2"/>
    <s v="Copiers"/>
    <x v="6"/>
    <s v="Max Copiers 970"/>
    <s v="Same Day"/>
    <x v="1"/>
    <n v="1"/>
    <n v="634.13"/>
    <n v="0"/>
    <n v="0"/>
    <s v="Valid"/>
    <n v="808.67"/>
    <n v="634.13"/>
    <n v="453.35"/>
    <n v="180.78"/>
    <n v="180.77999999999997"/>
    <n v="-453.35"/>
    <s v="Refunded"/>
    <s v="Refunded"/>
    <s v="Returned"/>
    <x v="2"/>
    <s v="Clean"/>
  </r>
  <r>
    <s v="ORD-2025-10336"/>
    <n v="2"/>
    <s v="Conflicting Duplicate"/>
    <s v="06/16/2025"/>
    <s v="18 Jun 2025"/>
    <d v="2025-06-16T00:00:00"/>
    <d v="2025-06-18T00:00:00"/>
    <x v="2"/>
    <x v="1"/>
    <s v="Valid"/>
    <s v="Valid"/>
    <n v="2"/>
    <s v="CUST-3621"/>
    <s v="Rahul Verma"/>
    <s v="Rahul Verma"/>
    <s v="Home Office"/>
    <x v="3"/>
    <s v="West"/>
    <x v="3"/>
    <s v="Madhya Pradesh"/>
    <s v="Madhya Pradesh"/>
    <s v="Indore"/>
    <s v="Indore"/>
    <s v="Office Supplies"/>
    <x v="0"/>
    <s v="Paper"/>
    <x v="0"/>
    <s v="Prime Paper 559"/>
    <s v="First Class"/>
    <x v="2"/>
    <n v="3"/>
    <n v="4289.37"/>
    <n v="0.1"/>
    <n v="0.1"/>
    <s v="Valid"/>
    <n v="11778.71"/>
    <n v="11581.299000000001"/>
    <n v="6829.43"/>
    <n v="4751.87"/>
    <n v="4751.8690000000006"/>
    <n v="-6829.43"/>
    <s v="Paid"/>
    <s v="Paid"/>
    <s v="Returned"/>
    <x v="2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C7C9A-3EFA-4876-8DD8-4D38BCF0DDF2}" name="PivotTable15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36" baseField="18" baseItem="0"/>
    <dataField name="Sum of Calculated Profit" fld="39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FB593-F1B3-4CC8-8BD9-58285AA6A5E1}" name="PivotTable16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24"/>
    <field x="26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36" baseField="24" baseItem="0"/>
    <dataField name="Sum of Calculated Profit" fld="39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A355B-7437-4F50-91EB-AD141B47DB57}" name="PivotTable17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63DEC-175B-4F8D-9C49-ADF97BF33641}" name="PivotTable20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 Margin" fld="40" subtotal="average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7B0FC-2810-4A3D-93AD-5FC17921D9CC}" name="PivotTable2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4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4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485CD-BCE6-4062-A783-0A9EF8601449}" name="PivotTable2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46"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8"/>
        <item x="6"/>
        <item x="11"/>
        <item x="5"/>
        <item x="4"/>
        <item x="2"/>
        <item x="0"/>
        <item x="1"/>
        <item x="9"/>
        <item x="10"/>
        <item x="3"/>
        <item x="7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7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Calculated_Sales" fld="36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D2D25-2776-40D3-B4C2-9846038ECE89}" name="PivotTable19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O934:AQ951" firstHeaderRow="1" firstDataRow="1" firstDataCol="0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576A-C931-47CA-905D-FF6357F92081}">
  <dimension ref="A1:C9"/>
  <sheetViews>
    <sheetView workbookViewId="0"/>
  </sheetViews>
  <sheetFormatPr defaultRowHeight="14.4"/>
  <cols>
    <col min="1" max="1" width="19" customWidth="1"/>
    <col min="2" max="2" width="21.77734375" bestFit="1" customWidth="1"/>
    <col min="3" max="3" width="21.6640625" bestFit="1" customWidth="1"/>
  </cols>
  <sheetData>
    <row r="1" spans="1:3" ht="18">
      <c r="A1" s="19" t="s">
        <v>4135</v>
      </c>
    </row>
    <row r="3" spans="1:3">
      <c r="A3" s="15" t="s">
        <v>4115</v>
      </c>
      <c r="B3" t="s">
        <v>4117</v>
      </c>
      <c r="C3" t="s">
        <v>4118</v>
      </c>
    </row>
    <row r="4" spans="1:3">
      <c r="A4" s="16" t="s">
        <v>42</v>
      </c>
      <c r="B4" s="4">
        <v>2187884.7673000004</v>
      </c>
      <c r="C4" s="4">
        <v>662907.29730000021</v>
      </c>
    </row>
    <row r="5" spans="1:3">
      <c r="A5" s="16" t="s">
        <v>27</v>
      </c>
      <c r="B5" s="4">
        <v>2147800.2452999991</v>
      </c>
      <c r="C5" s="4">
        <v>625653.26529999985</v>
      </c>
    </row>
    <row r="6" spans="1:3">
      <c r="A6" s="16" t="s">
        <v>62</v>
      </c>
      <c r="B6" s="4">
        <v>2270813.4779999997</v>
      </c>
      <c r="C6" s="4">
        <v>592561.77800000017</v>
      </c>
    </row>
    <row r="7" spans="1:3">
      <c r="A7" s="16" t="s">
        <v>4104</v>
      </c>
      <c r="B7" s="4">
        <v>320943.47240000003</v>
      </c>
      <c r="C7" s="4">
        <v>117538.79239999999</v>
      </c>
    </row>
    <row r="8" spans="1:3">
      <c r="A8" s="16" t="s">
        <v>73</v>
      </c>
      <c r="B8" s="4">
        <v>2094179.6342</v>
      </c>
      <c r="C8" s="4">
        <v>589895.50419999997</v>
      </c>
    </row>
    <row r="9" spans="1:3">
      <c r="A9" s="16" t="s">
        <v>4116</v>
      </c>
      <c r="B9" s="4">
        <v>9021621.5971999988</v>
      </c>
      <c r="C9" s="4">
        <v>2588556.6372000002</v>
      </c>
    </row>
  </sheetData>
  <sortState xmlns:xlrd2="http://schemas.microsoft.com/office/spreadsheetml/2017/richdata2" columnSort="1" ref="A3:C9">
    <sortCondition descending="1" ref="B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93AD-B87F-4F66-82D9-F9F01F40E56E}">
  <dimension ref="A1:C20"/>
  <sheetViews>
    <sheetView tabSelected="1" workbookViewId="0"/>
  </sheetViews>
  <sheetFormatPr defaultRowHeight="14.4"/>
  <cols>
    <col min="1" max="1" width="19.44140625" customWidth="1"/>
    <col min="2" max="2" width="21.77734375" bestFit="1" customWidth="1"/>
    <col min="3" max="3" width="21.6640625" bestFit="1" customWidth="1"/>
  </cols>
  <sheetData>
    <row r="1" spans="1:3" ht="18">
      <c r="A1" s="19" t="s">
        <v>4136</v>
      </c>
    </row>
    <row r="3" spans="1:3">
      <c r="A3" s="15" t="s">
        <v>4115</v>
      </c>
      <c r="B3" t="s">
        <v>4117</v>
      </c>
      <c r="C3" t="s">
        <v>4118</v>
      </c>
    </row>
    <row r="4" spans="1:3">
      <c r="A4" s="16" t="s">
        <v>45</v>
      </c>
      <c r="B4" s="4">
        <v>3121248.3795000003</v>
      </c>
      <c r="C4" s="4">
        <v>908617.24950000003</v>
      </c>
    </row>
    <row r="5" spans="1:3">
      <c r="A5" s="17" t="s">
        <v>204</v>
      </c>
      <c r="B5" s="4">
        <v>648223.60149999999</v>
      </c>
      <c r="C5" s="4">
        <v>175028.97149999999</v>
      </c>
    </row>
    <row r="6" spans="1:3">
      <c r="A6" s="17" t="s">
        <v>76</v>
      </c>
      <c r="B6" s="4">
        <v>980752.98340000003</v>
      </c>
      <c r="C6" s="4">
        <v>294577.72340000002</v>
      </c>
    </row>
    <row r="7" spans="1:3">
      <c r="A7" s="17" t="s">
        <v>65</v>
      </c>
      <c r="B7" s="4">
        <v>813107.45310000004</v>
      </c>
      <c r="C7" s="4">
        <v>229410.92309999999</v>
      </c>
    </row>
    <row r="8" spans="1:3">
      <c r="A8" s="17" t="s">
        <v>46</v>
      </c>
      <c r="B8" s="4">
        <v>679164.3415000001</v>
      </c>
      <c r="C8" s="4">
        <v>209599.63150000002</v>
      </c>
    </row>
    <row r="9" spans="1:3">
      <c r="A9" s="16" t="s">
        <v>30</v>
      </c>
      <c r="B9" s="4">
        <v>2772168.4885999998</v>
      </c>
      <c r="C9" s="4">
        <v>794080.63859999995</v>
      </c>
    </row>
    <row r="10" spans="1:3">
      <c r="A10" s="17" t="s">
        <v>54</v>
      </c>
      <c r="B10" s="4">
        <v>582692.90299999993</v>
      </c>
      <c r="C10" s="4">
        <v>159651.77299999993</v>
      </c>
    </row>
    <row r="11" spans="1:3">
      <c r="A11" s="17" t="s">
        <v>198</v>
      </c>
      <c r="B11" s="4">
        <v>557129.1041</v>
      </c>
      <c r="C11" s="4">
        <v>168301.87409999996</v>
      </c>
    </row>
    <row r="12" spans="1:3">
      <c r="A12" s="17" t="s">
        <v>109</v>
      </c>
      <c r="B12" s="4">
        <v>344101.56189999991</v>
      </c>
      <c r="C12" s="4">
        <v>110553.28189999997</v>
      </c>
    </row>
    <row r="13" spans="1:3">
      <c r="A13" s="17" t="s">
        <v>31</v>
      </c>
      <c r="B13" s="4">
        <v>606773.67779999995</v>
      </c>
      <c r="C13" s="4">
        <v>175368.22779999996</v>
      </c>
    </row>
    <row r="14" spans="1:3">
      <c r="A14" s="17" t="s">
        <v>156</v>
      </c>
      <c r="B14" s="4">
        <v>681471.24179999996</v>
      </c>
      <c r="C14" s="4">
        <v>180205.48180000001</v>
      </c>
    </row>
    <row r="15" spans="1:3">
      <c r="A15" s="16" t="s">
        <v>86</v>
      </c>
      <c r="B15" s="4">
        <v>3128204.7291000001</v>
      </c>
      <c r="C15" s="4">
        <v>885858.74910000036</v>
      </c>
    </row>
    <row r="16" spans="1:3">
      <c r="A16" s="17" t="s">
        <v>87</v>
      </c>
      <c r="B16" s="4">
        <v>800355.38799999992</v>
      </c>
      <c r="C16" s="4">
        <v>236797.41800000003</v>
      </c>
    </row>
    <row r="17" spans="1:3">
      <c r="A17" s="17" t="s">
        <v>94</v>
      </c>
      <c r="B17" s="4">
        <v>914032.09080000001</v>
      </c>
      <c r="C17" s="4">
        <v>268610.63080000016</v>
      </c>
    </row>
    <row r="18" spans="1:3">
      <c r="A18" s="17" t="s">
        <v>382</v>
      </c>
      <c r="B18" s="4">
        <v>631107.0469999999</v>
      </c>
      <c r="C18" s="4">
        <v>179585.337</v>
      </c>
    </row>
    <row r="19" spans="1:3">
      <c r="A19" s="17" t="s">
        <v>223</v>
      </c>
      <c r="B19" s="4">
        <v>782710.20329999994</v>
      </c>
      <c r="C19" s="4">
        <v>200865.36330000003</v>
      </c>
    </row>
    <row r="20" spans="1:3">
      <c r="A20" s="16" t="s">
        <v>4116</v>
      </c>
      <c r="B20" s="4">
        <v>9021621.5972000007</v>
      </c>
      <c r="C20" s="4">
        <v>2588556.6371999998</v>
      </c>
    </row>
  </sheetData>
  <sortState xmlns:xlrd2="http://schemas.microsoft.com/office/spreadsheetml/2017/richdata2" columnSort="1" ref="A3:C20">
    <sortCondition descending="1" ref="B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1D0C-EEF5-46BF-9A35-CE760A0402E7}">
  <dimension ref="A1:B9"/>
  <sheetViews>
    <sheetView workbookViewId="0"/>
  </sheetViews>
  <sheetFormatPr defaultRowHeight="14.4"/>
  <cols>
    <col min="1" max="1" width="18.5546875" customWidth="1"/>
    <col min="2" max="2" width="16" bestFit="1" customWidth="1"/>
  </cols>
  <sheetData>
    <row r="1" spans="1:2" ht="18">
      <c r="A1" s="19" t="s">
        <v>4137</v>
      </c>
    </row>
    <row r="3" spans="1:2">
      <c r="A3" s="15" t="s">
        <v>4115</v>
      </c>
      <c r="B3" t="s">
        <v>4119</v>
      </c>
    </row>
    <row r="4" spans="1:2">
      <c r="A4" s="16" t="s">
        <v>56</v>
      </c>
      <c r="B4" s="4">
        <v>226</v>
      </c>
    </row>
    <row r="5" spans="1:2">
      <c r="A5" s="16" t="s">
        <v>48</v>
      </c>
      <c r="B5" s="4">
        <v>211</v>
      </c>
    </row>
    <row r="6" spans="1:2">
      <c r="A6" s="16" t="s">
        <v>33</v>
      </c>
      <c r="B6" s="4">
        <v>227</v>
      </c>
    </row>
    <row r="7" spans="1:2">
      <c r="A7" s="16" t="s">
        <v>67</v>
      </c>
      <c r="B7" s="4">
        <v>246</v>
      </c>
    </row>
    <row r="8" spans="1:2">
      <c r="A8" s="16" t="s">
        <v>4104</v>
      </c>
      <c r="B8" s="4">
        <v>22</v>
      </c>
    </row>
    <row r="9" spans="1:2">
      <c r="A9" s="16" t="s">
        <v>4116</v>
      </c>
      <c r="B9" s="4">
        <v>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AB2D-445F-4392-B96E-FF071EAC3DD3}">
  <dimension ref="A1:B8"/>
  <sheetViews>
    <sheetView workbookViewId="0"/>
  </sheetViews>
  <sheetFormatPr defaultRowHeight="14.4"/>
  <cols>
    <col min="1" max="1" width="19.6640625" customWidth="1"/>
    <col min="2" max="2" width="22" bestFit="1" customWidth="1"/>
  </cols>
  <sheetData>
    <row r="1" spans="1:2" ht="18">
      <c r="A1" s="19" t="s">
        <v>4138</v>
      </c>
    </row>
    <row r="3" spans="1:2">
      <c r="A3" s="15" t="s">
        <v>4115</v>
      </c>
      <c r="B3" t="s">
        <v>4120</v>
      </c>
    </row>
    <row r="4" spans="1:2">
      <c r="A4" s="16" t="s">
        <v>26</v>
      </c>
      <c r="B4" s="18">
        <v>-7287.9716363636362</v>
      </c>
    </row>
    <row r="5" spans="1:2">
      <c r="A5" s="16" t="s">
        <v>108</v>
      </c>
      <c r="B5" s="18">
        <v>-6649.1964814814801</v>
      </c>
    </row>
    <row r="6" spans="1:2">
      <c r="A6" s="16" t="s">
        <v>115</v>
      </c>
      <c r="B6" s="18">
        <v>-7056.7104310344794</v>
      </c>
    </row>
    <row r="7" spans="1:2">
      <c r="A7" s="16" t="s">
        <v>41</v>
      </c>
      <c r="B7" s="18">
        <v>-7139.5444715447202</v>
      </c>
    </row>
    <row r="8" spans="1:2">
      <c r="A8" s="16" t="s">
        <v>4116</v>
      </c>
      <c r="B8" s="18">
        <v>-7038.3642888402655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4D2A-6389-45E8-B8B7-ED1A3373E2EA}">
  <dimension ref="A1:E10"/>
  <sheetViews>
    <sheetView workbookViewId="0">
      <selection sqref="A1:A1048576"/>
    </sheetView>
  </sheetViews>
  <sheetFormatPr defaultRowHeight="14.4"/>
  <cols>
    <col min="1" max="1" width="18.77734375" customWidth="1"/>
    <col min="2" max="2" width="15.5546875" bestFit="1" customWidth="1"/>
    <col min="3" max="3" width="10.21875" bestFit="1" customWidth="1"/>
    <col min="4" max="4" width="8.77734375" bestFit="1" customWidth="1"/>
    <col min="5" max="5" width="10.77734375" bestFit="1" customWidth="1"/>
  </cols>
  <sheetData>
    <row r="1" spans="1:5" ht="18">
      <c r="A1" s="19" t="s">
        <v>4139</v>
      </c>
    </row>
    <row r="3" spans="1:5">
      <c r="A3" s="15" t="s">
        <v>4119</v>
      </c>
      <c r="B3" s="15" t="s">
        <v>4121</v>
      </c>
    </row>
    <row r="4" spans="1:5">
      <c r="A4" s="15" t="s">
        <v>4115</v>
      </c>
      <c r="B4" t="s">
        <v>78</v>
      </c>
      <c r="C4" t="s">
        <v>35</v>
      </c>
      <c r="D4" t="s">
        <v>125</v>
      </c>
      <c r="E4" t="s">
        <v>4116</v>
      </c>
    </row>
    <row r="5" spans="1:5">
      <c r="A5" s="16" t="s">
        <v>42</v>
      </c>
      <c r="B5" s="4">
        <v>30</v>
      </c>
      <c r="C5" s="4">
        <v>153</v>
      </c>
      <c r="D5" s="4">
        <v>46</v>
      </c>
      <c r="E5" s="4">
        <v>229</v>
      </c>
    </row>
    <row r="6" spans="1:5">
      <c r="A6" s="16" t="s">
        <v>27</v>
      </c>
      <c r="B6" s="4">
        <v>49</v>
      </c>
      <c r="C6" s="4">
        <v>130</v>
      </c>
      <c r="D6" s="4">
        <v>37</v>
      </c>
      <c r="E6" s="4">
        <v>216</v>
      </c>
    </row>
    <row r="7" spans="1:5">
      <c r="A7" s="16" t="s">
        <v>62</v>
      </c>
      <c r="B7" s="4">
        <v>35</v>
      </c>
      <c r="C7" s="4">
        <v>160</v>
      </c>
      <c r="D7" s="4">
        <v>37</v>
      </c>
      <c r="E7" s="4">
        <v>232</v>
      </c>
    </row>
    <row r="8" spans="1:5">
      <c r="A8" s="16" t="s">
        <v>4104</v>
      </c>
      <c r="B8" s="4">
        <v>2</v>
      </c>
      <c r="C8" s="4">
        <v>20</v>
      </c>
      <c r="D8" s="4">
        <v>4</v>
      </c>
      <c r="E8" s="4">
        <v>26</v>
      </c>
    </row>
    <row r="9" spans="1:5">
      <c r="A9" s="16" t="s">
        <v>73</v>
      </c>
      <c r="B9" s="4">
        <v>30</v>
      </c>
      <c r="C9" s="4">
        <v>159</v>
      </c>
      <c r="D9" s="4">
        <v>40</v>
      </c>
      <c r="E9" s="4">
        <v>229</v>
      </c>
    </row>
    <row r="10" spans="1:5">
      <c r="A10" s="16" t="s">
        <v>4116</v>
      </c>
      <c r="B10" s="4">
        <v>146</v>
      </c>
      <c r="C10" s="4">
        <v>622</v>
      </c>
      <c r="D10" s="4">
        <v>164</v>
      </c>
      <c r="E10" s="4">
        <v>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6851-FD52-4CB4-87FE-4A9576676B82}">
  <dimension ref="A1:B30"/>
  <sheetViews>
    <sheetView workbookViewId="0"/>
  </sheetViews>
  <sheetFormatPr defaultRowHeight="14.4"/>
  <cols>
    <col min="1" max="1" width="20.109375" customWidth="1"/>
    <col min="2" max="2" width="21.77734375" bestFit="1" customWidth="1"/>
  </cols>
  <sheetData>
    <row r="1" spans="1:2" ht="18">
      <c r="A1" s="19" t="s">
        <v>4134</v>
      </c>
    </row>
    <row r="3" spans="1:2">
      <c r="A3" s="15" t="s">
        <v>4115</v>
      </c>
      <c r="B3" t="s">
        <v>4117</v>
      </c>
    </row>
    <row r="4" spans="1:2">
      <c r="A4" s="16">
        <v>2024</v>
      </c>
      <c r="B4" s="4">
        <v>4784185.2759000007</v>
      </c>
    </row>
    <row r="5" spans="1:2">
      <c r="A5" s="17" t="s">
        <v>4122</v>
      </c>
      <c r="B5" s="4">
        <v>503668.62349999993</v>
      </c>
    </row>
    <row r="6" spans="1:2">
      <c r="A6" s="17" t="s">
        <v>4123</v>
      </c>
      <c r="B6" s="4">
        <v>461187.31200000003</v>
      </c>
    </row>
    <row r="7" spans="1:2">
      <c r="A7" s="17" t="s">
        <v>4124</v>
      </c>
      <c r="B7" s="4">
        <v>325711.94150000002</v>
      </c>
    </row>
    <row r="8" spans="1:2">
      <c r="A8" s="17" t="s">
        <v>4125</v>
      </c>
      <c r="B8" s="4">
        <v>364369.05799999996</v>
      </c>
    </row>
    <row r="9" spans="1:2">
      <c r="A9" s="17" t="s">
        <v>4126</v>
      </c>
      <c r="B9" s="4">
        <v>455877.28930000006</v>
      </c>
    </row>
    <row r="10" spans="1:2">
      <c r="A10" s="17" t="s">
        <v>4127</v>
      </c>
      <c r="B10" s="4">
        <v>407071.93249999994</v>
      </c>
    </row>
    <row r="11" spans="1:2">
      <c r="A11" s="17" t="s">
        <v>4128</v>
      </c>
      <c r="B11" s="4">
        <v>428545.65179999999</v>
      </c>
    </row>
    <row r="12" spans="1:2">
      <c r="A12" s="17" t="s">
        <v>4129</v>
      </c>
      <c r="B12" s="4">
        <v>287880.38749999995</v>
      </c>
    </row>
    <row r="13" spans="1:2">
      <c r="A13" s="17" t="s">
        <v>4130</v>
      </c>
      <c r="B13" s="4">
        <v>404288.21929999994</v>
      </c>
    </row>
    <row r="14" spans="1:2">
      <c r="A14" s="17" t="s">
        <v>4131</v>
      </c>
      <c r="B14" s="4">
        <v>459753.10450000002</v>
      </c>
    </row>
    <row r="15" spans="1:2">
      <c r="A15" s="17" t="s">
        <v>4132</v>
      </c>
      <c r="B15" s="4">
        <v>369060.14370000007</v>
      </c>
    </row>
    <row r="16" spans="1:2">
      <c r="A16" s="17" t="s">
        <v>4133</v>
      </c>
      <c r="B16" s="4">
        <v>316771.61229999992</v>
      </c>
    </row>
    <row r="17" spans="1:2">
      <c r="A17" s="16">
        <v>2025</v>
      </c>
      <c r="B17" s="4">
        <v>4237436.3213</v>
      </c>
    </row>
    <row r="18" spans="1:2">
      <c r="A18" s="17" t="s">
        <v>4122</v>
      </c>
      <c r="B18" s="4">
        <v>463775.25629999995</v>
      </c>
    </row>
    <row r="19" spans="1:2">
      <c r="A19" s="17" t="s">
        <v>4123</v>
      </c>
      <c r="B19" s="4">
        <v>408520.48949999997</v>
      </c>
    </row>
    <row r="20" spans="1:2">
      <c r="A20" s="17" t="s">
        <v>4124</v>
      </c>
      <c r="B20" s="4">
        <v>341819.07799999992</v>
      </c>
    </row>
    <row r="21" spans="1:2">
      <c r="A21" s="17" t="s">
        <v>4125</v>
      </c>
      <c r="B21" s="4">
        <v>402204.06930000003</v>
      </c>
    </row>
    <row r="22" spans="1:2">
      <c r="A22" s="17" t="s">
        <v>4126</v>
      </c>
      <c r="B22" s="4">
        <v>318777.72250000003</v>
      </c>
    </row>
    <row r="23" spans="1:2">
      <c r="A23" s="17" t="s">
        <v>4127</v>
      </c>
      <c r="B23" s="4">
        <v>385769.69350000005</v>
      </c>
    </row>
    <row r="24" spans="1:2">
      <c r="A24" s="17" t="s">
        <v>4128</v>
      </c>
      <c r="B24" s="4">
        <v>394754.03120000003</v>
      </c>
    </row>
    <row r="25" spans="1:2">
      <c r="A25" s="17" t="s">
        <v>4129</v>
      </c>
      <c r="B25" s="4">
        <v>489736.28999999992</v>
      </c>
    </row>
    <row r="26" spans="1:2">
      <c r="A26" s="17" t="s">
        <v>4130</v>
      </c>
      <c r="B26" s="4">
        <v>486849.39349999995</v>
      </c>
    </row>
    <row r="27" spans="1:2">
      <c r="A27" s="17" t="s">
        <v>4131</v>
      </c>
      <c r="B27" s="4">
        <v>264904.93500000006</v>
      </c>
    </row>
    <row r="28" spans="1:2">
      <c r="A28" s="17" t="s">
        <v>4132</v>
      </c>
      <c r="B28" s="4">
        <v>91934.870999999999</v>
      </c>
    </row>
    <row r="29" spans="1:2">
      <c r="A29" s="17" t="s">
        <v>4133</v>
      </c>
      <c r="B29" s="4">
        <v>188390.49149999997</v>
      </c>
    </row>
    <row r="30" spans="1:2">
      <c r="A30" s="16" t="s">
        <v>4116</v>
      </c>
      <c r="B30" s="4">
        <v>9021621.5971999988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B1C5-E5B1-46E0-912C-6D56017AEC1D}">
  <dimension ref="A1:AT951"/>
  <sheetViews>
    <sheetView workbookViewId="0">
      <selection activeCell="A2" sqref="A1:AT933"/>
    </sheetView>
  </sheetViews>
  <sheetFormatPr defaultRowHeight="14.4"/>
  <cols>
    <col min="1" max="2" width="21.21875" customWidth="1"/>
    <col min="3" max="3" width="36.109375" customWidth="1"/>
    <col min="4" max="4" width="16.88671875" customWidth="1"/>
    <col min="5" max="5" width="17.44140625" customWidth="1"/>
    <col min="6" max="6" width="18.109375" customWidth="1"/>
    <col min="7" max="9" width="21.109375" customWidth="1"/>
    <col min="10" max="11" width="17.44140625" customWidth="1"/>
    <col min="12" max="12" width="23.44140625" customWidth="1"/>
    <col min="13" max="13" width="16.88671875" customWidth="1"/>
    <col min="14" max="15" width="18.6640625" customWidth="1"/>
    <col min="16" max="16" width="15.109375" customWidth="1"/>
    <col min="17" max="17" width="21.109375" customWidth="1"/>
    <col min="18" max="19" width="18.77734375" customWidth="1"/>
    <col min="20" max="21" width="18" customWidth="1"/>
    <col min="22" max="23" width="20.44140625" customWidth="1"/>
    <col min="24" max="25" width="22.44140625" customWidth="1"/>
    <col min="26" max="26" width="18.109375" customWidth="1"/>
    <col min="27" max="27" width="22.109375" customWidth="1"/>
    <col min="28" max="28" width="21.109375" customWidth="1"/>
    <col min="29" max="29" width="18.21875" customWidth="1"/>
    <col min="30" max="30" width="23.88671875" customWidth="1"/>
    <col min="31" max="31" width="14.33203125" customWidth="1"/>
    <col min="32" max="32" width="16.5546875" customWidth="1"/>
    <col min="33" max="34" width="16.21875" customWidth="1"/>
    <col min="35" max="35" width="28.88671875" customWidth="1"/>
    <col min="36" max="36" width="15.6640625" customWidth="1"/>
    <col min="37" max="37" width="20.5546875" customWidth="1"/>
    <col min="38" max="38" width="19.33203125" customWidth="1"/>
    <col min="39" max="39" width="16" customWidth="1"/>
    <col min="40" max="41" width="22.109375" customWidth="1"/>
    <col min="42" max="42" width="17.88671875" customWidth="1"/>
    <col min="43" max="43" width="27.44140625" customWidth="1"/>
    <col min="44" max="44" width="19.109375" customWidth="1"/>
    <col min="45" max="45" width="23.21875" customWidth="1"/>
    <col min="46" max="46" width="21.6640625" customWidth="1"/>
  </cols>
  <sheetData>
    <row r="1" spans="1:46" ht="27.6">
      <c r="A1" s="1" t="s">
        <v>0</v>
      </c>
      <c r="B1" s="1" t="s">
        <v>4103</v>
      </c>
      <c r="C1" s="1" t="s">
        <v>4113</v>
      </c>
      <c r="D1" s="1" t="s">
        <v>1</v>
      </c>
      <c r="E1" s="1" t="s">
        <v>2</v>
      </c>
      <c r="F1" s="1" t="s">
        <v>4099</v>
      </c>
      <c r="G1" s="1" t="s">
        <v>4101</v>
      </c>
      <c r="H1" s="1" t="s">
        <v>4111</v>
      </c>
      <c r="I1" s="1" t="s">
        <v>4112</v>
      </c>
      <c r="J1" s="1" t="s">
        <v>4098</v>
      </c>
      <c r="K1" s="1" t="s">
        <v>4100</v>
      </c>
      <c r="L1" s="1" t="s">
        <v>4102</v>
      </c>
      <c r="M1" s="1" t="s">
        <v>3</v>
      </c>
      <c r="N1" s="1" t="s">
        <v>4</v>
      </c>
      <c r="O1" s="1" t="s">
        <v>4088</v>
      </c>
      <c r="P1" s="1" t="s">
        <v>5</v>
      </c>
      <c r="Q1" s="1" t="s">
        <v>4089</v>
      </c>
      <c r="R1" s="1" t="s">
        <v>6</v>
      </c>
      <c r="S1" s="1" t="s">
        <v>4090</v>
      </c>
      <c r="T1" s="1" t="s">
        <v>7</v>
      </c>
      <c r="U1" s="1" t="s">
        <v>4091</v>
      </c>
      <c r="V1" s="1" t="s">
        <v>8</v>
      </c>
      <c r="W1" s="1" t="s">
        <v>4092</v>
      </c>
      <c r="X1" s="1" t="s">
        <v>9</v>
      </c>
      <c r="Y1" s="1" t="s">
        <v>4093</v>
      </c>
      <c r="Z1" s="1" t="s">
        <v>10</v>
      </c>
      <c r="AA1" s="1" t="s">
        <v>4094</v>
      </c>
      <c r="AB1" s="1" t="s">
        <v>11</v>
      </c>
      <c r="AC1" s="1" t="s">
        <v>12</v>
      </c>
      <c r="AD1" s="1" t="s">
        <v>4095</v>
      </c>
      <c r="AE1" s="1" t="s">
        <v>13</v>
      </c>
      <c r="AF1" s="1" t="s">
        <v>14</v>
      </c>
      <c r="AG1" s="1" t="s">
        <v>15</v>
      </c>
      <c r="AH1" s="1" t="s">
        <v>4106</v>
      </c>
      <c r="AI1" s="1" t="s">
        <v>4107</v>
      </c>
      <c r="AJ1" s="1" t="s">
        <v>16</v>
      </c>
      <c r="AK1" s="1" t="s">
        <v>4108</v>
      </c>
      <c r="AL1" s="1" t="s">
        <v>17</v>
      </c>
      <c r="AM1" s="1" t="s">
        <v>18</v>
      </c>
      <c r="AN1" s="1" t="s">
        <v>4109</v>
      </c>
      <c r="AO1" s="1" t="s">
        <v>4110</v>
      </c>
      <c r="AP1" s="1" t="s">
        <v>19</v>
      </c>
      <c r="AQ1" s="1" t="s">
        <v>4096</v>
      </c>
      <c r="AR1" s="1" t="s">
        <v>20</v>
      </c>
      <c r="AS1" s="1" t="s">
        <v>4097</v>
      </c>
      <c r="AT1" s="1" t="s">
        <v>4114</v>
      </c>
    </row>
    <row r="2" spans="1:46">
      <c r="A2" t="s">
        <v>21</v>
      </c>
      <c r="B2">
        <f>COUNTIF($D2:D$2,D2)</f>
        <v>1</v>
      </c>
      <c r="C2" t="str">
        <f>IF(COUNTIF($A:$A,A2)=1,
"Unique",
IF(COUNTIFS($A:$A,A2,$N:$N,N2,$AF:$AF,AF2,$AJ:$AJ,AJ2)&gt;1,
"Exact Duplicate",
"Conflicting Duplicate"))</f>
        <v>Unique</v>
      </c>
      <c r="D2" t="s">
        <v>22</v>
      </c>
      <c r="E2" t="s">
        <v>23</v>
      </c>
      <c r="F2" s="2">
        <v>45494</v>
      </c>
      <c r="G2" s="3">
        <v>45500</v>
      </c>
      <c r="H2" s="5" t="str">
        <f>TEXT(DATE(2024,MONTH(F2),1),"MMMM")</f>
        <v>July</v>
      </c>
      <c r="I2" s="5">
        <f>YEAR(F2)</f>
        <v>2024</v>
      </c>
      <c r="J2" t="str">
        <f>IF(F2="","Missing Date",
IF(ISNUMBER(F2),"Valid","Invalid Date"))</f>
        <v>Valid</v>
      </c>
      <c r="K2" t="str">
        <f>IF(G2="","Missing Date",
IF(ISNUMBER(G2),"Valid","Invalid Date"))</f>
        <v>Valid</v>
      </c>
      <c r="L2">
        <f>G2-F2</f>
        <v>6</v>
      </c>
      <c r="M2" t="s">
        <v>24</v>
      </c>
      <c r="N2" t="s">
        <v>25</v>
      </c>
      <c r="O2" t="str">
        <f>TRIM(PROPER(CLEAN(N2)))</f>
        <v>Karan Malhotra</v>
      </c>
      <c r="P2" t="s">
        <v>26</v>
      </c>
      <c r="Q2" t="str">
        <f>TRIM(PROPER(CLEAN(P2)))</f>
        <v>Consumer</v>
      </c>
      <c r="R2" t="s">
        <v>27</v>
      </c>
      <c r="S2" t="str">
        <f>TRIM(PROPER(CLEAN(R2)))</f>
        <v>North</v>
      </c>
      <c r="T2" t="s">
        <v>28</v>
      </c>
      <c r="U2" t="str">
        <f>TRIM(PROPER(CLEAN(T2)))</f>
        <v>Rajasthan</v>
      </c>
      <c r="V2" t="s">
        <v>29</v>
      </c>
      <c r="W2" t="str">
        <f>TRIM(PROPER(CLEAN(V2)))</f>
        <v>Jaipur</v>
      </c>
      <c r="X2" t="s">
        <v>30</v>
      </c>
      <c r="Y2" t="str">
        <f>TRIM(PROPER(CLEAN(X2)))</f>
        <v>Office Supplies</v>
      </c>
      <c r="Z2" t="s">
        <v>31</v>
      </c>
      <c r="AA2" t="str">
        <f>TRIM(PROPER(CLEAN(Z2)))</f>
        <v>Paper</v>
      </c>
      <c r="AB2" t="s">
        <v>32</v>
      </c>
      <c r="AC2" t="s">
        <v>33</v>
      </c>
      <c r="AD2" t="str">
        <f>TRIM(PROPER(CLEAN(AC2)))</f>
        <v>Second Class</v>
      </c>
      <c r="AE2">
        <v>8</v>
      </c>
      <c r="AF2">
        <v>2976.45</v>
      </c>
      <c r="AG2">
        <v>0.2</v>
      </c>
      <c r="AH2">
        <v>0.2</v>
      </c>
      <c r="AI2" t="str">
        <f>IF(AG2="","Missing Discount",IF(AG2&lt;0,"Invalid - Negative Discount",IF(AG2&gt;1,"Invalid - Above Range","Valid")))</f>
        <v>Valid</v>
      </c>
      <c r="AJ2">
        <v>19049.28</v>
      </c>
      <c r="AK2">
        <f>AE2*AF2*(1-AH2)</f>
        <v>19049.28</v>
      </c>
      <c r="AL2">
        <v>15841.89</v>
      </c>
      <c r="AM2">
        <v>3207.39</v>
      </c>
      <c r="AN2">
        <f>AK2-AL2</f>
        <v>3207.3899999999994</v>
      </c>
      <c r="AO2">
        <f>AN2-AK2</f>
        <v>-15841.89</v>
      </c>
      <c r="AP2" t="s">
        <v>34</v>
      </c>
      <c r="AQ2" t="str">
        <f>TRIM(PROPER(CLEAN(AP2)))</f>
        <v>Paid</v>
      </c>
      <c r="AR2" t="s">
        <v>35</v>
      </c>
      <c r="AS2" t="str">
        <f>TRIM(PROPER(CLEAN(AR2)))</f>
        <v>Completed</v>
      </c>
      <c r="AT2" t="str">
        <f>IF(OR(AH2="Unknown",AJ2="Unknown",AM2="Unknown",A2="Unknown"),"Needs Review","Clean")</f>
        <v>Clean</v>
      </c>
    </row>
    <row r="3" spans="1:46">
      <c r="A3" t="s">
        <v>36</v>
      </c>
      <c r="B3">
        <f>COUNTIF($D$2:D3,D3)</f>
        <v>1</v>
      </c>
      <c r="C3" t="str">
        <f>IF(COUNTIF($A:$A,A3)=1,
"Unique",
IF(COUNTIFS($A:$A,A3,$N:$N,N3,$AF:$AF,AF3,$AJ:$AJ,AJ3)&gt;1,
"Exact Duplicate",
"Conflicting Duplicate"))</f>
        <v>Unique</v>
      </c>
      <c r="D3" t="s">
        <v>37</v>
      </c>
      <c r="E3" t="s">
        <v>38</v>
      </c>
      <c r="F3" s="3">
        <v>45535</v>
      </c>
      <c r="G3" s="2">
        <v>45421</v>
      </c>
      <c r="H3" s="5" t="str">
        <f t="shared" ref="H3:H66" si="0">TEXT(DATE(2024,MONTH(F3),1),"MMMM")</f>
        <v>August</v>
      </c>
      <c r="I3" s="5">
        <f t="shared" ref="I3:I66" si="1">YEAR(F3)</f>
        <v>2024</v>
      </c>
      <c r="J3" t="str">
        <f>IF(F3="","Missing Date",
IF(ISNUMBER(F3),"Valid","Invalid Date"))</f>
        <v>Valid</v>
      </c>
      <c r="K3" t="str">
        <f t="shared" ref="K3:K66" si="2">IF(G3="","Missing Date",
IF(ISNUMBER(G3),"Valid","Invalid Date"))</f>
        <v>Valid</v>
      </c>
      <c r="L3">
        <f>G3-F3</f>
        <v>-114</v>
      </c>
      <c r="M3" t="s">
        <v>39</v>
      </c>
      <c r="N3" t="s">
        <v>40</v>
      </c>
      <c r="O3" t="str">
        <f t="shared" ref="O3:O66" si="3">TRIM(PROPER(CLEAN(N3)))</f>
        <v>Mira Das</v>
      </c>
      <c r="P3" t="s">
        <v>41</v>
      </c>
      <c r="Q3" t="str">
        <f t="shared" ref="Q3:Q66" si="4">TRIM(PROPER(CLEAN(P3)))</f>
        <v>Small Business</v>
      </c>
      <c r="R3" t="s">
        <v>42</v>
      </c>
      <c r="S3" t="str">
        <f t="shared" ref="S3:S66" si="5">TRIM(PROPER(CLEAN(R3)))</f>
        <v>East</v>
      </c>
      <c r="T3" t="s">
        <v>43</v>
      </c>
      <c r="U3" t="str">
        <f t="shared" ref="U3:U66" si="6">TRIM(PROPER(CLEAN(T3)))</f>
        <v>Odisha</v>
      </c>
      <c r="V3" t="s">
        <v>44</v>
      </c>
      <c r="W3" t="str">
        <f t="shared" ref="W3:W66" si="7">TRIM(PROPER(CLEAN(V3)))</f>
        <v>Bhubaneswar</v>
      </c>
      <c r="X3" t="s">
        <v>45</v>
      </c>
      <c r="Y3" t="str">
        <f t="shared" ref="Y3:Y66" si="8">TRIM(PROPER(CLEAN(X3)))</f>
        <v>Furniture</v>
      </c>
      <c r="Z3" t="s">
        <v>46</v>
      </c>
      <c r="AA3" t="str">
        <f t="shared" ref="AA3:AA66" si="9">TRIM(PROPER(CLEAN(Z3)))</f>
        <v>Tables</v>
      </c>
      <c r="AB3" t="s">
        <v>47</v>
      </c>
      <c r="AC3" t="s">
        <v>48</v>
      </c>
      <c r="AD3" t="str">
        <f t="shared" ref="AD3:AD66" si="10">TRIM(PROPER(CLEAN(AC3)))</f>
        <v>Same Day</v>
      </c>
      <c r="AE3">
        <v>3</v>
      </c>
      <c r="AF3">
        <v>2437.5</v>
      </c>
      <c r="AG3">
        <v>0</v>
      </c>
      <c r="AH3">
        <v>0</v>
      </c>
      <c r="AI3" t="str">
        <f t="shared" ref="AI3:AI66" si="11">IF(AG3="","Missing Discount",IF(AG3&lt;0,"Invalid - Negative Discount",IF(AG3&gt;1,"Invalid - Above Range","Valid")))</f>
        <v>Valid</v>
      </c>
      <c r="AJ3">
        <v>7312.5</v>
      </c>
      <c r="AK3">
        <f t="shared" ref="AK3:AK66" si="12">AE3*AF3*(1-AH3)</f>
        <v>7312.5</v>
      </c>
      <c r="AL3">
        <v>4904.7299999999996</v>
      </c>
      <c r="AM3">
        <v>2407.77</v>
      </c>
      <c r="AN3">
        <f t="shared" ref="AN3:AN66" si="13">AK3-AL3</f>
        <v>2407.7700000000004</v>
      </c>
      <c r="AO3">
        <f t="shared" ref="AO3:AO66" si="14">AN3-AK3</f>
        <v>-4904.7299999999996</v>
      </c>
      <c r="AP3" t="s">
        <v>34</v>
      </c>
      <c r="AQ3" t="str">
        <f t="shared" ref="AQ3:AQ66" si="15">TRIM(PROPER(CLEAN(AP3)))</f>
        <v>Paid</v>
      </c>
      <c r="AR3" t="s">
        <v>35</v>
      </c>
      <c r="AS3" t="str">
        <f t="shared" ref="AS3:AS66" si="16">TRIM(PROPER(CLEAN(AR3)))</f>
        <v>Completed</v>
      </c>
      <c r="AT3" t="str">
        <f t="shared" ref="AT3:AT66" si="17">IF(OR(AH3="Unknown",AJ3="Unknown",AM3="Unknown",A3="Unknown"),"Needs Review","Clean")</f>
        <v>Clean</v>
      </c>
    </row>
    <row r="4" spans="1:46">
      <c r="A4" t="s">
        <v>49</v>
      </c>
      <c r="B4">
        <f>COUNTIF($D$2:D4,D4)</f>
        <v>1</v>
      </c>
      <c r="C4" t="str">
        <f>IF(COUNTIF($A:$A,A4)=1,
"Unique",
IF(COUNTIFS($A:$A,A4,$N:$N,N4,$AF:$AF,AF4,$AJ:$AJ,AJ4)&gt;1,
"Exact Duplicate",
"Conflicting Duplicate"))</f>
        <v>Unique</v>
      </c>
      <c r="D4" t="s">
        <v>50</v>
      </c>
      <c r="E4" t="s">
        <v>51</v>
      </c>
      <c r="F4" s="3">
        <v>45451</v>
      </c>
      <c r="G4" s="2">
        <v>45458</v>
      </c>
      <c r="H4" s="5" t="str">
        <f t="shared" si="0"/>
        <v>June</v>
      </c>
      <c r="I4" s="5">
        <f t="shared" si="1"/>
        <v>2024</v>
      </c>
      <c r="J4" t="str">
        <f>IF(F4="","Missing Date",
IF(ISNUMBER(F4),"Valid","Invalid Date"))</f>
        <v>Valid</v>
      </c>
      <c r="K4" t="str">
        <f t="shared" si="2"/>
        <v>Valid</v>
      </c>
      <c r="L4">
        <f>G4-F4</f>
        <v>7</v>
      </c>
      <c r="M4" t="s">
        <v>52</v>
      </c>
      <c r="N4" t="s">
        <v>53</v>
      </c>
      <c r="O4" t="str">
        <f t="shared" si="3"/>
        <v>Isha Nair</v>
      </c>
      <c r="P4" t="s">
        <v>26</v>
      </c>
      <c r="Q4" t="str">
        <f t="shared" si="4"/>
        <v>Consumer</v>
      </c>
      <c r="R4" t="s">
        <v>42</v>
      </c>
      <c r="S4" t="str">
        <f t="shared" si="5"/>
        <v>East</v>
      </c>
      <c r="T4" t="s">
        <v>43</v>
      </c>
      <c r="U4" t="str">
        <f t="shared" si="6"/>
        <v>Odisha</v>
      </c>
      <c r="V4" t="s">
        <v>44</v>
      </c>
      <c r="W4" t="str">
        <f t="shared" si="7"/>
        <v>Bhubaneswar</v>
      </c>
      <c r="X4" t="s">
        <v>30</v>
      </c>
      <c r="Y4" t="str">
        <f t="shared" si="8"/>
        <v>Office Supplies</v>
      </c>
      <c r="Z4" t="s">
        <v>54</v>
      </c>
      <c r="AA4" t="str">
        <f t="shared" si="9"/>
        <v>Art</v>
      </c>
      <c r="AB4" t="s">
        <v>55</v>
      </c>
      <c r="AC4" t="s">
        <v>56</v>
      </c>
      <c r="AD4" t="str">
        <f t="shared" si="10"/>
        <v>First Class</v>
      </c>
      <c r="AE4">
        <v>4</v>
      </c>
      <c r="AF4">
        <v>1065.43</v>
      </c>
      <c r="AG4">
        <v>0.55000000000000004</v>
      </c>
      <c r="AH4">
        <v>0.55000000000000004</v>
      </c>
      <c r="AI4" t="str">
        <f t="shared" si="11"/>
        <v>Valid</v>
      </c>
      <c r="AJ4">
        <v>4261.72</v>
      </c>
      <c r="AK4">
        <f t="shared" si="12"/>
        <v>1917.7739999999999</v>
      </c>
      <c r="AL4">
        <v>2465.69</v>
      </c>
      <c r="AM4">
        <v>1796.03</v>
      </c>
      <c r="AN4">
        <f t="shared" si="13"/>
        <v>-547.91600000000017</v>
      </c>
      <c r="AO4">
        <f t="shared" si="14"/>
        <v>-2465.69</v>
      </c>
      <c r="AP4" t="s">
        <v>34</v>
      </c>
      <c r="AQ4" t="str">
        <f t="shared" si="15"/>
        <v>Paid</v>
      </c>
      <c r="AR4" t="s">
        <v>35</v>
      </c>
      <c r="AS4" t="str">
        <f t="shared" si="16"/>
        <v>Completed</v>
      </c>
      <c r="AT4" t="str">
        <f t="shared" si="17"/>
        <v>Clean</v>
      </c>
    </row>
    <row r="5" spans="1:46">
      <c r="A5" t="s">
        <v>57</v>
      </c>
      <c r="B5">
        <f>COUNTIF($D$2:D5,D5)</f>
        <v>1</v>
      </c>
      <c r="C5" t="str">
        <f>IF(COUNTIF($A:$A,A5)=1,
"Unique",
IF(COUNTIFS($A:$A,A5,$N:$N,N5,$AF:$AF,AF5,$AJ:$AJ,AJ5)&gt;1,
"Exact Duplicate",
"Conflicting Duplicate"))</f>
        <v>Unique</v>
      </c>
      <c r="D5" t="s">
        <v>58</v>
      </c>
      <c r="E5" t="s">
        <v>59</v>
      </c>
      <c r="F5" s="3">
        <v>45624</v>
      </c>
      <c r="G5" s="3">
        <v>45625</v>
      </c>
      <c r="H5" s="5" t="str">
        <f t="shared" si="0"/>
        <v>November</v>
      </c>
      <c r="I5" s="5">
        <f t="shared" si="1"/>
        <v>2024</v>
      </c>
      <c r="J5" t="str">
        <f>IF(F5="","Missing Date",
IF(ISNUMBER(F5),"Valid","Invalid Date"))</f>
        <v>Valid</v>
      </c>
      <c r="K5" t="str">
        <f t="shared" si="2"/>
        <v>Valid</v>
      </c>
      <c r="L5">
        <f>G5-F5</f>
        <v>1</v>
      </c>
      <c r="M5" t="s">
        <v>60</v>
      </c>
      <c r="N5" t="s">
        <v>61</v>
      </c>
      <c r="O5" t="str">
        <f t="shared" si="3"/>
        <v>Arjun Bose</v>
      </c>
      <c r="P5" t="s">
        <v>41</v>
      </c>
      <c r="Q5" t="str">
        <f t="shared" si="4"/>
        <v>Small Business</v>
      </c>
      <c r="R5" t="s">
        <v>62</v>
      </c>
      <c r="S5" t="str">
        <f t="shared" si="5"/>
        <v>South</v>
      </c>
      <c r="T5" t="s">
        <v>63</v>
      </c>
      <c r="U5" t="str">
        <f t="shared" si="6"/>
        <v>Telangana</v>
      </c>
      <c r="V5" t="s">
        <v>64</v>
      </c>
      <c r="W5" t="str">
        <f t="shared" si="7"/>
        <v>Hyderabad</v>
      </c>
      <c r="X5" t="s">
        <v>45</v>
      </c>
      <c r="Y5" t="str">
        <f t="shared" si="8"/>
        <v>Furniture</v>
      </c>
      <c r="Z5" t="s">
        <v>65</v>
      </c>
      <c r="AA5" t="str">
        <f t="shared" si="9"/>
        <v>Furnishings</v>
      </c>
      <c r="AB5" t="s">
        <v>66</v>
      </c>
      <c r="AC5" t="s">
        <v>67</v>
      </c>
      <c r="AD5" t="str">
        <f t="shared" si="10"/>
        <v>Standard Class</v>
      </c>
      <c r="AE5">
        <v>6</v>
      </c>
      <c r="AF5">
        <v>1848.43</v>
      </c>
      <c r="AG5">
        <v>0.25</v>
      </c>
      <c r="AH5">
        <v>0.25</v>
      </c>
      <c r="AI5" t="str">
        <f t="shared" si="11"/>
        <v>Valid</v>
      </c>
      <c r="AJ5">
        <v>8317.93</v>
      </c>
      <c r="AK5">
        <f t="shared" si="12"/>
        <v>8317.9349999999995</v>
      </c>
      <c r="AL5">
        <v>6796.77</v>
      </c>
      <c r="AM5">
        <v>1521.16</v>
      </c>
      <c r="AN5">
        <f t="shared" si="13"/>
        <v>1521.1649999999991</v>
      </c>
      <c r="AO5">
        <f t="shared" si="14"/>
        <v>-6796.77</v>
      </c>
      <c r="AP5" t="s">
        <v>34</v>
      </c>
      <c r="AQ5" t="str">
        <f t="shared" si="15"/>
        <v>Paid</v>
      </c>
      <c r="AR5" t="s">
        <v>35</v>
      </c>
      <c r="AS5" t="str">
        <f t="shared" si="16"/>
        <v>Completed</v>
      </c>
      <c r="AT5" t="str">
        <f t="shared" si="17"/>
        <v>Clean</v>
      </c>
    </row>
    <row r="6" spans="1:46">
      <c r="A6" t="s">
        <v>68</v>
      </c>
      <c r="B6">
        <f>COUNTIF($D$2:D6,D6)</f>
        <v>1</v>
      </c>
      <c r="C6" t="str">
        <f>IF(COUNTIF($A:$A,A6)=1,
"Unique",
IF(COUNTIFS($A:$A,A6,$N:$N,N6,$AF:$AF,AF6,$AJ:$AJ,AJ6)&gt;1,
"Exact Duplicate",
"Conflicting Duplicate"))</f>
        <v>Unique</v>
      </c>
      <c r="D6" t="s">
        <v>69</v>
      </c>
      <c r="E6" t="s">
        <v>70</v>
      </c>
      <c r="F6" s="2">
        <v>45898</v>
      </c>
      <c r="G6" s="3">
        <v>45666</v>
      </c>
      <c r="H6" s="5" t="str">
        <f t="shared" si="0"/>
        <v>August</v>
      </c>
      <c r="I6" s="5">
        <f t="shared" si="1"/>
        <v>2025</v>
      </c>
      <c r="J6" t="str">
        <f>IF(F6="","Missing Date",
IF(ISNUMBER(F6),"Valid","Invalid Date"))</f>
        <v>Valid</v>
      </c>
      <c r="K6" t="str">
        <f t="shared" si="2"/>
        <v>Valid</v>
      </c>
      <c r="L6">
        <f>G6-F6</f>
        <v>-232</v>
      </c>
      <c r="M6" t="s">
        <v>71</v>
      </c>
      <c r="N6" t="s">
        <v>72</v>
      </c>
      <c r="O6" t="str">
        <f t="shared" si="3"/>
        <v>Ananya Rao</v>
      </c>
      <c r="P6" t="s">
        <v>41</v>
      </c>
      <c r="Q6" t="str">
        <f t="shared" si="4"/>
        <v>Small Business</v>
      </c>
      <c r="R6" t="s">
        <v>73</v>
      </c>
      <c r="S6" t="str">
        <f t="shared" si="5"/>
        <v>West</v>
      </c>
      <c r="T6" t="s">
        <v>74</v>
      </c>
      <c r="U6" t="str">
        <f t="shared" si="6"/>
        <v>Maharashtra</v>
      </c>
      <c r="V6" t="s">
        <v>75</v>
      </c>
      <c r="W6" t="str">
        <f t="shared" si="7"/>
        <v>Mumbai</v>
      </c>
      <c r="X6" t="s">
        <v>45</v>
      </c>
      <c r="Y6" t="str">
        <f t="shared" si="8"/>
        <v>Furniture</v>
      </c>
      <c r="Z6" t="s">
        <v>76</v>
      </c>
      <c r="AA6" t="str">
        <f t="shared" si="9"/>
        <v>Chairs</v>
      </c>
      <c r="AB6" t="s">
        <v>77</v>
      </c>
      <c r="AC6" t="s">
        <v>56</v>
      </c>
      <c r="AD6" t="str">
        <f t="shared" si="10"/>
        <v>First Class</v>
      </c>
      <c r="AE6">
        <v>7</v>
      </c>
      <c r="AF6">
        <v>2973.76</v>
      </c>
      <c r="AG6">
        <v>0</v>
      </c>
      <c r="AH6">
        <v>0</v>
      </c>
      <c r="AI6" t="str">
        <f t="shared" si="11"/>
        <v>Valid</v>
      </c>
      <c r="AJ6">
        <v>20816.32</v>
      </c>
      <c r="AK6">
        <f t="shared" si="12"/>
        <v>20816.32</v>
      </c>
      <c r="AL6">
        <v>17705.37</v>
      </c>
      <c r="AM6">
        <v>3110.95</v>
      </c>
      <c r="AN6">
        <f t="shared" si="13"/>
        <v>3110.9500000000007</v>
      </c>
      <c r="AO6">
        <f t="shared" si="14"/>
        <v>-17705.37</v>
      </c>
      <c r="AP6" t="s">
        <v>34</v>
      </c>
      <c r="AQ6" t="str">
        <f t="shared" si="15"/>
        <v>Paid</v>
      </c>
      <c r="AR6" t="s">
        <v>78</v>
      </c>
      <c r="AS6" t="str">
        <f t="shared" si="16"/>
        <v>Cancelled</v>
      </c>
      <c r="AT6" t="str">
        <f t="shared" si="17"/>
        <v>Clean</v>
      </c>
    </row>
    <row r="7" spans="1:46">
      <c r="A7" t="s">
        <v>79</v>
      </c>
      <c r="B7">
        <f>COUNTIF($D$2:D7,D7)</f>
        <v>1</v>
      </c>
      <c r="C7" t="str">
        <f>IF(COUNTIF($A:$A,A7)=1,
"Unique",
IF(COUNTIFS($A:$A,A7,$N:$N,N7,$AF:$AF,AF7,$AJ:$AJ,AJ7)&gt;1,
"Exact Duplicate",
"Conflicting Duplicate"))</f>
        <v>Unique</v>
      </c>
      <c r="D7" t="s">
        <v>80</v>
      </c>
      <c r="E7" t="s">
        <v>81</v>
      </c>
      <c r="F7" s="3">
        <v>45436</v>
      </c>
      <c r="G7" s="3">
        <v>45440</v>
      </c>
      <c r="H7" s="5" t="str">
        <f t="shared" si="0"/>
        <v>May</v>
      </c>
      <c r="I7" s="5">
        <f t="shared" si="1"/>
        <v>2024</v>
      </c>
      <c r="J7" t="str">
        <f>IF(F7="","Missing Date",
IF(ISNUMBER(F7),"Valid","Invalid Date"))</f>
        <v>Valid</v>
      </c>
      <c r="K7" t="str">
        <f t="shared" si="2"/>
        <v>Valid</v>
      </c>
      <c r="L7">
        <f>G7-F7</f>
        <v>4</v>
      </c>
      <c r="M7" t="s">
        <v>82</v>
      </c>
      <c r="N7" t="s">
        <v>83</v>
      </c>
      <c r="O7" t="str">
        <f t="shared" si="3"/>
        <v>Vikram Iyer</v>
      </c>
      <c r="P7" t="s">
        <v>41</v>
      </c>
      <c r="Q7" t="str">
        <f t="shared" si="4"/>
        <v>Small Business</v>
      </c>
      <c r="R7" t="s">
        <v>73</v>
      </c>
      <c r="S7" t="str">
        <f t="shared" si="5"/>
        <v>West</v>
      </c>
      <c r="T7" t="s">
        <v>84</v>
      </c>
      <c r="U7" t="str">
        <f t="shared" si="6"/>
        <v>Madhya Pradesh</v>
      </c>
      <c r="V7" t="s">
        <v>85</v>
      </c>
      <c r="W7" t="str">
        <f t="shared" si="7"/>
        <v>Indore</v>
      </c>
      <c r="X7" t="s">
        <v>86</v>
      </c>
      <c r="Y7" t="str">
        <f t="shared" si="8"/>
        <v>Technology</v>
      </c>
      <c r="Z7" t="s">
        <v>87</v>
      </c>
      <c r="AA7" t="str">
        <f t="shared" si="9"/>
        <v>Accessories</v>
      </c>
      <c r="AB7" t="s">
        <v>88</v>
      </c>
      <c r="AC7" t="s">
        <v>48</v>
      </c>
      <c r="AD7" t="str">
        <f t="shared" si="10"/>
        <v>Same Day</v>
      </c>
      <c r="AE7">
        <v>3</v>
      </c>
      <c r="AF7">
        <v>1053.1099999999999</v>
      </c>
      <c r="AG7">
        <v>0.2</v>
      </c>
      <c r="AH7">
        <v>0.2</v>
      </c>
      <c r="AI7" t="str">
        <f t="shared" si="11"/>
        <v>Valid</v>
      </c>
      <c r="AJ7">
        <v>2527.46</v>
      </c>
      <c r="AK7">
        <f t="shared" si="12"/>
        <v>2527.4639999999999</v>
      </c>
      <c r="AL7">
        <v>1533.58</v>
      </c>
      <c r="AM7">
        <v>993.88</v>
      </c>
      <c r="AN7">
        <f t="shared" si="13"/>
        <v>993.88400000000001</v>
      </c>
      <c r="AO7">
        <f t="shared" si="14"/>
        <v>-1533.58</v>
      </c>
      <c r="AP7" t="s">
        <v>34</v>
      </c>
      <c r="AQ7" t="str">
        <f t="shared" si="15"/>
        <v>Paid</v>
      </c>
      <c r="AR7" t="s">
        <v>35</v>
      </c>
      <c r="AS7" t="str">
        <f t="shared" si="16"/>
        <v>Completed</v>
      </c>
      <c r="AT7" t="str">
        <f t="shared" si="17"/>
        <v>Clean</v>
      </c>
    </row>
    <row r="8" spans="1:46">
      <c r="A8" t="s">
        <v>89</v>
      </c>
      <c r="B8">
        <f>COUNTIF($D$2:D8,D8)</f>
        <v>1</v>
      </c>
      <c r="C8" t="str">
        <f>IF(COUNTIF($A:$A,A8)=1,
"Unique",
IF(COUNTIFS($A:$A,A8,$N:$N,N8,$AF:$AF,AF8,$AJ:$AJ,AJ8)&gt;1,
"Exact Duplicate",
"Conflicting Duplicate"))</f>
        <v>Exact Duplicate</v>
      </c>
      <c r="D8" t="s">
        <v>90</v>
      </c>
      <c r="E8" t="s">
        <v>91</v>
      </c>
      <c r="F8" s="3">
        <v>45757</v>
      </c>
      <c r="G8" s="3">
        <v>45763</v>
      </c>
      <c r="H8" s="5" t="str">
        <f t="shared" si="0"/>
        <v>April</v>
      </c>
      <c r="I8" s="5">
        <f t="shared" si="1"/>
        <v>2025</v>
      </c>
      <c r="J8" t="str">
        <f>IF(F8="","Missing Date",
IF(ISNUMBER(F8),"Valid","Invalid Date"))</f>
        <v>Valid</v>
      </c>
      <c r="K8" t="str">
        <f t="shared" si="2"/>
        <v>Valid</v>
      </c>
      <c r="L8">
        <f>G8-F8</f>
        <v>6</v>
      </c>
      <c r="M8" t="s">
        <v>92</v>
      </c>
      <c r="N8" t="s">
        <v>93</v>
      </c>
      <c r="O8" t="str">
        <f t="shared" si="3"/>
        <v>Neha Gupta</v>
      </c>
      <c r="P8" t="s">
        <v>26</v>
      </c>
      <c r="Q8" t="str">
        <f t="shared" si="4"/>
        <v>Consumer</v>
      </c>
      <c r="R8" t="s">
        <v>42</v>
      </c>
      <c r="S8" t="str">
        <f t="shared" si="5"/>
        <v>East</v>
      </c>
      <c r="T8" t="s">
        <v>43</v>
      </c>
      <c r="U8" t="str">
        <f t="shared" si="6"/>
        <v>Odisha</v>
      </c>
      <c r="V8" t="s">
        <v>44</v>
      </c>
      <c r="W8" t="str">
        <f t="shared" si="7"/>
        <v>Bhubaneswar</v>
      </c>
      <c r="X8" t="s">
        <v>86</v>
      </c>
      <c r="Y8" t="str">
        <f t="shared" si="8"/>
        <v>Technology</v>
      </c>
      <c r="Z8" t="s">
        <v>94</v>
      </c>
      <c r="AA8" t="str">
        <f t="shared" si="9"/>
        <v>Copiers</v>
      </c>
      <c r="AB8" t="s">
        <v>95</v>
      </c>
      <c r="AC8" t="s">
        <v>67</v>
      </c>
      <c r="AD8" t="str">
        <f t="shared" si="10"/>
        <v>Standard Class</v>
      </c>
      <c r="AE8">
        <v>4</v>
      </c>
      <c r="AF8">
        <v>1719.87</v>
      </c>
      <c r="AG8">
        <v>0.15</v>
      </c>
      <c r="AH8">
        <v>0.15</v>
      </c>
      <c r="AI8" t="str">
        <f t="shared" si="11"/>
        <v>Valid</v>
      </c>
      <c r="AJ8">
        <v>5847.56</v>
      </c>
      <c r="AK8">
        <f t="shared" si="12"/>
        <v>5847.5579999999991</v>
      </c>
      <c r="AL8">
        <v>4727.25</v>
      </c>
      <c r="AM8">
        <v>1120.31</v>
      </c>
      <c r="AN8">
        <f t="shared" si="13"/>
        <v>1120.3079999999991</v>
      </c>
      <c r="AO8">
        <f t="shared" si="14"/>
        <v>-4727.25</v>
      </c>
      <c r="AP8" t="s">
        <v>34</v>
      </c>
      <c r="AQ8" t="str">
        <f t="shared" si="15"/>
        <v>Paid</v>
      </c>
      <c r="AR8" t="s">
        <v>35</v>
      </c>
      <c r="AS8" t="str">
        <f t="shared" si="16"/>
        <v>Completed</v>
      </c>
      <c r="AT8" t="str">
        <f t="shared" si="17"/>
        <v>Clean</v>
      </c>
    </row>
    <row r="9" spans="1:46">
      <c r="A9" t="s">
        <v>96</v>
      </c>
      <c r="B9">
        <f>COUNTIF($D$2:D9,D9)</f>
        <v>1</v>
      </c>
      <c r="C9" t="str">
        <f>IF(COUNTIF($A:$A,A9)=1,
"Unique",
IF(COUNTIFS($A:$A,A9,$N:$N,N9,$AF:$AF,AF9,$AJ:$AJ,AJ9)&gt;1,
"Exact Duplicate",
"Conflicting Duplicate"))</f>
        <v>Unique</v>
      </c>
      <c r="D9" t="s">
        <v>97</v>
      </c>
      <c r="E9" t="s">
        <v>98</v>
      </c>
      <c r="F9" s="3">
        <v>45711</v>
      </c>
      <c r="G9" s="3">
        <v>45714</v>
      </c>
      <c r="H9" s="5" t="str">
        <f t="shared" si="0"/>
        <v>February</v>
      </c>
      <c r="I9" s="5">
        <f t="shared" si="1"/>
        <v>2025</v>
      </c>
      <c r="J9" t="str">
        <f>IF(F9="","Missing Date",
IF(ISNUMBER(F9),"Valid","Invalid Date"))</f>
        <v>Valid</v>
      </c>
      <c r="K9" t="str">
        <f t="shared" si="2"/>
        <v>Valid</v>
      </c>
      <c r="L9">
        <f>G9-F9</f>
        <v>3</v>
      </c>
      <c r="M9" t="s">
        <v>99</v>
      </c>
      <c r="N9" t="s">
        <v>53</v>
      </c>
      <c r="O9" t="str">
        <f t="shared" si="3"/>
        <v>Isha Nair</v>
      </c>
      <c r="P9" t="s">
        <v>41</v>
      </c>
      <c r="Q9" t="str">
        <f t="shared" si="4"/>
        <v>Small Business</v>
      </c>
      <c r="R9" t="s">
        <v>62</v>
      </c>
      <c r="S9" t="str">
        <f t="shared" si="5"/>
        <v>South</v>
      </c>
      <c r="T9" t="s">
        <v>100</v>
      </c>
      <c r="U9" t="str">
        <f t="shared" si="6"/>
        <v>Andhra Pradesh</v>
      </c>
      <c r="V9" t="s">
        <v>101</v>
      </c>
      <c r="W9" t="str">
        <f t="shared" si="7"/>
        <v>Vijayawada</v>
      </c>
      <c r="X9" t="s">
        <v>30</v>
      </c>
      <c r="Y9" t="str">
        <f t="shared" si="8"/>
        <v>Office Supplies</v>
      </c>
      <c r="Z9" t="s">
        <v>54</v>
      </c>
      <c r="AA9" t="str">
        <f t="shared" si="9"/>
        <v>Art</v>
      </c>
      <c r="AB9" t="s">
        <v>102</v>
      </c>
      <c r="AC9" t="s">
        <v>56</v>
      </c>
      <c r="AD9" t="str">
        <f t="shared" si="10"/>
        <v>First Class</v>
      </c>
      <c r="AE9">
        <v>1</v>
      </c>
      <c r="AF9">
        <v>2980.71</v>
      </c>
      <c r="AG9">
        <v>0</v>
      </c>
      <c r="AH9">
        <v>0</v>
      </c>
      <c r="AI9" t="str">
        <f t="shared" si="11"/>
        <v>Valid</v>
      </c>
      <c r="AJ9">
        <v>2980.71</v>
      </c>
      <c r="AK9">
        <f t="shared" si="12"/>
        <v>2980.71</v>
      </c>
      <c r="AL9">
        <v>2357.2199999999998</v>
      </c>
      <c r="AM9">
        <v>623.49</v>
      </c>
      <c r="AN9">
        <f t="shared" si="13"/>
        <v>623.49000000000024</v>
      </c>
      <c r="AO9">
        <f t="shared" si="14"/>
        <v>-2357.2199999999998</v>
      </c>
      <c r="AP9" t="s">
        <v>34</v>
      </c>
      <c r="AQ9" t="str">
        <f t="shared" si="15"/>
        <v>Paid</v>
      </c>
      <c r="AR9" t="s">
        <v>35</v>
      </c>
      <c r="AS9" t="str">
        <f t="shared" si="16"/>
        <v>Completed</v>
      </c>
      <c r="AT9" t="str">
        <f t="shared" si="17"/>
        <v>Clean</v>
      </c>
    </row>
    <row r="10" spans="1:46">
      <c r="A10" t="s">
        <v>103</v>
      </c>
      <c r="B10">
        <f>COUNTIF($D$2:D10,D10)</f>
        <v>1</v>
      </c>
      <c r="C10" t="str">
        <f>IF(COUNTIF($A:$A,A10)=1,
"Unique",
IF(COUNTIFS($A:$A,A10,$N:$N,N10,$AF:$AF,AF10,$AJ:$AJ,AJ10)&gt;1,
"Exact Duplicate",
"Conflicting Duplicate"))</f>
        <v>Unique</v>
      </c>
      <c r="D10" t="s">
        <v>104</v>
      </c>
      <c r="E10" t="s">
        <v>105</v>
      </c>
      <c r="F10" s="3">
        <v>45601</v>
      </c>
      <c r="G10" s="3">
        <v>45606</v>
      </c>
      <c r="H10" s="5" t="str">
        <f t="shared" si="0"/>
        <v>November</v>
      </c>
      <c r="I10" s="5">
        <f t="shared" si="1"/>
        <v>2024</v>
      </c>
      <c r="J10" t="str">
        <f>IF(F10="","Missing Date",
IF(ISNUMBER(F10),"Valid","Invalid Date"))</f>
        <v>Valid</v>
      </c>
      <c r="K10" t="str">
        <f t="shared" si="2"/>
        <v>Valid</v>
      </c>
      <c r="L10">
        <f>G10-F10</f>
        <v>5</v>
      </c>
      <c r="M10" t="s">
        <v>106</v>
      </c>
      <c r="N10" t="s">
        <v>107</v>
      </c>
      <c r="O10" t="str">
        <f t="shared" si="3"/>
        <v>Aditi Sen</v>
      </c>
      <c r="P10" t="s">
        <v>108</v>
      </c>
      <c r="Q10" t="str">
        <f t="shared" si="4"/>
        <v>Corporate</v>
      </c>
      <c r="R10" t="s">
        <v>62</v>
      </c>
      <c r="S10" t="str">
        <f t="shared" si="5"/>
        <v>South</v>
      </c>
      <c r="T10" t="s">
        <v>63</v>
      </c>
      <c r="U10" t="str">
        <f t="shared" si="6"/>
        <v>Telangana</v>
      </c>
      <c r="V10" t="s">
        <v>64</v>
      </c>
      <c r="W10" t="str">
        <f t="shared" si="7"/>
        <v>Hyderabad</v>
      </c>
      <c r="X10" t="s">
        <v>30</v>
      </c>
      <c r="Y10" t="str">
        <f t="shared" si="8"/>
        <v>Office Supplies</v>
      </c>
      <c r="Z10" t="s">
        <v>109</v>
      </c>
      <c r="AA10" t="str">
        <f t="shared" si="9"/>
        <v>Labels</v>
      </c>
      <c r="AB10" t="s">
        <v>110</v>
      </c>
      <c r="AC10" t="s">
        <v>56</v>
      </c>
      <c r="AD10" t="str">
        <f t="shared" si="10"/>
        <v>First Class</v>
      </c>
      <c r="AE10">
        <v>8</v>
      </c>
      <c r="AF10">
        <v>3134.2</v>
      </c>
      <c r="AG10">
        <v>0</v>
      </c>
      <c r="AH10">
        <v>0</v>
      </c>
      <c r="AI10" t="str">
        <f t="shared" si="11"/>
        <v>Valid</v>
      </c>
      <c r="AJ10">
        <v>25073.599999999999</v>
      </c>
      <c r="AK10">
        <f t="shared" si="12"/>
        <v>25073.599999999999</v>
      </c>
      <c r="AL10">
        <v>17347.23</v>
      </c>
      <c r="AM10">
        <v>7726.37</v>
      </c>
      <c r="AN10">
        <f t="shared" si="13"/>
        <v>7726.369999999999</v>
      </c>
      <c r="AO10">
        <f t="shared" si="14"/>
        <v>-17347.23</v>
      </c>
      <c r="AP10" t="s">
        <v>34</v>
      </c>
      <c r="AQ10" t="str">
        <f t="shared" si="15"/>
        <v>Paid</v>
      </c>
      <c r="AR10" t="s">
        <v>35</v>
      </c>
      <c r="AS10" t="str">
        <f t="shared" si="16"/>
        <v>Completed</v>
      </c>
      <c r="AT10" t="str">
        <f t="shared" si="17"/>
        <v>Clean</v>
      </c>
    </row>
    <row r="11" spans="1:46">
      <c r="A11" t="s">
        <v>111</v>
      </c>
      <c r="B11">
        <f>COUNTIF($D$2:D11,D11)</f>
        <v>1</v>
      </c>
      <c r="C11" t="str">
        <f>IF(COUNTIF($A:$A,A11)=1,
"Unique",
IF(COUNTIFS($A:$A,A11,$N:$N,N11,$AF:$AF,AF11,$AJ:$AJ,AJ11)&gt;1,
"Exact Duplicate",
"Conflicting Duplicate"))</f>
        <v>Unique</v>
      </c>
      <c r="D11" t="s">
        <v>112</v>
      </c>
      <c r="E11" t="s">
        <v>113</v>
      </c>
      <c r="F11" s="3">
        <v>45847</v>
      </c>
      <c r="G11" s="3">
        <v>45912</v>
      </c>
      <c r="H11" s="5" t="str">
        <f t="shared" si="0"/>
        <v>July</v>
      </c>
      <c r="I11" s="5">
        <f t="shared" si="1"/>
        <v>2025</v>
      </c>
      <c r="J11" t="str">
        <f>IF(F11="","Missing Date",
IF(ISNUMBER(F11),"Valid","Invalid Date"))</f>
        <v>Valid</v>
      </c>
      <c r="K11" t="str">
        <f t="shared" si="2"/>
        <v>Valid</v>
      </c>
      <c r="L11">
        <f>G11-F11</f>
        <v>65</v>
      </c>
      <c r="M11" t="s">
        <v>114</v>
      </c>
      <c r="N11" t="s">
        <v>40</v>
      </c>
      <c r="O11" t="str">
        <f t="shared" si="3"/>
        <v>Mira Das</v>
      </c>
      <c r="P11" t="s">
        <v>115</v>
      </c>
      <c r="Q11" t="str">
        <f t="shared" si="4"/>
        <v>Home Office</v>
      </c>
      <c r="R11" t="s">
        <v>62</v>
      </c>
      <c r="S11" t="str">
        <f t="shared" si="5"/>
        <v>South</v>
      </c>
      <c r="T11" t="s">
        <v>63</v>
      </c>
      <c r="U11" t="str">
        <f t="shared" si="6"/>
        <v>Telangana</v>
      </c>
      <c r="V11" t="s">
        <v>64</v>
      </c>
      <c r="W11" t="str">
        <f t="shared" si="7"/>
        <v>Hyderabad</v>
      </c>
      <c r="X11" t="s">
        <v>30</v>
      </c>
      <c r="Y11" t="str">
        <f t="shared" si="8"/>
        <v>Office Supplies</v>
      </c>
      <c r="Z11" t="s">
        <v>31</v>
      </c>
      <c r="AA11" t="str">
        <f t="shared" si="9"/>
        <v>Paper</v>
      </c>
      <c r="AB11" t="s">
        <v>116</v>
      </c>
      <c r="AC11" t="s">
        <v>33</v>
      </c>
      <c r="AD11" t="str">
        <f t="shared" si="10"/>
        <v>Second Class</v>
      </c>
      <c r="AE11">
        <v>9</v>
      </c>
      <c r="AF11">
        <v>852.04</v>
      </c>
      <c r="AG11">
        <v>0.2</v>
      </c>
      <c r="AH11">
        <v>0.2</v>
      </c>
      <c r="AI11" t="str">
        <f t="shared" si="11"/>
        <v>Valid</v>
      </c>
      <c r="AJ11">
        <v>6134.69</v>
      </c>
      <c r="AK11">
        <f t="shared" si="12"/>
        <v>6134.6880000000001</v>
      </c>
      <c r="AL11">
        <v>3800.19</v>
      </c>
      <c r="AM11">
        <v>2334.5</v>
      </c>
      <c r="AN11">
        <f t="shared" si="13"/>
        <v>2334.498</v>
      </c>
      <c r="AO11">
        <f t="shared" si="14"/>
        <v>-3800.19</v>
      </c>
      <c r="AP11" t="s">
        <v>34</v>
      </c>
      <c r="AQ11" t="str">
        <f t="shared" si="15"/>
        <v>Paid</v>
      </c>
      <c r="AR11" t="s">
        <v>35</v>
      </c>
      <c r="AS11" t="str">
        <f t="shared" si="16"/>
        <v>Completed</v>
      </c>
      <c r="AT11" t="str">
        <f t="shared" si="17"/>
        <v>Clean</v>
      </c>
    </row>
    <row r="12" spans="1:46">
      <c r="A12" t="s">
        <v>117</v>
      </c>
      <c r="B12">
        <f>COUNTIF($D$2:D12,D12)</f>
        <v>1</v>
      </c>
      <c r="C12" t="str">
        <f>IF(COUNTIF($A:$A,A12)=1,
"Unique",
IF(COUNTIFS($A:$A,A12,$N:$N,N12,$AF:$AF,AF12,$AJ:$AJ,AJ12)&gt;1,
"Exact Duplicate",
"Conflicting Duplicate"))</f>
        <v>Unique</v>
      </c>
      <c r="D12" t="s">
        <v>118</v>
      </c>
      <c r="E12" t="s">
        <v>119</v>
      </c>
      <c r="F12" s="2">
        <v>45797</v>
      </c>
      <c r="G12" s="3">
        <v>45797</v>
      </c>
      <c r="H12" s="5" t="str">
        <f t="shared" si="0"/>
        <v>May</v>
      </c>
      <c r="I12" s="5">
        <f t="shared" si="1"/>
        <v>2025</v>
      </c>
      <c r="J12" t="str">
        <f>IF(F12="","Missing Date",
IF(ISNUMBER(F12),"Valid","Invalid Date"))</f>
        <v>Valid</v>
      </c>
      <c r="K12" t="str">
        <f t="shared" si="2"/>
        <v>Valid</v>
      </c>
      <c r="L12">
        <f>G12-F12</f>
        <v>0</v>
      </c>
      <c r="M12" t="s">
        <v>120</v>
      </c>
      <c r="N12" t="s">
        <v>72</v>
      </c>
      <c r="O12" t="str">
        <f t="shared" si="3"/>
        <v>Ananya Rao</v>
      </c>
      <c r="P12" t="s">
        <v>108</v>
      </c>
      <c r="Q12" t="str">
        <f t="shared" si="4"/>
        <v>Corporate</v>
      </c>
      <c r="R12" t="s">
        <v>42</v>
      </c>
      <c r="S12" t="str">
        <f t="shared" si="5"/>
        <v>East</v>
      </c>
      <c r="T12" t="s">
        <v>121</v>
      </c>
      <c r="U12" t="str">
        <f t="shared" si="6"/>
        <v>West Bengal</v>
      </c>
      <c r="V12" t="s">
        <v>122</v>
      </c>
      <c r="W12" t="str">
        <f t="shared" si="7"/>
        <v>Kolkata</v>
      </c>
      <c r="X12" t="s">
        <v>30</v>
      </c>
      <c r="Y12" t="str">
        <f t="shared" si="8"/>
        <v>Office Supplies</v>
      </c>
      <c r="Z12" t="s">
        <v>109</v>
      </c>
      <c r="AA12" t="str">
        <f t="shared" si="9"/>
        <v>Labels</v>
      </c>
      <c r="AB12" t="s">
        <v>123</v>
      </c>
      <c r="AC12" t="s">
        <v>33</v>
      </c>
      <c r="AD12" t="str">
        <f t="shared" si="10"/>
        <v>Second Class</v>
      </c>
      <c r="AE12">
        <v>3</v>
      </c>
      <c r="AF12">
        <v>3534.83</v>
      </c>
      <c r="AG12">
        <v>0.05</v>
      </c>
      <c r="AH12">
        <v>0.05</v>
      </c>
      <c r="AI12" t="str">
        <f t="shared" si="11"/>
        <v>Valid</v>
      </c>
      <c r="AJ12">
        <v>10074.27</v>
      </c>
      <c r="AK12">
        <f t="shared" si="12"/>
        <v>10074.2655</v>
      </c>
      <c r="AL12">
        <v>6048.27</v>
      </c>
      <c r="AM12">
        <v>4026</v>
      </c>
      <c r="AN12">
        <f t="shared" si="13"/>
        <v>4025.9954999999991</v>
      </c>
      <c r="AO12">
        <f t="shared" si="14"/>
        <v>-6048.27</v>
      </c>
      <c r="AP12" t="s">
        <v>124</v>
      </c>
      <c r="AQ12" t="str">
        <f t="shared" si="15"/>
        <v>Refunded</v>
      </c>
      <c r="AR12" t="s">
        <v>125</v>
      </c>
      <c r="AS12" t="str">
        <f t="shared" si="16"/>
        <v>Returned</v>
      </c>
      <c r="AT12" t="str">
        <f t="shared" si="17"/>
        <v>Clean</v>
      </c>
    </row>
    <row r="13" spans="1:46">
      <c r="A13" t="s">
        <v>126</v>
      </c>
      <c r="B13">
        <f>COUNTIF($D$2:D13,D13)</f>
        <v>1</v>
      </c>
      <c r="C13" t="str">
        <f>IF(COUNTIF($A:$A,A13)=1,
"Unique",
IF(COUNTIFS($A:$A,A13,$N:$N,N13,$AF:$AF,AF13,$AJ:$AJ,AJ13)&gt;1,
"Exact Duplicate",
"Conflicting Duplicate"))</f>
        <v>Unique</v>
      </c>
      <c r="D13" t="s">
        <v>127</v>
      </c>
      <c r="E13" t="s">
        <v>128</v>
      </c>
      <c r="F13" s="3">
        <v>45495</v>
      </c>
      <c r="G13" s="3">
        <v>45496</v>
      </c>
      <c r="H13" s="5" t="str">
        <f t="shared" si="0"/>
        <v>July</v>
      </c>
      <c r="I13" s="5">
        <f t="shared" si="1"/>
        <v>2024</v>
      </c>
      <c r="J13" t="str">
        <f>IF(F13="","Missing Date",
IF(ISNUMBER(F13),"Valid","Invalid Date"))</f>
        <v>Valid</v>
      </c>
      <c r="K13" t="str">
        <f t="shared" si="2"/>
        <v>Valid</v>
      </c>
      <c r="L13">
        <f>G13-F13</f>
        <v>1</v>
      </c>
      <c r="M13" t="s">
        <v>129</v>
      </c>
      <c r="N13" t="s">
        <v>83</v>
      </c>
      <c r="O13" t="str">
        <f t="shared" si="3"/>
        <v>Vikram Iyer</v>
      </c>
      <c r="P13" t="s">
        <v>41</v>
      </c>
      <c r="Q13" t="str">
        <f t="shared" si="4"/>
        <v>Small Business</v>
      </c>
      <c r="R13" t="s">
        <v>42</v>
      </c>
      <c r="S13" t="str">
        <f t="shared" si="5"/>
        <v>East</v>
      </c>
      <c r="T13" t="s">
        <v>43</v>
      </c>
      <c r="U13" t="str">
        <f t="shared" si="6"/>
        <v>Odisha</v>
      </c>
      <c r="V13" t="s">
        <v>44</v>
      </c>
      <c r="W13" t="str">
        <f t="shared" si="7"/>
        <v>Bhubaneswar</v>
      </c>
      <c r="X13" t="s">
        <v>86</v>
      </c>
      <c r="Y13" t="str">
        <f t="shared" si="8"/>
        <v>Technology</v>
      </c>
      <c r="Z13" t="s">
        <v>87</v>
      </c>
      <c r="AA13" t="str">
        <f t="shared" si="9"/>
        <v>Accessories</v>
      </c>
      <c r="AB13" t="s">
        <v>130</v>
      </c>
      <c r="AC13" t="s">
        <v>48</v>
      </c>
      <c r="AD13" t="str">
        <f t="shared" si="10"/>
        <v>Same Day</v>
      </c>
      <c r="AE13">
        <v>6</v>
      </c>
      <c r="AF13">
        <v>2005.95</v>
      </c>
      <c r="AG13">
        <v>0.2</v>
      </c>
      <c r="AH13">
        <v>0.2</v>
      </c>
      <c r="AI13" t="str">
        <f t="shared" si="11"/>
        <v>Valid</v>
      </c>
      <c r="AJ13">
        <v>9628.56</v>
      </c>
      <c r="AK13">
        <f t="shared" si="12"/>
        <v>9628.5600000000013</v>
      </c>
      <c r="AL13">
        <v>8038.59</v>
      </c>
      <c r="AM13">
        <v>1589.97</v>
      </c>
      <c r="AN13">
        <f t="shared" si="13"/>
        <v>1589.9700000000012</v>
      </c>
      <c r="AO13">
        <f t="shared" si="14"/>
        <v>-8038.59</v>
      </c>
      <c r="AP13" t="s">
        <v>34</v>
      </c>
      <c r="AQ13" t="str">
        <f t="shared" si="15"/>
        <v>Paid</v>
      </c>
      <c r="AR13" t="s">
        <v>35</v>
      </c>
      <c r="AS13" t="str">
        <f t="shared" si="16"/>
        <v>Completed</v>
      </c>
      <c r="AT13" t="str">
        <f t="shared" si="17"/>
        <v>Clean</v>
      </c>
    </row>
    <row r="14" spans="1:46">
      <c r="A14" t="s">
        <v>131</v>
      </c>
      <c r="B14">
        <f>COUNTIF($D$2:D14,D14)</f>
        <v>1</v>
      </c>
      <c r="C14" t="str">
        <f>IF(COUNTIF($A:$A,A14)=1,
"Unique",
IF(COUNTIFS($A:$A,A14,$N:$N,N14,$AF:$AF,AF14,$AJ:$AJ,AJ14)&gt;1,
"Exact Duplicate",
"Conflicting Duplicate"))</f>
        <v>Unique</v>
      </c>
      <c r="D14" t="s">
        <v>132</v>
      </c>
      <c r="E14" t="s">
        <v>133</v>
      </c>
      <c r="F14" s="2">
        <v>45646</v>
      </c>
      <c r="G14" s="3">
        <v>45647</v>
      </c>
      <c r="H14" s="5" t="str">
        <f t="shared" si="0"/>
        <v>December</v>
      </c>
      <c r="I14" s="5">
        <f t="shared" si="1"/>
        <v>2024</v>
      </c>
      <c r="J14" t="str">
        <f>IF(F14="","Missing Date",
IF(ISNUMBER(F14),"Valid","Invalid Date"))</f>
        <v>Valid</v>
      </c>
      <c r="K14" t="str">
        <f t="shared" si="2"/>
        <v>Valid</v>
      </c>
      <c r="L14">
        <f>G14-F14</f>
        <v>1</v>
      </c>
      <c r="M14" t="s">
        <v>134</v>
      </c>
      <c r="N14" t="s">
        <v>72</v>
      </c>
      <c r="O14" t="str">
        <f t="shared" si="3"/>
        <v>Ananya Rao</v>
      </c>
      <c r="P14" t="s">
        <v>108</v>
      </c>
      <c r="Q14" t="str">
        <f t="shared" si="4"/>
        <v>Corporate</v>
      </c>
      <c r="R14" t="s">
        <v>73</v>
      </c>
      <c r="S14" t="str">
        <f t="shared" si="5"/>
        <v>West</v>
      </c>
      <c r="T14" t="s">
        <v>28</v>
      </c>
      <c r="U14" t="str">
        <f t="shared" si="6"/>
        <v>Rajasthan</v>
      </c>
      <c r="V14" t="s">
        <v>135</v>
      </c>
      <c r="W14" t="str">
        <f t="shared" si="7"/>
        <v>Udaipur</v>
      </c>
      <c r="X14" t="s">
        <v>30</v>
      </c>
      <c r="Y14" t="str">
        <f t="shared" si="8"/>
        <v>Office Supplies</v>
      </c>
      <c r="Z14" t="s">
        <v>31</v>
      </c>
      <c r="AA14" t="str">
        <f t="shared" si="9"/>
        <v>Paper</v>
      </c>
      <c r="AB14" t="s">
        <v>136</v>
      </c>
      <c r="AC14" t="s">
        <v>56</v>
      </c>
      <c r="AD14" t="str">
        <f t="shared" si="10"/>
        <v>First Class</v>
      </c>
      <c r="AE14">
        <v>1</v>
      </c>
      <c r="AF14">
        <v>702.14</v>
      </c>
      <c r="AG14">
        <v>0.15</v>
      </c>
      <c r="AH14">
        <v>0.15</v>
      </c>
      <c r="AI14" t="str">
        <f t="shared" si="11"/>
        <v>Valid</v>
      </c>
      <c r="AJ14">
        <v>596.82000000000005</v>
      </c>
      <c r="AK14">
        <f t="shared" si="12"/>
        <v>596.81899999999996</v>
      </c>
      <c r="AL14">
        <v>380.25</v>
      </c>
      <c r="AM14">
        <v>216.57</v>
      </c>
      <c r="AN14">
        <f t="shared" si="13"/>
        <v>216.56899999999996</v>
      </c>
      <c r="AO14">
        <f t="shared" si="14"/>
        <v>-380.25</v>
      </c>
      <c r="AP14" t="s">
        <v>137</v>
      </c>
      <c r="AQ14" t="str">
        <f t="shared" si="15"/>
        <v>Pending</v>
      </c>
      <c r="AR14" t="s">
        <v>125</v>
      </c>
      <c r="AS14" t="str">
        <f t="shared" si="16"/>
        <v>Returned</v>
      </c>
      <c r="AT14" t="str">
        <f t="shared" si="17"/>
        <v>Clean</v>
      </c>
    </row>
    <row r="15" spans="1:46">
      <c r="A15" t="s">
        <v>138</v>
      </c>
      <c r="B15">
        <f>COUNTIF($D$2:D15,D15)</f>
        <v>1</v>
      </c>
      <c r="C15" t="str">
        <f>IF(COUNTIF($A:$A,A15)=1,
"Unique",
IF(COUNTIFS($A:$A,A15,$N:$N,N15,$AF:$AF,AF15,$AJ:$AJ,AJ15)&gt;1,
"Exact Duplicate",
"Conflicting Duplicate"))</f>
        <v>Unique</v>
      </c>
      <c r="D15" t="s">
        <v>139</v>
      </c>
      <c r="E15" t="s">
        <v>140</v>
      </c>
      <c r="F15" s="3">
        <v>46001</v>
      </c>
      <c r="G15" s="3">
        <v>45946</v>
      </c>
      <c r="H15" s="5" t="str">
        <f t="shared" si="0"/>
        <v>December</v>
      </c>
      <c r="I15" s="5">
        <f t="shared" si="1"/>
        <v>2025</v>
      </c>
      <c r="J15" t="str">
        <f>IF(F15="","Missing Date",
IF(ISNUMBER(F15),"Valid","Invalid Date"))</f>
        <v>Valid</v>
      </c>
      <c r="K15" t="str">
        <f t="shared" si="2"/>
        <v>Valid</v>
      </c>
      <c r="L15">
        <f>G15-F15</f>
        <v>-55</v>
      </c>
      <c r="M15" t="s">
        <v>141</v>
      </c>
      <c r="N15" t="s">
        <v>142</v>
      </c>
      <c r="O15" t="str">
        <f t="shared" si="3"/>
        <v>Priya Menon</v>
      </c>
      <c r="P15" t="s">
        <v>41</v>
      </c>
      <c r="Q15" t="str">
        <f t="shared" si="4"/>
        <v>Small Business</v>
      </c>
      <c r="R15" t="s">
        <v>73</v>
      </c>
      <c r="S15" t="str">
        <f t="shared" si="5"/>
        <v>West</v>
      </c>
      <c r="T15" t="s">
        <v>74</v>
      </c>
      <c r="U15" t="str">
        <f t="shared" si="6"/>
        <v>Maharashtra</v>
      </c>
      <c r="V15" t="s">
        <v>75</v>
      </c>
      <c r="W15" t="str">
        <f t="shared" si="7"/>
        <v>Mumbai</v>
      </c>
      <c r="X15" t="s">
        <v>30</v>
      </c>
      <c r="Y15" t="str">
        <f t="shared" si="8"/>
        <v>Office Supplies</v>
      </c>
      <c r="Z15" t="s">
        <v>54</v>
      </c>
      <c r="AA15" t="str">
        <f t="shared" si="9"/>
        <v>Art</v>
      </c>
      <c r="AB15" t="s">
        <v>143</v>
      </c>
      <c r="AC15" t="s">
        <v>33</v>
      </c>
      <c r="AD15" t="str">
        <f t="shared" si="10"/>
        <v>Second Class</v>
      </c>
      <c r="AE15">
        <v>7</v>
      </c>
      <c r="AF15">
        <v>3964.72</v>
      </c>
      <c r="AG15">
        <v>0.05</v>
      </c>
      <c r="AH15">
        <v>0.05</v>
      </c>
      <c r="AI15" t="str">
        <f t="shared" si="11"/>
        <v>Valid</v>
      </c>
      <c r="AJ15">
        <v>26365.39</v>
      </c>
      <c r="AK15">
        <f t="shared" si="12"/>
        <v>26365.387999999995</v>
      </c>
      <c r="AL15">
        <v>22306.240000000002</v>
      </c>
      <c r="AM15">
        <v>4059.15</v>
      </c>
      <c r="AN15">
        <f t="shared" si="13"/>
        <v>4059.1479999999938</v>
      </c>
      <c r="AO15">
        <f t="shared" si="14"/>
        <v>-22306.240000000002</v>
      </c>
      <c r="AP15" t="s">
        <v>34</v>
      </c>
      <c r="AQ15" t="str">
        <f t="shared" si="15"/>
        <v>Paid</v>
      </c>
      <c r="AR15" t="s">
        <v>35</v>
      </c>
      <c r="AS15" t="str">
        <f t="shared" si="16"/>
        <v>Completed</v>
      </c>
      <c r="AT15" t="str">
        <f t="shared" si="17"/>
        <v>Clean</v>
      </c>
    </row>
    <row r="16" spans="1:46">
      <c r="A16" t="s">
        <v>144</v>
      </c>
      <c r="B16">
        <f>COUNTIF($D$2:D16,D16)</f>
        <v>1</v>
      </c>
      <c r="C16" t="str">
        <f>IF(COUNTIF($A:$A,A16)=1,
"Unique",
IF(COUNTIFS($A:$A,A16,$N:$N,N16,$AF:$AF,AF16,$AJ:$AJ,AJ16)&gt;1,
"Exact Duplicate",
"Conflicting Duplicate"))</f>
        <v>Unique</v>
      </c>
      <c r="D16" t="s">
        <v>145</v>
      </c>
      <c r="E16" t="s">
        <v>146</v>
      </c>
      <c r="F16" s="2">
        <v>45653</v>
      </c>
      <c r="G16" s="3">
        <v>45654</v>
      </c>
      <c r="H16" s="5" t="str">
        <f t="shared" si="0"/>
        <v>December</v>
      </c>
      <c r="I16" s="5">
        <f t="shared" si="1"/>
        <v>2024</v>
      </c>
      <c r="J16" t="str">
        <f>IF(F16="","Missing Date",
IF(ISNUMBER(F16),"Valid","Invalid Date"))</f>
        <v>Valid</v>
      </c>
      <c r="K16" t="str">
        <f t="shared" si="2"/>
        <v>Valid</v>
      </c>
      <c r="L16">
        <f>G16-F16</f>
        <v>1</v>
      </c>
      <c r="M16" t="s">
        <v>147</v>
      </c>
      <c r="N16" t="s">
        <v>148</v>
      </c>
      <c r="O16" t="str">
        <f t="shared" si="3"/>
        <v>Rahul Verma</v>
      </c>
      <c r="P16" t="s">
        <v>26</v>
      </c>
      <c r="Q16" t="str">
        <f t="shared" si="4"/>
        <v>Consumer</v>
      </c>
      <c r="R16" t="s">
        <v>73</v>
      </c>
      <c r="S16" t="str">
        <f t="shared" si="5"/>
        <v>West</v>
      </c>
      <c r="T16" t="s">
        <v>28</v>
      </c>
      <c r="U16" t="str">
        <f t="shared" si="6"/>
        <v>Rajasthan</v>
      </c>
      <c r="V16" t="s">
        <v>135</v>
      </c>
      <c r="W16" t="str">
        <f t="shared" si="7"/>
        <v>Udaipur</v>
      </c>
      <c r="X16" t="s">
        <v>86</v>
      </c>
      <c r="Y16" t="str">
        <f t="shared" si="8"/>
        <v>Technology</v>
      </c>
      <c r="Z16" t="s">
        <v>94</v>
      </c>
      <c r="AA16" t="str">
        <f t="shared" si="9"/>
        <v>Copiers</v>
      </c>
      <c r="AB16" t="s">
        <v>149</v>
      </c>
      <c r="AC16" t="s">
        <v>67</v>
      </c>
      <c r="AD16" t="str">
        <f t="shared" si="10"/>
        <v>Standard Class</v>
      </c>
      <c r="AE16">
        <v>2</v>
      </c>
      <c r="AF16">
        <v>2737.83</v>
      </c>
      <c r="AG16">
        <v>0.25</v>
      </c>
      <c r="AH16">
        <v>0.25</v>
      </c>
      <c r="AI16" t="str">
        <f t="shared" si="11"/>
        <v>Valid</v>
      </c>
      <c r="AJ16">
        <v>4106.74</v>
      </c>
      <c r="AK16">
        <f t="shared" si="12"/>
        <v>4106.7449999999999</v>
      </c>
      <c r="AL16">
        <v>2666.3</v>
      </c>
      <c r="AM16">
        <v>1440.44</v>
      </c>
      <c r="AN16">
        <f t="shared" si="13"/>
        <v>1440.4449999999997</v>
      </c>
      <c r="AO16">
        <f t="shared" si="14"/>
        <v>-2666.3</v>
      </c>
      <c r="AP16" t="s">
        <v>34</v>
      </c>
      <c r="AQ16" t="str">
        <f t="shared" si="15"/>
        <v>Paid</v>
      </c>
      <c r="AR16" t="s">
        <v>35</v>
      </c>
      <c r="AS16" t="str">
        <f t="shared" si="16"/>
        <v>Completed</v>
      </c>
      <c r="AT16" t="str">
        <f t="shared" si="17"/>
        <v>Clean</v>
      </c>
    </row>
    <row r="17" spans="1:46">
      <c r="A17" t="s">
        <v>150</v>
      </c>
      <c r="B17">
        <f>COUNTIF($D$2:D17,D17)</f>
        <v>1</v>
      </c>
      <c r="C17" t="str">
        <f>IF(COUNTIF($A:$A,A17)=1,
"Unique",
IF(COUNTIFS($A:$A,A17,$N:$N,N17,$AF:$AF,AF17,$AJ:$AJ,AJ17)&gt;1,
"Exact Duplicate",
"Conflicting Duplicate"))</f>
        <v>Unique</v>
      </c>
      <c r="D17" t="s">
        <v>151</v>
      </c>
      <c r="E17" t="s">
        <v>152</v>
      </c>
      <c r="F17" s="3">
        <v>45482</v>
      </c>
      <c r="G17" s="2">
        <v>45542</v>
      </c>
      <c r="H17" s="5" t="str">
        <f t="shared" si="0"/>
        <v>July</v>
      </c>
      <c r="I17" s="5">
        <f t="shared" si="1"/>
        <v>2024</v>
      </c>
      <c r="J17" t="str">
        <f>IF(F17="","Missing Date",
IF(ISNUMBER(F17),"Valid","Invalid Date"))</f>
        <v>Valid</v>
      </c>
      <c r="K17" t="str">
        <f t="shared" si="2"/>
        <v>Valid</v>
      </c>
      <c r="L17">
        <f>G17-F17</f>
        <v>60</v>
      </c>
      <c r="M17" t="s">
        <v>153</v>
      </c>
      <c r="N17" t="s">
        <v>25</v>
      </c>
      <c r="O17" t="str">
        <f t="shared" si="3"/>
        <v>Karan Malhotra</v>
      </c>
      <c r="P17" t="s">
        <v>41</v>
      </c>
      <c r="Q17" t="str">
        <f t="shared" si="4"/>
        <v>Small Business</v>
      </c>
      <c r="R17" t="s">
        <v>27</v>
      </c>
      <c r="S17" t="str">
        <f t="shared" si="5"/>
        <v>North</v>
      </c>
      <c r="T17" t="s">
        <v>154</v>
      </c>
      <c r="U17" t="str">
        <f t="shared" si="6"/>
        <v>Punjab</v>
      </c>
      <c r="V17" t="s">
        <v>155</v>
      </c>
      <c r="W17" t="str">
        <f t="shared" si="7"/>
        <v>Ludhiana</v>
      </c>
      <c r="X17" t="s">
        <v>30</v>
      </c>
      <c r="Y17" t="str">
        <f t="shared" si="8"/>
        <v>Office Supplies</v>
      </c>
      <c r="Z17" t="s">
        <v>156</v>
      </c>
      <c r="AA17" t="str">
        <f t="shared" si="9"/>
        <v>Storage</v>
      </c>
      <c r="AB17" t="s">
        <v>157</v>
      </c>
      <c r="AC17" t="s">
        <v>33</v>
      </c>
      <c r="AD17" t="str">
        <f t="shared" si="10"/>
        <v>Second Class</v>
      </c>
      <c r="AE17">
        <v>6</v>
      </c>
      <c r="AF17">
        <v>3965.76</v>
      </c>
      <c r="AG17">
        <v>0</v>
      </c>
      <c r="AH17">
        <v>0</v>
      </c>
      <c r="AI17" t="str">
        <f t="shared" si="11"/>
        <v>Valid</v>
      </c>
      <c r="AJ17">
        <v>23794.560000000001</v>
      </c>
      <c r="AK17">
        <f t="shared" si="12"/>
        <v>23794.560000000001</v>
      </c>
      <c r="AL17">
        <v>15698.47</v>
      </c>
      <c r="AM17">
        <v>8096.09</v>
      </c>
      <c r="AN17">
        <f t="shared" si="13"/>
        <v>8096.090000000002</v>
      </c>
      <c r="AO17">
        <f t="shared" si="14"/>
        <v>-15698.47</v>
      </c>
      <c r="AP17" t="s">
        <v>34</v>
      </c>
      <c r="AQ17" t="str">
        <f t="shared" si="15"/>
        <v>Paid</v>
      </c>
      <c r="AR17" t="s">
        <v>35</v>
      </c>
      <c r="AS17" t="str">
        <f t="shared" si="16"/>
        <v>Completed</v>
      </c>
      <c r="AT17" t="str">
        <f t="shared" si="17"/>
        <v>Clean</v>
      </c>
    </row>
    <row r="18" spans="1:46">
      <c r="A18" t="s">
        <v>158</v>
      </c>
      <c r="B18">
        <f>COUNTIF($D$2:D18,D18)</f>
        <v>1</v>
      </c>
      <c r="C18" t="str">
        <f>IF(COUNTIF($A:$A,A18)=1,
"Unique",
IF(COUNTIFS($A:$A,A18,$N:$N,N18,$AF:$AF,AF18,$AJ:$AJ,AJ18)&gt;1,
"Exact Duplicate",
"Conflicting Duplicate"))</f>
        <v>Unique</v>
      </c>
      <c r="D18" t="s">
        <v>159</v>
      </c>
      <c r="E18" t="s">
        <v>160</v>
      </c>
      <c r="F18" s="3">
        <v>45420</v>
      </c>
      <c r="G18" s="3">
        <v>45427</v>
      </c>
      <c r="H18" s="5" t="str">
        <f t="shared" si="0"/>
        <v>May</v>
      </c>
      <c r="I18" s="5">
        <f t="shared" si="1"/>
        <v>2024</v>
      </c>
      <c r="J18" t="str">
        <f>IF(F18="","Missing Date",
IF(ISNUMBER(F18),"Valid","Invalid Date"))</f>
        <v>Valid</v>
      </c>
      <c r="K18" t="str">
        <f t="shared" si="2"/>
        <v>Valid</v>
      </c>
      <c r="L18">
        <f>G18-F18</f>
        <v>7</v>
      </c>
      <c r="M18" t="s">
        <v>161</v>
      </c>
      <c r="N18" t="s">
        <v>162</v>
      </c>
      <c r="O18" t="str">
        <f t="shared" si="3"/>
        <v>Aarav Sharma</v>
      </c>
      <c r="P18" t="s">
        <v>26</v>
      </c>
      <c r="Q18" t="str">
        <f t="shared" si="4"/>
        <v>Consumer</v>
      </c>
      <c r="R18" t="s">
        <v>62</v>
      </c>
      <c r="S18" t="str">
        <f t="shared" si="5"/>
        <v>South</v>
      </c>
      <c r="T18" t="s">
        <v>63</v>
      </c>
      <c r="U18" t="str">
        <f t="shared" si="6"/>
        <v>Telangana</v>
      </c>
      <c r="V18" t="s">
        <v>64</v>
      </c>
      <c r="W18" t="str">
        <f t="shared" si="7"/>
        <v>Hyderabad</v>
      </c>
      <c r="X18" t="s">
        <v>30</v>
      </c>
      <c r="Y18" t="str">
        <f t="shared" si="8"/>
        <v>Office Supplies</v>
      </c>
      <c r="Z18" t="s">
        <v>54</v>
      </c>
      <c r="AA18" t="str">
        <f t="shared" si="9"/>
        <v>Art</v>
      </c>
      <c r="AB18" t="s">
        <v>163</v>
      </c>
      <c r="AC18" t="s">
        <v>56</v>
      </c>
      <c r="AD18" t="str">
        <f t="shared" si="10"/>
        <v>First Class</v>
      </c>
      <c r="AE18">
        <v>4</v>
      </c>
      <c r="AF18">
        <v>3323.51</v>
      </c>
      <c r="AG18">
        <v>0.25</v>
      </c>
      <c r="AH18">
        <v>0.25</v>
      </c>
      <c r="AI18" t="str">
        <f t="shared" si="11"/>
        <v>Valid</v>
      </c>
      <c r="AJ18">
        <v>9970.5300000000007</v>
      </c>
      <c r="AK18">
        <f t="shared" si="12"/>
        <v>9970.5300000000007</v>
      </c>
      <c r="AL18">
        <v>5668.17</v>
      </c>
      <c r="AM18">
        <v>4302.3599999999997</v>
      </c>
      <c r="AN18">
        <f t="shared" si="13"/>
        <v>4302.3600000000006</v>
      </c>
      <c r="AO18">
        <f t="shared" si="14"/>
        <v>-5668.17</v>
      </c>
      <c r="AP18" t="s">
        <v>34</v>
      </c>
      <c r="AQ18" t="str">
        <f t="shared" si="15"/>
        <v>Paid</v>
      </c>
      <c r="AR18" t="s">
        <v>35</v>
      </c>
      <c r="AS18" t="str">
        <f t="shared" si="16"/>
        <v>Completed</v>
      </c>
      <c r="AT18" t="str">
        <f t="shared" si="17"/>
        <v>Clean</v>
      </c>
    </row>
    <row r="19" spans="1:46">
      <c r="A19" t="s">
        <v>164</v>
      </c>
      <c r="B19">
        <f>COUNTIF($D$2:D19,D19)</f>
        <v>1</v>
      </c>
      <c r="C19" t="str">
        <f>IF(COUNTIF($A:$A,A19)=1,
"Unique",
IF(COUNTIFS($A:$A,A19,$N:$N,N19,$AF:$AF,AF19,$AJ:$AJ,AJ19)&gt;1,
"Exact Duplicate",
"Conflicting Duplicate"))</f>
        <v>Unique</v>
      </c>
      <c r="D19" t="s">
        <v>165</v>
      </c>
      <c r="E19" t="s">
        <v>166</v>
      </c>
      <c r="F19" s="3">
        <v>45298</v>
      </c>
      <c r="G19" s="3">
        <v>45505</v>
      </c>
      <c r="H19" s="5" t="str">
        <f t="shared" si="0"/>
        <v>January</v>
      </c>
      <c r="I19" s="5">
        <f t="shared" si="1"/>
        <v>2024</v>
      </c>
      <c r="J19" t="str">
        <f>IF(F19="","Missing Date",
IF(ISNUMBER(F19),"Valid","Invalid Date"))</f>
        <v>Valid</v>
      </c>
      <c r="K19" t="str">
        <f t="shared" si="2"/>
        <v>Valid</v>
      </c>
      <c r="L19">
        <f>G19-F19</f>
        <v>207</v>
      </c>
      <c r="M19" t="s">
        <v>167</v>
      </c>
      <c r="N19" t="s">
        <v>168</v>
      </c>
      <c r="O19" t="str">
        <f t="shared" si="3"/>
        <v>Sneha Kapoor</v>
      </c>
      <c r="P19" t="s">
        <v>41</v>
      </c>
      <c r="Q19" t="str">
        <f t="shared" si="4"/>
        <v>Small Business</v>
      </c>
      <c r="R19" t="s">
        <v>27</v>
      </c>
      <c r="S19" t="str">
        <f t="shared" si="5"/>
        <v>North</v>
      </c>
      <c r="T19" t="s">
        <v>28</v>
      </c>
      <c r="U19" t="str">
        <f t="shared" si="6"/>
        <v>Rajasthan</v>
      </c>
      <c r="V19" t="s">
        <v>29</v>
      </c>
      <c r="W19" t="str">
        <f t="shared" si="7"/>
        <v>Jaipur</v>
      </c>
      <c r="X19" t="s">
        <v>45</v>
      </c>
      <c r="Y19" t="str">
        <f t="shared" si="8"/>
        <v>Furniture</v>
      </c>
      <c r="Z19" t="s">
        <v>65</v>
      </c>
      <c r="AA19" t="str">
        <f t="shared" si="9"/>
        <v>Furnishings</v>
      </c>
      <c r="AB19" t="s">
        <v>169</v>
      </c>
      <c r="AC19" t="s">
        <v>48</v>
      </c>
      <c r="AD19" t="str">
        <f t="shared" si="10"/>
        <v>Same Day</v>
      </c>
      <c r="AE19">
        <v>5</v>
      </c>
      <c r="AF19">
        <v>1526.78</v>
      </c>
      <c r="AG19">
        <v>0</v>
      </c>
      <c r="AH19">
        <v>0</v>
      </c>
      <c r="AI19" t="str">
        <f t="shared" si="11"/>
        <v>Valid</v>
      </c>
      <c r="AJ19">
        <v>7633.9</v>
      </c>
      <c r="AK19">
        <f t="shared" si="12"/>
        <v>7633.9</v>
      </c>
      <c r="AL19">
        <v>4706.91</v>
      </c>
      <c r="AM19">
        <v>2926.99</v>
      </c>
      <c r="AN19">
        <f t="shared" si="13"/>
        <v>2926.99</v>
      </c>
      <c r="AO19">
        <f t="shared" si="14"/>
        <v>-4706.91</v>
      </c>
      <c r="AP19" t="s">
        <v>34</v>
      </c>
      <c r="AQ19" t="str">
        <f t="shared" si="15"/>
        <v>Paid</v>
      </c>
      <c r="AR19" t="s">
        <v>35</v>
      </c>
      <c r="AS19" t="str">
        <f t="shared" si="16"/>
        <v>Completed</v>
      </c>
      <c r="AT19" t="str">
        <f t="shared" si="17"/>
        <v>Clean</v>
      </c>
    </row>
    <row r="20" spans="1:46">
      <c r="A20" t="s">
        <v>170</v>
      </c>
      <c r="B20">
        <f>COUNTIF($D$2:D20,D20)</f>
        <v>1</v>
      </c>
      <c r="C20" t="str">
        <f>IF(COUNTIF($A:$A,A20)=1,
"Unique",
IF(COUNTIFS($A:$A,A20,$N:$N,N20,$AF:$AF,AF20,$AJ:$AJ,AJ20)&gt;1,
"Exact Duplicate",
"Conflicting Duplicate"))</f>
        <v>Unique</v>
      </c>
      <c r="D20" t="s">
        <v>171</v>
      </c>
      <c r="E20" t="s">
        <v>172</v>
      </c>
      <c r="F20" s="3">
        <v>45853</v>
      </c>
      <c r="G20" s="3">
        <v>45855</v>
      </c>
      <c r="H20" s="5" t="str">
        <f t="shared" si="0"/>
        <v>July</v>
      </c>
      <c r="I20" s="5">
        <f t="shared" si="1"/>
        <v>2025</v>
      </c>
      <c r="J20" t="str">
        <f>IF(F20="","Missing Date",
IF(ISNUMBER(F20),"Valid","Invalid Date"))</f>
        <v>Valid</v>
      </c>
      <c r="K20" t="str">
        <f t="shared" si="2"/>
        <v>Valid</v>
      </c>
      <c r="L20">
        <f>G20-F20</f>
        <v>2</v>
      </c>
      <c r="M20" t="s">
        <v>173</v>
      </c>
      <c r="N20" t="s">
        <v>162</v>
      </c>
      <c r="O20" t="str">
        <f t="shared" si="3"/>
        <v>Aarav Sharma</v>
      </c>
      <c r="P20" t="s">
        <v>115</v>
      </c>
      <c r="Q20" t="str">
        <f t="shared" si="4"/>
        <v>Home Office</v>
      </c>
      <c r="R20" t="s">
        <v>27</v>
      </c>
      <c r="S20" t="str">
        <f t="shared" si="5"/>
        <v>North</v>
      </c>
      <c r="T20" t="s">
        <v>174</v>
      </c>
      <c r="U20" t="str">
        <f t="shared" si="6"/>
        <v>Uttar Pradesh</v>
      </c>
      <c r="V20" t="s">
        <v>175</v>
      </c>
      <c r="W20" t="str">
        <f t="shared" si="7"/>
        <v>Noida</v>
      </c>
      <c r="X20" t="s">
        <v>86</v>
      </c>
      <c r="Y20" t="str">
        <f t="shared" si="8"/>
        <v>Technology</v>
      </c>
      <c r="Z20" t="s">
        <v>94</v>
      </c>
      <c r="AA20" t="str">
        <f t="shared" si="9"/>
        <v>Copiers</v>
      </c>
      <c r="AB20" t="s">
        <v>176</v>
      </c>
      <c r="AC20" t="s">
        <v>56</v>
      </c>
      <c r="AD20" t="str">
        <f t="shared" si="10"/>
        <v>First Class</v>
      </c>
      <c r="AE20">
        <v>2</v>
      </c>
      <c r="AF20">
        <v>1997.99</v>
      </c>
      <c r="AG20">
        <v>0</v>
      </c>
      <c r="AH20">
        <v>0</v>
      </c>
      <c r="AI20" t="str">
        <f t="shared" si="11"/>
        <v>Valid</v>
      </c>
      <c r="AJ20">
        <v>3995.98</v>
      </c>
      <c r="AK20">
        <f t="shared" si="12"/>
        <v>3995.98</v>
      </c>
      <c r="AL20">
        <v>2633.2</v>
      </c>
      <c r="AM20">
        <v>1362.78</v>
      </c>
      <c r="AN20">
        <f t="shared" si="13"/>
        <v>1362.7800000000002</v>
      </c>
      <c r="AO20">
        <f t="shared" si="14"/>
        <v>-2633.2</v>
      </c>
      <c r="AP20" t="s">
        <v>124</v>
      </c>
      <c r="AQ20" t="str">
        <f t="shared" si="15"/>
        <v>Refunded</v>
      </c>
      <c r="AR20" t="s">
        <v>78</v>
      </c>
      <c r="AS20" t="str">
        <f t="shared" si="16"/>
        <v>Cancelled</v>
      </c>
      <c r="AT20" t="str">
        <f t="shared" si="17"/>
        <v>Clean</v>
      </c>
    </row>
    <row r="21" spans="1:46">
      <c r="A21" t="s">
        <v>177</v>
      </c>
      <c r="B21">
        <f>COUNTIF($D$2:D21,D21)</f>
        <v>1</v>
      </c>
      <c r="C21" t="str">
        <f>IF(COUNTIF($A:$A,A21)=1,
"Unique",
IF(COUNTIFS($A:$A,A21,$N:$N,N21,$AF:$AF,AF21,$AJ:$AJ,AJ21)&gt;1,
"Exact Duplicate",
"Conflicting Duplicate"))</f>
        <v>Unique</v>
      </c>
      <c r="D21" t="s">
        <v>23</v>
      </c>
      <c r="E21" t="s">
        <v>178</v>
      </c>
      <c r="F21" s="3">
        <v>45500</v>
      </c>
      <c r="G21" s="2">
        <v>45504</v>
      </c>
      <c r="H21" s="5" t="str">
        <f t="shared" si="0"/>
        <v>July</v>
      </c>
      <c r="I21" s="5">
        <f t="shared" si="1"/>
        <v>2024</v>
      </c>
      <c r="J21" t="str">
        <f>IF(F21="","Missing Date",
IF(ISNUMBER(F21),"Valid","Invalid Date"))</f>
        <v>Valid</v>
      </c>
      <c r="K21" t="str">
        <f t="shared" si="2"/>
        <v>Valid</v>
      </c>
      <c r="L21">
        <f>G21-F21</f>
        <v>4</v>
      </c>
      <c r="M21" t="s">
        <v>179</v>
      </c>
      <c r="N21" t="s">
        <v>180</v>
      </c>
      <c r="O21" t="str">
        <f t="shared" si="3"/>
        <v>Rohan Mehta</v>
      </c>
      <c r="P21" t="s">
        <v>115</v>
      </c>
      <c r="Q21" t="str">
        <f t="shared" si="4"/>
        <v>Home Office</v>
      </c>
      <c r="R21" t="s">
        <v>73</v>
      </c>
      <c r="S21" t="str">
        <f t="shared" si="5"/>
        <v>West</v>
      </c>
      <c r="T21" t="s">
        <v>84</v>
      </c>
      <c r="U21" t="str">
        <f t="shared" si="6"/>
        <v>Madhya Pradesh</v>
      </c>
      <c r="V21" t="s">
        <v>85</v>
      </c>
      <c r="W21" t="str">
        <f t="shared" si="7"/>
        <v>Indore</v>
      </c>
      <c r="X21" t="s">
        <v>30</v>
      </c>
      <c r="Y21" t="str">
        <f t="shared" si="8"/>
        <v>Office Supplies</v>
      </c>
      <c r="Z21" t="s">
        <v>156</v>
      </c>
      <c r="AA21" t="str">
        <f t="shared" si="9"/>
        <v>Storage</v>
      </c>
      <c r="AB21" t="s">
        <v>181</v>
      </c>
      <c r="AC21" t="s">
        <v>33</v>
      </c>
      <c r="AD21" t="str">
        <f t="shared" si="10"/>
        <v>Second Class</v>
      </c>
      <c r="AE21">
        <v>3</v>
      </c>
      <c r="AF21">
        <v>3887.94</v>
      </c>
      <c r="AG21">
        <v>-0.19</v>
      </c>
      <c r="AH21">
        <v>-0.19</v>
      </c>
      <c r="AI21" t="str">
        <f t="shared" si="11"/>
        <v>Invalid - Negative Discount</v>
      </c>
      <c r="AJ21">
        <v>9331.06</v>
      </c>
      <c r="AK21">
        <f t="shared" si="12"/>
        <v>13879.9458</v>
      </c>
      <c r="AL21">
        <v>7529.31</v>
      </c>
      <c r="AM21">
        <v>1801.75</v>
      </c>
      <c r="AN21">
        <f t="shared" si="13"/>
        <v>6350.6357999999991</v>
      </c>
      <c r="AO21">
        <f t="shared" si="14"/>
        <v>-7529.31</v>
      </c>
      <c r="AP21" t="s">
        <v>34</v>
      </c>
      <c r="AQ21" t="str">
        <f t="shared" si="15"/>
        <v>Paid</v>
      </c>
      <c r="AR21" t="s">
        <v>35</v>
      </c>
      <c r="AS21" t="str">
        <f t="shared" si="16"/>
        <v>Completed</v>
      </c>
      <c r="AT21" t="str">
        <f t="shared" si="17"/>
        <v>Clean</v>
      </c>
    </row>
    <row r="22" spans="1:46">
      <c r="A22" t="s">
        <v>182</v>
      </c>
      <c r="B22">
        <f>COUNTIF($D$2:D22,D22)</f>
        <v>1</v>
      </c>
      <c r="C22" t="str">
        <f>IF(COUNTIF($A:$A,A22)=1,
"Unique",
IF(COUNTIFS($A:$A,A22,$N:$N,N22,$AF:$AF,AF22,$AJ:$AJ,AJ22)&gt;1,
"Exact Duplicate",
"Conflicting Duplicate"))</f>
        <v>Unique</v>
      </c>
      <c r="D22" t="s">
        <v>183</v>
      </c>
      <c r="E22" t="s">
        <v>184</v>
      </c>
      <c r="F22" s="3">
        <v>45678</v>
      </c>
      <c r="G22" s="2">
        <v>45680</v>
      </c>
      <c r="H22" s="5" t="str">
        <f t="shared" si="0"/>
        <v>January</v>
      </c>
      <c r="I22" s="5">
        <f t="shared" si="1"/>
        <v>2025</v>
      </c>
      <c r="J22" t="str">
        <f>IF(F22="","Missing Date",
IF(ISNUMBER(F22),"Valid","Invalid Date"))</f>
        <v>Valid</v>
      </c>
      <c r="K22" t="str">
        <f t="shared" si="2"/>
        <v>Valid</v>
      </c>
      <c r="L22">
        <f>G22-F22</f>
        <v>2</v>
      </c>
      <c r="M22" t="s">
        <v>185</v>
      </c>
      <c r="N22" t="s">
        <v>107</v>
      </c>
      <c r="O22" t="str">
        <f t="shared" si="3"/>
        <v>Aditi Sen</v>
      </c>
      <c r="P22" t="s">
        <v>115</v>
      </c>
      <c r="Q22" t="str">
        <f t="shared" si="4"/>
        <v>Home Office</v>
      </c>
      <c r="R22" t="s">
        <v>42</v>
      </c>
      <c r="S22" t="str">
        <f t="shared" si="5"/>
        <v>East</v>
      </c>
      <c r="T22" t="s">
        <v>186</v>
      </c>
      <c r="U22" t="str">
        <f t="shared" si="6"/>
        <v>Bihar</v>
      </c>
      <c r="V22" t="s">
        <v>187</v>
      </c>
      <c r="W22" t="str">
        <f t="shared" si="7"/>
        <v>Patna</v>
      </c>
      <c r="X22" t="s">
        <v>86</v>
      </c>
      <c r="Y22" t="str">
        <f t="shared" si="8"/>
        <v>Technology</v>
      </c>
      <c r="Z22" t="s">
        <v>94</v>
      </c>
      <c r="AA22" t="str">
        <f t="shared" si="9"/>
        <v>Copiers</v>
      </c>
      <c r="AB22" t="s">
        <v>188</v>
      </c>
      <c r="AC22" t="s">
        <v>56</v>
      </c>
      <c r="AD22" t="str">
        <f t="shared" si="10"/>
        <v>First Class</v>
      </c>
      <c r="AE22">
        <v>5</v>
      </c>
      <c r="AF22">
        <v>4373.0600000000004</v>
      </c>
      <c r="AG22">
        <v>0.25</v>
      </c>
      <c r="AH22">
        <v>0.25</v>
      </c>
      <c r="AI22" t="str">
        <f t="shared" si="11"/>
        <v>Valid</v>
      </c>
      <c r="AJ22">
        <v>16398.98</v>
      </c>
      <c r="AK22">
        <f t="shared" si="12"/>
        <v>16398.975000000002</v>
      </c>
      <c r="AL22">
        <v>9556.52</v>
      </c>
      <c r="AM22">
        <v>6842.46</v>
      </c>
      <c r="AN22">
        <f t="shared" si="13"/>
        <v>6842.4550000000017</v>
      </c>
      <c r="AO22">
        <f t="shared" si="14"/>
        <v>-9556.52</v>
      </c>
      <c r="AP22" t="s">
        <v>34</v>
      </c>
      <c r="AQ22" t="str">
        <f t="shared" si="15"/>
        <v>Paid</v>
      </c>
      <c r="AR22" t="s">
        <v>35</v>
      </c>
      <c r="AS22" t="str">
        <f t="shared" si="16"/>
        <v>Completed</v>
      </c>
      <c r="AT22" t="str">
        <f t="shared" si="17"/>
        <v>Clean</v>
      </c>
    </row>
    <row r="23" spans="1:46">
      <c r="A23" t="s">
        <v>189</v>
      </c>
      <c r="B23">
        <f>COUNTIF($D$2:D23,D23)</f>
        <v>1</v>
      </c>
      <c r="C23" t="str">
        <f>IF(COUNTIF($A:$A,A23)=1,
"Unique",
IF(COUNTIFS($A:$A,A23,$N:$N,N23,$AF:$AF,AF23,$AJ:$AJ,AJ23)&gt;1,
"Exact Duplicate",
"Conflicting Duplicate"))</f>
        <v>Unique</v>
      </c>
      <c r="D23" t="s">
        <v>190</v>
      </c>
      <c r="E23" t="s">
        <v>191</v>
      </c>
      <c r="F23" s="3">
        <v>45681</v>
      </c>
      <c r="G23" s="3">
        <v>45687</v>
      </c>
      <c r="H23" s="5" t="str">
        <f t="shared" si="0"/>
        <v>January</v>
      </c>
      <c r="I23" s="5">
        <f t="shared" si="1"/>
        <v>2025</v>
      </c>
      <c r="J23" t="str">
        <f>IF(F23="","Missing Date",
IF(ISNUMBER(F23),"Valid","Invalid Date"))</f>
        <v>Valid</v>
      </c>
      <c r="K23" t="str">
        <f t="shared" si="2"/>
        <v>Valid</v>
      </c>
      <c r="L23">
        <f>G23-F23</f>
        <v>6</v>
      </c>
      <c r="M23" t="s">
        <v>192</v>
      </c>
      <c r="N23" t="s">
        <v>168</v>
      </c>
      <c r="O23" t="str">
        <f t="shared" si="3"/>
        <v>Sneha Kapoor</v>
      </c>
      <c r="P23" t="s">
        <v>26</v>
      </c>
      <c r="Q23" t="str">
        <f t="shared" si="4"/>
        <v>Consumer</v>
      </c>
      <c r="R23" t="s">
        <v>73</v>
      </c>
      <c r="S23" t="str">
        <f t="shared" si="5"/>
        <v>West</v>
      </c>
      <c r="T23" t="s">
        <v>84</v>
      </c>
      <c r="U23" t="str">
        <f t="shared" si="6"/>
        <v>Madhya Pradesh</v>
      </c>
      <c r="V23" t="s">
        <v>85</v>
      </c>
      <c r="W23" t="str">
        <f t="shared" si="7"/>
        <v>Indore</v>
      </c>
      <c r="X23" t="s">
        <v>45</v>
      </c>
      <c r="Y23" t="str">
        <f t="shared" si="8"/>
        <v>Furniture</v>
      </c>
      <c r="Z23" t="s">
        <v>65</v>
      </c>
      <c r="AA23" t="str">
        <f t="shared" si="9"/>
        <v>Furnishings</v>
      </c>
      <c r="AB23" t="s">
        <v>193</v>
      </c>
      <c r="AC23" t="s">
        <v>33</v>
      </c>
      <c r="AD23" t="str">
        <f t="shared" si="10"/>
        <v>Second Class</v>
      </c>
      <c r="AE23">
        <v>4</v>
      </c>
      <c r="AF23">
        <v>697.69</v>
      </c>
      <c r="AG23">
        <v>-0.23</v>
      </c>
      <c r="AH23">
        <v>-0.23</v>
      </c>
      <c r="AI23" t="str">
        <f t="shared" si="11"/>
        <v>Invalid - Negative Discount</v>
      </c>
      <c r="AJ23">
        <v>2790.76</v>
      </c>
      <c r="AK23">
        <f t="shared" si="12"/>
        <v>3432.6348000000003</v>
      </c>
      <c r="AL23">
        <v>2037.71</v>
      </c>
      <c r="AM23">
        <v>753.05</v>
      </c>
      <c r="AN23">
        <f t="shared" si="13"/>
        <v>1394.9248000000002</v>
      </c>
      <c r="AO23">
        <f t="shared" si="14"/>
        <v>-2037.71</v>
      </c>
      <c r="AP23" t="s">
        <v>34</v>
      </c>
      <c r="AQ23" t="str">
        <f t="shared" si="15"/>
        <v>Paid</v>
      </c>
      <c r="AR23" t="s">
        <v>35</v>
      </c>
      <c r="AS23" t="str">
        <f t="shared" si="16"/>
        <v>Completed</v>
      </c>
      <c r="AT23" t="str">
        <f t="shared" si="17"/>
        <v>Clean</v>
      </c>
    </row>
    <row r="24" spans="1:46">
      <c r="A24" t="s">
        <v>194</v>
      </c>
      <c r="B24">
        <f>COUNTIF($D$2:D24,D24)</f>
        <v>1</v>
      </c>
      <c r="C24" t="str">
        <f>IF(COUNTIF($A:$A,A24)=1,
"Unique",
IF(COUNTIFS($A:$A,A24,$N:$N,N24,$AF:$AF,AF24,$AJ:$AJ,AJ24)&gt;1,
"Exact Duplicate",
"Conflicting Duplicate"))</f>
        <v>Unique</v>
      </c>
      <c r="D24" t="s">
        <v>195</v>
      </c>
      <c r="E24" t="s">
        <v>196</v>
      </c>
      <c r="F24" s="2">
        <v>45676</v>
      </c>
      <c r="G24" s="3">
        <v>45678</v>
      </c>
      <c r="H24" s="5" t="str">
        <f t="shared" si="0"/>
        <v>January</v>
      </c>
      <c r="I24" s="5">
        <f t="shared" si="1"/>
        <v>2025</v>
      </c>
      <c r="J24" t="str">
        <f>IF(F24="","Missing Date",
IF(ISNUMBER(F24),"Valid","Invalid Date"))</f>
        <v>Valid</v>
      </c>
      <c r="K24" t="str">
        <f t="shared" si="2"/>
        <v>Valid</v>
      </c>
      <c r="L24">
        <f>G24-F24</f>
        <v>2</v>
      </c>
      <c r="M24" t="s">
        <v>197</v>
      </c>
      <c r="N24" t="s">
        <v>40</v>
      </c>
      <c r="O24" t="str">
        <f t="shared" si="3"/>
        <v>Mira Das</v>
      </c>
      <c r="P24" t="s">
        <v>26</v>
      </c>
      <c r="Q24" t="str">
        <f t="shared" si="4"/>
        <v>Consumer</v>
      </c>
      <c r="R24" t="s">
        <v>62</v>
      </c>
      <c r="S24" t="str">
        <f t="shared" si="5"/>
        <v>South</v>
      </c>
      <c r="T24" t="s">
        <v>63</v>
      </c>
      <c r="U24" t="str">
        <f t="shared" si="6"/>
        <v>Telangana</v>
      </c>
      <c r="V24" t="s">
        <v>64</v>
      </c>
      <c r="W24" t="str">
        <f t="shared" si="7"/>
        <v>Hyderabad</v>
      </c>
      <c r="X24" t="s">
        <v>30</v>
      </c>
      <c r="Y24" t="str">
        <f t="shared" si="8"/>
        <v>Office Supplies</v>
      </c>
      <c r="Z24" t="s">
        <v>198</v>
      </c>
      <c r="AA24" t="str">
        <f t="shared" si="9"/>
        <v>Binders</v>
      </c>
      <c r="AB24" t="s">
        <v>199</v>
      </c>
      <c r="AC24" t="s">
        <v>67</v>
      </c>
      <c r="AD24" t="str">
        <f t="shared" si="10"/>
        <v>Standard Class</v>
      </c>
      <c r="AE24">
        <v>8</v>
      </c>
      <c r="AF24">
        <v>1219.3399999999999</v>
      </c>
      <c r="AG24">
        <v>0.15</v>
      </c>
      <c r="AH24">
        <v>0.15</v>
      </c>
      <c r="AI24" t="str">
        <f t="shared" si="11"/>
        <v>Valid</v>
      </c>
      <c r="AJ24">
        <v>8291.51</v>
      </c>
      <c r="AK24">
        <f t="shared" si="12"/>
        <v>8291.5119999999988</v>
      </c>
      <c r="AL24">
        <v>6685.03</v>
      </c>
      <c r="AM24">
        <v>1606.48</v>
      </c>
      <c r="AN24">
        <f t="shared" si="13"/>
        <v>1606.4819999999991</v>
      </c>
      <c r="AO24">
        <f t="shared" si="14"/>
        <v>-6685.03</v>
      </c>
      <c r="AP24" t="s">
        <v>200</v>
      </c>
      <c r="AQ24" t="str">
        <f t="shared" si="15"/>
        <v>Failed</v>
      </c>
      <c r="AR24" t="s">
        <v>125</v>
      </c>
      <c r="AS24" t="str">
        <f t="shared" si="16"/>
        <v>Returned</v>
      </c>
      <c r="AT24" t="str">
        <f t="shared" si="17"/>
        <v>Clean</v>
      </c>
    </row>
    <row r="25" spans="1:46">
      <c r="A25" t="s">
        <v>201</v>
      </c>
      <c r="B25">
        <f>COUNTIF($D$2:D25,D25)</f>
        <v>2</v>
      </c>
      <c r="C25" t="str">
        <f>IF(COUNTIF($A:$A,A25)=1,
"Unique",
IF(COUNTIFS($A:$A,A25,$N:$N,N25,$AF:$AF,AF25,$AJ:$AJ,AJ25)&gt;1,
"Exact Duplicate",
"Conflicting Duplicate"))</f>
        <v>Unique</v>
      </c>
      <c r="D25" t="s">
        <v>69</v>
      </c>
      <c r="E25" t="s">
        <v>202</v>
      </c>
      <c r="F25" s="2">
        <v>45898</v>
      </c>
      <c r="G25" s="3">
        <v>45900</v>
      </c>
      <c r="H25" s="5" t="str">
        <f t="shared" si="0"/>
        <v>August</v>
      </c>
      <c r="I25" s="5">
        <f t="shared" si="1"/>
        <v>2025</v>
      </c>
      <c r="J25" t="str">
        <f>IF(F25="","Missing Date",
IF(ISNUMBER(F25),"Valid","Invalid Date"))</f>
        <v>Valid</v>
      </c>
      <c r="K25" t="str">
        <f t="shared" si="2"/>
        <v>Valid</v>
      </c>
      <c r="L25">
        <f>G25-F25</f>
        <v>2</v>
      </c>
      <c r="M25" t="s">
        <v>203</v>
      </c>
      <c r="N25" t="s">
        <v>148</v>
      </c>
      <c r="O25" t="str">
        <f t="shared" si="3"/>
        <v>Rahul Verma</v>
      </c>
      <c r="P25" t="s">
        <v>115</v>
      </c>
      <c r="Q25" t="str">
        <f t="shared" si="4"/>
        <v>Home Office</v>
      </c>
      <c r="R25" t="s">
        <v>42</v>
      </c>
      <c r="S25" t="str">
        <f t="shared" si="5"/>
        <v>East</v>
      </c>
      <c r="T25" t="s">
        <v>186</v>
      </c>
      <c r="U25" t="str">
        <f t="shared" si="6"/>
        <v>Bihar</v>
      </c>
      <c r="V25" t="s">
        <v>187</v>
      </c>
      <c r="W25" t="str">
        <f t="shared" si="7"/>
        <v>Patna</v>
      </c>
      <c r="X25" t="s">
        <v>45</v>
      </c>
      <c r="Y25" t="str">
        <f t="shared" si="8"/>
        <v>Furniture</v>
      </c>
      <c r="Z25" t="s">
        <v>204</v>
      </c>
      <c r="AA25" t="str">
        <f t="shared" si="9"/>
        <v>Bookcases</v>
      </c>
      <c r="AB25" t="s">
        <v>205</v>
      </c>
      <c r="AC25" t="s">
        <v>56</v>
      </c>
      <c r="AD25" t="str">
        <f t="shared" si="10"/>
        <v>First Class</v>
      </c>
      <c r="AE25">
        <v>4</v>
      </c>
      <c r="AF25">
        <v>1958.01</v>
      </c>
      <c r="AG25">
        <v>0.2</v>
      </c>
      <c r="AH25">
        <v>0.2</v>
      </c>
      <c r="AI25" t="str">
        <f t="shared" si="11"/>
        <v>Valid</v>
      </c>
      <c r="AJ25">
        <v>6265.63</v>
      </c>
      <c r="AK25">
        <f t="shared" si="12"/>
        <v>6265.6320000000005</v>
      </c>
      <c r="AL25">
        <v>4321.8599999999997</v>
      </c>
      <c r="AM25">
        <v>1943.77</v>
      </c>
      <c r="AN25">
        <f t="shared" si="13"/>
        <v>1943.7720000000008</v>
      </c>
      <c r="AO25">
        <f t="shared" si="14"/>
        <v>-4321.8599999999997</v>
      </c>
      <c r="AP25" t="s">
        <v>34</v>
      </c>
      <c r="AQ25" t="str">
        <f t="shared" si="15"/>
        <v>Paid</v>
      </c>
      <c r="AR25" t="s">
        <v>35</v>
      </c>
      <c r="AS25" t="str">
        <f t="shared" si="16"/>
        <v>Completed</v>
      </c>
      <c r="AT25" t="str">
        <f t="shared" si="17"/>
        <v>Clean</v>
      </c>
    </row>
    <row r="26" spans="1:46">
      <c r="A26" t="s">
        <v>206</v>
      </c>
      <c r="B26">
        <f>COUNTIF($D$2:D26,D26)</f>
        <v>1</v>
      </c>
      <c r="C26" t="str">
        <f>IF(COUNTIF($A:$A,A26)=1,
"Unique",
IF(COUNTIFS($A:$A,A26,$N:$N,N26,$AF:$AF,AF26,$AJ:$AJ,AJ26)&gt;1,
"Exact Duplicate",
"Conflicting Duplicate"))</f>
        <v>Unique</v>
      </c>
      <c r="D26" t="s">
        <v>207</v>
      </c>
      <c r="E26" t="s">
        <v>208</v>
      </c>
      <c r="F26" s="3">
        <v>45385</v>
      </c>
      <c r="G26" s="3">
        <v>45352</v>
      </c>
      <c r="H26" s="5" t="str">
        <f t="shared" si="0"/>
        <v>April</v>
      </c>
      <c r="I26" s="5">
        <f t="shared" si="1"/>
        <v>2024</v>
      </c>
      <c r="J26" t="str">
        <f>IF(F26="","Missing Date",
IF(ISNUMBER(F26),"Valid","Invalid Date"))</f>
        <v>Valid</v>
      </c>
      <c r="K26" t="str">
        <f t="shared" si="2"/>
        <v>Valid</v>
      </c>
      <c r="L26">
        <f>G26-F26</f>
        <v>-33</v>
      </c>
      <c r="M26" t="s">
        <v>209</v>
      </c>
      <c r="N26" t="s">
        <v>210</v>
      </c>
      <c r="O26" t="str">
        <f t="shared" si="3"/>
        <v>Diya Patel</v>
      </c>
      <c r="P26" t="s">
        <v>26</v>
      </c>
      <c r="Q26" t="str">
        <f t="shared" si="4"/>
        <v>Consumer</v>
      </c>
      <c r="R26" t="s">
        <v>27</v>
      </c>
      <c r="S26" t="str">
        <f t="shared" si="5"/>
        <v>North</v>
      </c>
      <c r="T26" t="s">
        <v>154</v>
      </c>
      <c r="U26" t="str">
        <f t="shared" si="6"/>
        <v>Punjab</v>
      </c>
      <c r="V26" t="s">
        <v>155</v>
      </c>
      <c r="W26" t="str">
        <f t="shared" si="7"/>
        <v>Ludhiana</v>
      </c>
      <c r="X26" t="s">
        <v>30</v>
      </c>
      <c r="Y26" t="str">
        <f t="shared" si="8"/>
        <v>Office Supplies</v>
      </c>
      <c r="Z26" t="s">
        <v>54</v>
      </c>
      <c r="AA26" t="str">
        <f t="shared" si="9"/>
        <v>Art</v>
      </c>
      <c r="AB26" t="s">
        <v>211</v>
      </c>
      <c r="AC26" t="s">
        <v>67</v>
      </c>
      <c r="AD26" t="str">
        <f t="shared" si="10"/>
        <v>Standard Class</v>
      </c>
      <c r="AE26">
        <v>4</v>
      </c>
      <c r="AF26">
        <v>4492.9399999999996</v>
      </c>
      <c r="AG26">
        <v>0.25</v>
      </c>
      <c r="AH26">
        <v>0.25</v>
      </c>
      <c r="AI26" t="str">
        <f t="shared" si="11"/>
        <v>Valid</v>
      </c>
      <c r="AJ26">
        <v>13478.82</v>
      </c>
      <c r="AK26">
        <f t="shared" si="12"/>
        <v>13478.82</v>
      </c>
      <c r="AL26">
        <v>10937.35</v>
      </c>
      <c r="AM26">
        <v>2541.4699999999998</v>
      </c>
      <c r="AN26">
        <f t="shared" si="13"/>
        <v>2541.4699999999993</v>
      </c>
      <c r="AO26">
        <f t="shared" si="14"/>
        <v>-10937.35</v>
      </c>
      <c r="AP26" t="s">
        <v>137</v>
      </c>
      <c r="AQ26" t="str">
        <f t="shared" si="15"/>
        <v>Pending</v>
      </c>
      <c r="AR26" t="s">
        <v>78</v>
      </c>
      <c r="AS26" t="str">
        <f t="shared" si="16"/>
        <v>Cancelled</v>
      </c>
      <c r="AT26" t="str">
        <f t="shared" si="17"/>
        <v>Clean</v>
      </c>
    </row>
    <row r="27" spans="1:46">
      <c r="A27" t="s">
        <v>212</v>
      </c>
      <c r="B27">
        <f>COUNTIF($D$2:D27,D27)</f>
        <v>1</v>
      </c>
      <c r="C27" t="str">
        <f>IF(COUNTIF($A:$A,A27)=1,
"Unique",
IF(COUNTIFS($A:$A,A27,$N:$N,N27,$AF:$AF,AF27,$AJ:$AJ,AJ27)&gt;1,
"Exact Duplicate",
"Conflicting Duplicate"))</f>
        <v>Unique</v>
      </c>
      <c r="D27" t="s">
        <v>213</v>
      </c>
      <c r="E27" t="s">
        <v>214</v>
      </c>
      <c r="F27" s="3">
        <v>45606</v>
      </c>
      <c r="G27" s="3">
        <v>45584</v>
      </c>
      <c r="H27" s="5" t="str">
        <f t="shared" si="0"/>
        <v>November</v>
      </c>
      <c r="I27" s="5">
        <f t="shared" si="1"/>
        <v>2024</v>
      </c>
      <c r="J27" t="str">
        <f>IF(F27="","Missing Date",
IF(ISNUMBER(F27),"Valid","Invalid Date"))</f>
        <v>Valid</v>
      </c>
      <c r="K27" t="str">
        <f t="shared" si="2"/>
        <v>Valid</v>
      </c>
      <c r="L27">
        <f>G27-F27</f>
        <v>-22</v>
      </c>
      <c r="M27" t="s">
        <v>215</v>
      </c>
      <c r="N27" t="s">
        <v>61</v>
      </c>
      <c r="O27" t="str">
        <f t="shared" si="3"/>
        <v>Arjun Bose</v>
      </c>
      <c r="P27" t="s">
        <v>108</v>
      </c>
      <c r="Q27" t="str">
        <f t="shared" si="4"/>
        <v>Corporate</v>
      </c>
      <c r="R27" t="s">
        <v>42</v>
      </c>
      <c r="S27" t="str">
        <f t="shared" si="5"/>
        <v>East</v>
      </c>
      <c r="T27" t="s">
        <v>216</v>
      </c>
      <c r="U27" t="str">
        <f t="shared" si="6"/>
        <v>Assam</v>
      </c>
      <c r="V27" t="s">
        <v>217</v>
      </c>
      <c r="W27" t="str">
        <f t="shared" si="7"/>
        <v>Guwahati</v>
      </c>
      <c r="X27" t="s">
        <v>86</v>
      </c>
      <c r="Y27" t="str">
        <f t="shared" si="8"/>
        <v>Technology</v>
      </c>
      <c r="Z27" t="s">
        <v>87</v>
      </c>
      <c r="AA27" t="str">
        <f t="shared" si="9"/>
        <v>Accessories</v>
      </c>
      <c r="AB27" t="s">
        <v>218</v>
      </c>
      <c r="AC27" t="s">
        <v>56</v>
      </c>
      <c r="AD27" t="str">
        <f t="shared" si="10"/>
        <v>First Class</v>
      </c>
      <c r="AE27">
        <v>2</v>
      </c>
      <c r="AF27">
        <v>4315.2</v>
      </c>
      <c r="AG27">
        <v>0.15</v>
      </c>
      <c r="AH27">
        <v>0.15</v>
      </c>
      <c r="AI27" t="str">
        <f t="shared" si="11"/>
        <v>Valid</v>
      </c>
      <c r="AJ27">
        <v>7335.84</v>
      </c>
      <c r="AK27">
        <f t="shared" si="12"/>
        <v>7335.8399999999992</v>
      </c>
      <c r="AL27">
        <v>4968.41</v>
      </c>
      <c r="AM27">
        <v>2367.4299999999998</v>
      </c>
      <c r="AN27">
        <f t="shared" si="13"/>
        <v>2367.4299999999994</v>
      </c>
      <c r="AO27">
        <f t="shared" si="14"/>
        <v>-4968.41</v>
      </c>
      <c r="AP27" t="s">
        <v>34</v>
      </c>
      <c r="AQ27" t="str">
        <f t="shared" si="15"/>
        <v>Paid</v>
      </c>
      <c r="AR27" t="s">
        <v>35</v>
      </c>
      <c r="AS27" t="str">
        <f t="shared" si="16"/>
        <v>Completed</v>
      </c>
      <c r="AT27" t="str">
        <f t="shared" si="17"/>
        <v>Clean</v>
      </c>
    </row>
    <row r="28" spans="1:46">
      <c r="A28" t="s">
        <v>219</v>
      </c>
      <c r="B28">
        <f>COUNTIF($D$2:D28,D28)</f>
        <v>1</v>
      </c>
      <c r="C28" t="str">
        <f>IF(COUNTIF($A:$A,A28)=1,
"Unique",
IF(COUNTIFS($A:$A,A28,$N:$N,N28,$AF:$AF,AF28,$AJ:$AJ,AJ28)&gt;1,
"Exact Duplicate",
"Conflicting Duplicate"))</f>
        <v>Unique</v>
      </c>
      <c r="D28" t="s">
        <v>220</v>
      </c>
      <c r="E28" t="s">
        <v>221</v>
      </c>
      <c r="F28" s="3">
        <v>45619</v>
      </c>
      <c r="G28" s="2">
        <v>45619</v>
      </c>
      <c r="H28" s="5" t="str">
        <f t="shared" si="0"/>
        <v>November</v>
      </c>
      <c r="I28" s="5">
        <f t="shared" si="1"/>
        <v>2024</v>
      </c>
      <c r="J28" t="str">
        <f>IF(F28="","Missing Date",
IF(ISNUMBER(F28),"Valid","Invalid Date"))</f>
        <v>Valid</v>
      </c>
      <c r="K28" t="str">
        <f t="shared" si="2"/>
        <v>Valid</v>
      </c>
      <c r="L28">
        <f>G28-F28</f>
        <v>0</v>
      </c>
      <c r="M28" t="s">
        <v>222</v>
      </c>
      <c r="N28" t="s">
        <v>210</v>
      </c>
      <c r="O28" t="str">
        <f t="shared" si="3"/>
        <v>Diya Patel</v>
      </c>
      <c r="P28" t="s">
        <v>108</v>
      </c>
      <c r="Q28" t="str">
        <f t="shared" si="4"/>
        <v>Corporate</v>
      </c>
      <c r="R28" t="s">
        <v>27</v>
      </c>
      <c r="S28" t="str">
        <f t="shared" si="5"/>
        <v>North</v>
      </c>
      <c r="T28" t="s">
        <v>174</v>
      </c>
      <c r="U28" t="str">
        <f t="shared" si="6"/>
        <v>Uttar Pradesh</v>
      </c>
      <c r="V28" t="s">
        <v>175</v>
      </c>
      <c r="W28" t="str">
        <f t="shared" si="7"/>
        <v>Noida</v>
      </c>
      <c r="X28" t="s">
        <v>86</v>
      </c>
      <c r="Y28" t="str">
        <f t="shared" si="8"/>
        <v>Technology</v>
      </c>
      <c r="Z28" t="s">
        <v>223</v>
      </c>
      <c r="AA28" t="str">
        <f t="shared" si="9"/>
        <v>Phones</v>
      </c>
      <c r="AB28" t="s">
        <v>224</v>
      </c>
      <c r="AC28" t="s">
        <v>67</v>
      </c>
      <c r="AD28" t="str">
        <f t="shared" si="10"/>
        <v>Standard Class</v>
      </c>
      <c r="AE28">
        <v>4</v>
      </c>
      <c r="AF28">
        <v>716.13</v>
      </c>
      <c r="AG28">
        <v>0.1</v>
      </c>
      <c r="AH28">
        <v>0.1</v>
      </c>
      <c r="AI28" t="str">
        <f t="shared" si="11"/>
        <v>Valid</v>
      </c>
      <c r="AJ28">
        <v>2578.0700000000002</v>
      </c>
      <c r="AK28">
        <f t="shared" si="12"/>
        <v>2578.0680000000002</v>
      </c>
      <c r="AL28">
        <v>1527.55</v>
      </c>
      <c r="AM28">
        <v>1050.52</v>
      </c>
      <c r="AN28">
        <f t="shared" si="13"/>
        <v>1050.5180000000003</v>
      </c>
      <c r="AO28">
        <f t="shared" si="14"/>
        <v>-1527.55</v>
      </c>
      <c r="AP28" t="s">
        <v>34</v>
      </c>
      <c r="AQ28" t="str">
        <f t="shared" si="15"/>
        <v>Paid</v>
      </c>
      <c r="AR28" t="s">
        <v>125</v>
      </c>
      <c r="AS28" t="str">
        <f t="shared" si="16"/>
        <v>Returned</v>
      </c>
      <c r="AT28" t="str">
        <f t="shared" si="17"/>
        <v>Clean</v>
      </c>
    </row>
    <row r="29" spans="1:46">
      <c r="A29" t="s">
        <v>225</v>
      </c>
      <c r="B29">
        <f>COUNTIF($D$2:D29,D29)</f>
        <v>1</v>
      </c>
      <c r="C29" t="str">
        <f>IF(COUNTIF($A:$A,A29)=1,
"Unique",
IF(COUNTIFS($A:$A,A29,$N:$N,N29,$AF:$AF,AF29,$AJ:$AJ,AJ29)&gt;1,
"Exact Duplicate",
"Conflicting Duplicate"))</f>
        <v>Unique</v>
      </c>
      <c r="D29" t="s">
        <v>226</v>
      </c>
      <c r="E29" t="s">
        <v>227</v>
      </c>
      <c r="F29" s="2">
        <v>45929</v>
      </c>
      <c r="G29" s="3">
        <v>45787</v>
      </c>
      <c r="H29" s="5" t="str">
        <f t="shared" si="0"/>
        <v>September</v>
      </c>
      <c r="I29" s="5">
        <f t="shared" si="1"/>
        <v>2025</v>
      </c>
      <c r="J29" t="str">
        <f>IF(F29="","Missing Date",
IF(ISNUMBER(F29),"Valid","Invalid Date"))</f>
        <v>Valid</v>
      </c>
      <c r="K29" t="str">
        <f t="shared" si="2"/>
        <v>Valid</v>
      </c>
      <c r="L29">
        <f>G29-F29</f>
        <v>-142</v>
      </c>
      <c r="M29" t="s">
        <v>228</v>
      </c>
      <c r="N29" t="s">
        <v>61</v>
      </c>
      <c r="O29" t="str">
        <f t="shared" si="3"/>
        <v>Arjun Bose</v>
      </c>
      <c r="P29" t="s">
        <v>41</v>
      </c>
      <c r="Q29" t="str">
        <f t="shared" si="4"/>
        <v>Small Business</v>
      </c>
      <c r="R29" t="s">
        <v>62</v>
      </c>
      <c r="S29" t="str">
        <f t="shared" si="5"/>
        <v>South</v>
      </c>
      <c r="T29" t="s">
        <v>229</v>
      </c>
      <c r="U29" t="str">
        <f t="shared" si="6"/>
        <v>Karnataka</v>
      </c>
      <c r="V29" t="s">
        <v>230</v>
      </c>
      <c r="W29" t="str">
        <f t="shared" si="7"/>
        <v>Bengaluru</v>
      </c>
      <c r="X29" t="s">
        <v>30</v>
      </c>
      <c r="Y29" t="str">
        <f t="shared" si="8"/>
        <v>Office Supplies</v>
      </c>
      <c r="Z29" t="s">
        <v>31</v>
      </c>
      <c r="AA29" t="str">
        <f t="shared" si="9"/>
        <v>Paper</v>
      </c>
      <c r="AB29" t="s">
        <v>231</v>
      </c>
      <c r="AC29" t="s">
        <v>33</v>
      </c>
      <c r="AD29" t="str">
        <f t="shared" si="10"/>
        <v>Second Class</v>
      </c>
      <c r="AE29">
        <v>5</v>
      </c>
      <c r="AF29">
        <v>1806.51</v>
      </c>
      <c r="AG29">
        <v>0.25</v>
      </c>
      <c r="AH29">
        <v>0.25</v>
      </c>
      <c r="AI29" t="str">
        <f t="shared" si="11"/>
        <v>Valid</v>
      </c>
      <c r="AJ29">
        <v>6774.41</v>
      </c>
      <c r="AK29">
        <f t="shared" si="12"/>
        <v>6774.4124999999995</v>
      </c>
      <c r="AL29">
        <v>4710.3599999999997</v>
      </c>
      <c r="AM29">
        <v>2064.0500000000002</v>
      </c>
      <c r="AN29">
        <f t="shared" si="13"/>
        <v>2064.0524999999998</v>
      </c>
      <c r="AO29">
        <f t="shared" si="14"/>
        <v>-4710.3599999999997</v>
      </c>
      <c r="AP29" t="s">
        <v>200</v>
      </c>
      <c r="AQ29" t="str">
        <f t="shared" si="15"/>
        <v>Failed</v>
      </c>
      <c r="AR29" t="s">
        <v>125</v>
      </c>
      <c r="AS29" t="str">
        <f t="shared" si="16"/>
        <v>Returned</v>
      </c>
      <c r="AT29" t="str">
        <f t="shared" si="17"/>
        <v>Clean</v>
      </c>
    </row>
    <row r="30" spans="1:46">
      <c r="A30" t="s">
        <v>232</v>
      </c>
      <c r="B30">
        <f>COUNTIF($D$2:D30,D30)</f>
        <v>2</v>
      </c>
      <c r="C30" t="str">
        <f>IF(COUNTIF($A:$A,A30)=1,
"Unique",
IF(COUNTIFS($A:$A,A30,$N:$N,N30,$AF:$AF,AF30,$AJ:$AJ,AJ30)&gt;1,
"Exact Duplicate",
"Conflicting Duplicate"))</f>
        <v>Unique</v>
      </c>
      <c r="D30" t="s">
        <v>213</v>
      </c>
      <c r="E30" t="s">
        <v>233</v>
      </c>
      <c r="F30" s="3">
        <v>45606</v>
      </c>
      <c r="G30" s="3">
        <v>45583</v>
      </c>
      <c r="H30" s="5" t="str">
        <f t="shared" si="0"/>
        <v>November</v>
      </c>
      <c r="I30" s="5">
        <f t="shared" si="1"/>
        <v>2024</v>
      </c>
      <c r="J30" t="str">
        <f>IF(F30="","Missing Date",
IF(ISNUMBER(F30),"Valid","Invalid Date"))</f>
        <v>Valid</v>
      </c>
      <c r="K30" t="str">
        <f t="shared" si="2"/>
        <v>Valid</v>
      </c>
      <c r="L30">
        <f>G30-F30</f>
        <v>-23</v>
      </c>
      <c r="M30" t="s">
        <v>234</v>
      </c>
      <c r="N30" t="s">
        <v>72</v>
      </c>
      <c r="O30" t="str">
        <f t="shared" si="3"/>
        <v>Ananya Rao</v>
      </c>
      <c r="P30" t="s">
        <v>115</v>
      </c>
      <c r="Q30" t="str">
        <f t="shared" si="4"/>
        <v>Home Office</v>
      </c>
      <c r="R30" t="s">
        <v>73</v>
      </c>
      <c r="S30" t="str">
        <f t="shared" si="5"/>
        <v>West</v>
      </c>
      <c r="T30" t="s">
        <v>235</v>
      </c>
      <c r="U30" t="str">
        <f t="shared" si="6"/>
        <v>Gujarat</v>
      </c>
      <c r="V30" t="s">
        <v>236</v>
      </c>
      <c r="W30" t="str">
        <f t="shared" si="7"/>
        <v>Ahmedabad</v>
      </c>
      <c r="X30" t="s">
        <v>86</v>
      </c>
      <c r="Y30" t="str">
        <f t="shared" si="8"/>
        <v>Technology</v>
      </c>
      <c r="Z30" t="s">
        <v>223</v>
      </c>
      <c r="AA30" t="str">
        <f t="shared" si="9"/>
        <v>Phones</v>
      </c>
      <c r="AB30" t="s">
        <v>237</v>
      </c>
      <c r="AC30" t="s">
        <v>33</v>
      </c>
      <c r="AD30" t="str">
        <f t="shared" si="10"/>
        <v>Second Class</v>
      </c>
      <c r="AE30">
        <v>2</v>
      </c>
      <c r="AF30">
        <v>1942.22</v>
      </c>
      <c r="AG30">
        <v>0.25</v>
      </c>
      <c r="AH30">
        <v>0.25</v>
      </c>
      <c r="AI30" t="str">
        <f t="shared" si="11"/>
        <v>Valid</v>
      </c>
      <c r="AJ30">
        <v>2913.33</v>
      </c>
      <c r="AK30">
        <f t="shared" si="12"/>
        <v>2913.33</v>
      </c>
      <c r="AL30">
        <v>2122.33</v>
      </c>
      <c r="AM30">
        <v>791</v>
      </c>
      <c r="AN30">
        <f t="shared" si="13"/>
        <v>791</v>
      </c>
      <c r="AO30">
        <f t="shared" si="14"/>
        <v>-2122.33</v>
      </c>
      <c r="AP30" t="s">
        <v>124</v>
      </c>
      <c r="AQ30" t="str">
        <f t="shared" si="15"/>
        <v>Refunded</v>
      </c>
      <c r="AR30" t="s">
        <v>78</v>
      </c>
      <c r="AS30" t="str">
        <f t="shared" si="16"/>
        <v>Cancelled</v>
      </c>
      <c r="AT30" t="str">
        <f t="shared" si="17"/>
        <v>Clean</v>
      </c>
    </row>
    <row r="31" spans="1:46">
      <c r="A31" t="s">
        <v>238</v>
      </c>
      <c r="B31">
        <f>COUNTIF($D$2:D31,D31)</f>
        <v>1</v>
      </c>
      <c r="C31" t="str">
        <f>IF(COUNTIF($A:$A,A31)=1,
"Unique",
IF(COUNTIFS($A:$A,A31,$N:$N,N31,$AF:$AF,AF31,$AJ:$AJ,AJ31)&gt;1,
"Exact Duplicate",
"Conflicting Duplicate"))</f>
        <v>Unique</v>
      </c>
      <c r="D31" t="s">
        <v>239</v>
      </c>
      <c r="E31" t="s">
        <v>240</v>
      </c>
      <c r="F31" s="2">
        <v>45882</v>
      </c>
      <c r="G31" s="3">
        <v>45882</v>
      </c>
      <c r="H31" s="5" t="str">
        <f t="shared" si="0"/>
        <v>August</v>
      </c>
      <c r="I31" s="5">
        <f t="shared" si="1"/>
        <v>2025</v>
      </c>
      <c r="J31" t="str">
        <f>IF(F31="","Missing Date",
IF(ISNUMBER(F31),"Valid","Invalid Date"))</f>
        <v>Valid</v>
      </c>
      <c r="K31" t="str">
        <f t="shared" si="2"/>
        <v>Valid</v>
      </c>
      <c r="L31">
        <f>G31-F31</f>
        <v>0</v>
      </c>
      <c r="M31" t="s">
        <v>241</v>
      </c>
      <c r="N31" t="s">
        <v>180</v>
      </c>
      <c r="O31" t="str">
        <f t="shared" si="3"/>
        <v>Rohan Mehta</v>
      </c>
      <c r="P31" t="s">
        <v>115</v>
      </c>
      <c r="Q31" t="str">
        <f t="shared" si="4"/>
        <v>Home Office</v>
      </c>
      <c r="R31" t="s">
        <v>62</v>
      </c>
      <c r="S31" t="str">
        <f t="shared" si="5"/>
        <v>South</v>
      </c>
      <c r="T31" t="s">
        <v>242</v>
      </c>
      <c r="U31" t="str">
        <f t="shared" si="6"/>
        <v>Kerala</v>
      </c>
      <c r="V31" t="s">
        <v>243</v>
      </c>
      <c r="W31" t="str">
        <f t="shared" si="7"/>
        <v>Kochi</v>
      </c>
      <c r="X31" t="s">
        <v>86</v>
      </c>
      <c r="Y31" t="str">
        <f t="shared" si="8"/>
        <v>Technology</v>
      </c>
      <c r="Z31" t="s">
        <v>223</v>
      </c>
      <c r="AA31" t="str">
        <f t="shared" si="9"/>
        <v>Phones</v>
      </c>
      <c r="AB31" t="s">
        <v>244</v>
      </c>
      <c r="AC31" t="s">
        <v>67</v>
      </c>
      <c r="AD31" t="str">
        <f t="shared" si="10"/>
        <v>Standard Class</v>
      </c>
      <c r="AE31">
        <v>1</v>
      </c>
      <c r="AF31">
        <v>256.01</v>
      </c>
      <c r="AG31">
        <v>0.15</v>
      </c>
      <c r="AH31">
        <v>0.15</v>
      </c>
      <c r="AI31" t="str">
        <f t="shared" si="11"/>
        <v>Valid</v>
      </c>
      <c r="AJ31">
        <v>217.61</v>
      </c>
      <c r="AK31">
        <f t="shared" si="12"/>
        <v>217.60849999999999</v>
      </c>
      <c r="AL31">
        <v>119.77</v>
      </c>
      <c r="AM31">
        <v>97.84</v>
      </c>
      <c r="AN31">
        <f t="shared" si="13"/>
        <v>97.838499999999996</v>
      </c>
      <c r="AO31">
        <f t="shared" si="14"/>
        <v>-119.77</v>
      </c>
      <c r="AP31" t="s">
        <v>34</v>
      </c>
      <c r="AQ31" t="str">
        <f t="shared" si="15"/>
        <v>Paid</v>
      </c>
      <c r="AR31" t="s">
        <v>35</v>
      </c>
      <c r="AS31" t="str">
        <f t="shared" si="16"/>
        <v>Completed</v>
      </c>
      <c r="AT31" t="str">
        <f t="shared" si="17"/>
        <v>Clean</v>
      </c>
    </row>
    <row r="32" spans="1:46">
      <c r="A32" t="s">
        <v>245</v>
      </c>
      <c r="B32">
        <f>COUNTIF($D$2:D32,D32)</f>
        <v>1</v>
      </c>
      <c r="C32" t="str">
        <f>IF(COUNTIF($A:$A,A32)=1,
"Unique",
IF(COUNTIFS($A:$A,A32,$N:$N,N32,$AF:$AF,AF32,$AJ:$AJ,AJ32)&gt;1,
"Exact Duplicate",
"Conflicting Duplicate"))</f>
        <v>Unique</v>
      </c>
      <c r="D32" t="s">
        <v>246</v>
      </c>
      <c r="E32" t="s">
        <v>247</v>
      </c>
      <c r="F32" s="2">
        <v>45537</v>
      </c>
      <c r="G32" s="3">
        <v>45334</v>
      </c>
      <c r="H32" s="5" t="str">
        <f t="shared" si="0"/>
        <v>September</v>
      </c>
      <c r="I32" s="5">
        <f t="shared" si="1"/>
        <v>2024</v>
      </c>
      <c r="J32" t="str">
        <f>IF(F32="","Missing Date",
IF(ISNUMBER(F32),"Valid","Invalid Date"))</f>
        <v>Valid</v>
      </c>
      <c r="K32" t="str">
        <f t="shared" si="2"/>
        <v>Valid</v>
      </c>
      <c r="L32">
        <f>G32-F32</f>
        <v>-203</v>
      </c>
      <c r="M32" t="s">
        <v>248</v>
      </c>
      <c r="N32" t="s">
        <v>72</v>
      </c>
      <c r="O32" t="str">
        <f t="shared" si="3"/>
        <v>Ananya Rao</v>
      </c>
      <c r="P32" t="s">
        <v>108</v>
      </c>
      <c r="Q32" t="str">
        <f t="shared" si="4"/>
        <v>Corporate</v>
      </c>
      <c r="R32" t="s">
        <v>73</v>
      </c>
      <c r="S32" t="str">
        <f t="shared" si="5"/>
        <v>West</v>
      </c>
      <c r="T32" t="s">
        <v>249</v>
      </c>
      <c r="U32" t="str">
        <f t="shared" si="6"/>
        <v>Goa</v>
      </c>
      <c r="V32" t="s">
        <v>250</v>
      </c>
      <c r="W32" t="str">
        <f t="shared" si="7"/>
        <v>Panaji</v>
      </c>
      <c r="X32" t="s">
        <v>30</v>
      </c>
      <c r="Y32" t="str">
        <f t="shared" si="8"/>
        <v>Office Supplies</v>
      </c>
      <c r="Z32" t="s">
        <v>109</v>
      </c>
      <c r="AA32" t="str">
        <f t="shared" si="9"/>
        <v>Labels</v>
      </c>
      <c r="AB32" t="s">
        <v>251</v>
      </c>
      <c r="AC32" t="s">
        <v>56</v>
      </c>
      <c r="AD32" t="str">
        <f t="shared" si="10"/>
        <v>First Class</v>
      </c>
      <c r="AE32">
        <v>1</v>
      </c>
      <c r="AF32">
        <v>3421.77</v>
      </c>
      <c r="AG32">
        <v>0.1</v>
      </c>
      <c r="AH32">
        <v>0.1</v>
      </c>
      <c r="AI32" t="str">
        <f t="shared" si="11"/>
        <v>Valid</v>
      </c>
      <c r="AJ32">
        <v>3079.59</v>
      </c>
      <c r="AK32">
        <f t="shared" si="12"/>
        <v>3079.5929999999998</v>
      </c>
      <c r="AL32">
        <v>2001.89</v>
      </c>
      <c r="AM32">
        <v>1077.7</v>
      </c>
      <c r="AN32">
        <f t="shared" si="13"/>
        <v>1077.7029999999997</v>
      </c>
      <c r="AO32">
        <f t="shared" si="14"/>
        <v>-2001.89</v>
      </c>
      <c r="AP32" t="s">
        <v>34</v>
      </c>
      <c r="AQ32" t="str">
        <f t="shared" si="15"/>
        <v>Paid</v>
      </c>
      <c r="AR32" t="s">
        <v>35</v>
      </c>
      <c r="AS32" t="str">
        <f t="shared" si="16"/>
        <v>Completed</v>
      </c>
      <c r="AT32" t="str">
        <f t="shared" si="17"/>
        <v>Clean</v>
      </c>
    </row>
    <row r="33" spans="1:46">
      <c r="A33" t="s">
        <v>252</v>
      </c>
      <c r="B33">
        <f>COUNTIF($D$2:D33,D33)</f>
        <v>1</v>
      </c>
      <c r="C33" t="str">
        <f>IF(COUNTIF($A:$A,A33)=1,
"Unique",
IF(COUNTIFS($A:$A,A33,$N:$N,N33,$AF:$AF,AF33,$AJ:$AJ,AJ33)&gt;1,
"Exact Duplicate",
"Conflicting Duplicate"))</f>
        <v>Unique</v>
      </c>
      <c r="D33" t="s">
        <v>253</v>
      </c>
      <c r="E33" t="s">
        <v>254</v>
      </c>
      <c r="F33" s="3">
        <v>45823</v>
      </c>
      <c r="G33" s="3">
        <v>45827</v>
      </c>
      <c r="H33" s="5" t="str">
        <f t="shared" si="0"/>
        <v>June</v>
      </c>
      <c r="I33" s="5">
        <f t="shared" si="1"/>
        <v>2025</v>
      </c>
      <c r="J33" t="str">
        <f>IF(F33="","Missing Date",
IF(ISNUMBER(F33),"Valid","Invalid Date"))</f>
        <v>Valid</v>
      </c>
      <c r="K33" t="str">
        <f t="shared" si="2"/>
        <v>Valid</v>
      </c>
      <c r="L33">
        <f>G33-F33</f>
        <v>4</v>
      </c>
      <c r="M33" t="s">
        <v>255</v>
      </c>
      <c r="N33" t="s">
        <v>25</v>
      </c>
      <c r="O33" t="str">
        <f t="shared" si="3"/>
        <v>Karan Malhotra</v>
      </c>
      <c r="P33" t="s">
        <v>41</v>
      </c>
      <c r="Q33" t="str">
        <f t="shared" si="4"/>
        <v>Small Business</v>
      </c>
      <c r="R33" t="s">
        <v>73</v>
      </c>
      <c r="S33" t="str">
        <f t="shared" si="5"/>
        <v>West</v>
      </c>
      <c r="T33" t="s">
        <v>84</v>
      </c>
      <c r="U33" t="str">
        <f t="shared" si="6"/>
        <v>Madhya Pradesh</v>
      </c>
      <c r="V33" t="s">
        <v>85</v>
      </c>
      <c r="W33" t="str">
        <f t="shared" si="7"/>
        <v>Indore</v>
      </c>
      <c r="X33" t="s">
        <v>30</v>
      </c>
      <c r="Y33" t="str">
        <f t="shared" si="8"/>
        <v>Office Supplies</v>
      </c>
      <c r="Z33" t="s">
        <v>31</v>
      </c>
      <c r="AA33" t="str">
        <f t="shared" si="9"/>
        <v>Paper</v>
      </c>
      <c r="AB33" t="s">
        <v>256</v>
      </c>
      <c r="AC33" t="s">
        <v>33</v>
      </c>
      <c r="AD33" t="str">
        <f t="shared" si="10"/>
        <v>Second Class</v>
      </c>
      <c r="AE33">
        <v>9</v>
      </c>
      <c r="AF33">
        <v>3092.55</v>
      </c>
      <c r="AG33">
        <v>0</v>
      </c>
      <c r="AH33">
        <v>0</v>
      </c>
      <c r="AI33" t="str">
        <f t="shared" si="11"/>
        <v>Valid</v>
      </c>
      <c r="AJ33">
        <v>27832.95</v>
      </c>
      <c r="AK33">
        <f t="shared" si="12"/>
        <v>27832.95</v>
      </c>
      <c r="AL33">
        <v>17769.75</v>
      </c>
      <c r="AM33">
        <v>10063.200000000001</v>
      </c>
      <c r="AN33">
        <f t="shared" si="13"/>
        <v>10063.200000000001</v>
      </c>
      <c r="AO33">
        <f t="shared" si="14"/>
        <v>-17769.75</v>
      </c>
      <c r="AP33" t="s">
        <v>200</v>
      </c>
      <c r="AQ33" t="str">
        <f t="shared" si="15"/>
        <v>Failed</v>
      </c>
      <c r="AR33" t="s">
        <v>125</v>
      </c>
      <c r="AS33" t="str">
        <f t="shared" si="16"/>
        <v>Returned</v>
      </c>
      <c r="AT33" t="str">
        <f t="shared" si="17"/>
        <v>Clean</v>
      </c>
    </row>
    <row r="34" spans="1:46">
      <c r="A34" t="s">
        <v>257</v>
      </c>
      <c r="B34">
        <f>COUNTIF($D$2:D34,D34)</f>
        <v>1</v>
      </c>
      <c r="C34" t="str">
        <f>IF(COUNTIF($A:$A,A34)=1,
"Unique",
IF(COUNTIFS($A:$A,A34,$N:$N,N34,$AF:$AF,AF34,$AJ:$AJ,AJ34)&gt;1,
"Exact Duplicate",
"Conflicting Duplicate"))</f>
        <v>Unique</v>
      </c>
      <c r="D34" t="s">
        <v>258</v>
      </c>
      <c r="E34" t="s">
        <v>259</v>
      </c>
      <c r="F34" s="3">
        <v>45618</v>
      </c>
      <c r="G34" s="3">
        <v>45622</v>
      </c>
      <c r="H34" s="5" t="str">
        <f t="shared" si="0"/>
        <v>November</v>
      </c>
      <c r="I34" s="5">
        <f t="shared" si="1"/>
        <v>2024</v>
      </c>
      <c r="J34" t="str">
        <f>IF(F34="","Missing Date",
IF(ISNUMBER(F34),"Valid","Invalid Date"))</f>
        <v>Valid</v>
      </c>
      <c r="K34" t="str">
        <f t="shared" si="2"/>
        <v>Valid</v>
      </c>
      <c r="L34">
        <f>G34-F34</f>
        <v>4</v>
      </c>
      <c r="M34" t="s">
        <v>260</v>
      </c>
      <c r="N34" t="s">
        <v>162</v>
      </c>
      <c r="O34" t="str">
        <f t="shared" si="3"/>
        <v>Aarav Sharma</v>
      </c>
      <c r="P34" t="s">
        <v>108</v>
      </c>
      <c r="Q34" t="str">
        <f t="shared" si="4"/>
        <v>Corporate</v>
      </c>
      <c r="R34" t="s">
        <v>62</v>
      </c>
      <c r="S34" t="str">
        <f t="shared" si="5"/>
        <v>South</v>
      </c>
      <c r="T34" t="s">
        <v>100</v>
      </c>
      <c r="U34" t="str">
        <f t="shared" si="6"/>
        <v>Andhra Pradesh</v>
      </c>
      <c r="V34" t="s">
        <v>101</v>
      </c>
      <c r="W34" t="str">
        <f t="shared" si="7"/>
        <v>Vijayawada</v>
      </c>
      <c r="X34" t="s">
        <v>86</v>
      </c>
      <c r="Y34" t="str">
        <f t="shared" si="8"/>
        <v>Technology</v>
      </c>
      <c r="Z34" t="s">
        <v>223</v>
      </c>
      <c r="AA34" t="str">
        <f t="shared" si="9"/>
        <v>Phones</v>
      </c>
      <c r="AB34" t="s">
        <v>261</v>
      </c>
      <c r="AC34" t="s">
        <v>33</v>
      </c>
      <c r="AD34" t="str">
        <f t="shared" si="10"/>
        <v>Second Class</v>
      </c>
      <c r="AE34">
        <v>3</v>
      </c>
      <c r="AF34">
        <v>4001.25</v>
      </c>
      <c r="AG34" t="s">
        <v>4104</v>
      </c>
      <c r="AH34" t="s">
        <v>4105</v>
      </c>
      <c r="AI34" t="str">
        <f t="shared" si="11"/>
        <v>Invalid - Above Range</v>
      </c>
      <c r="AJ34">
        <v>9002.81</v>
      </c>
      <c r="AK34" t="s">
        <v>4104</v>
      </c>
      <c r="AL34">
        <v>7529.92</v>
      </c>
      <c r="AM34">
        <v>1472.89</v>
      </c>
      <c r="AN34" t="s">
        <v>4104</v>
      </c>
      <c r="AO34" t="s">
        <v>4104</v>
      </c>
      <c r="AP34" t="s">
        <v>34</v>
      </c>
      <c r="AQ34" t="str">
        <f t="shared" si="15"/>
        <v>Paid</v>
      </c>
      <c r="AR34" t="s">
        <v>35</v>
      </c>
      <c r="AS34" t="str">
        <f t="shared" si="16"/>
        <v>Completed</v>
      </c>
      <c r="AT34" t="str">
        <f t="shared" si="17"/>
        <v>Clean</v>
      </c>
    </row>
    <row r="35" spans="1:46">
      <c r="A35" t="s">
        <v>262</v>
      </c>
      <c r="B35">
        <f>COUNTIF($D$2:D35,D35)</f>
        <v>1</v>
      </c>
      <c r="C35" t="str">
        <f>IF(COUNTIF($A:$A,A35)=1,
"Unique",
IF(COUNTIFS($A:$A,A35,$N:$N,N35,$AF:$AF,AF35,$AJ:$AJ,AJ35)&gt;1,
"Exact Duplicate",
"Conflicting Duplicate"))</f>
        <v>Unique</v>
      </c>
      <c r="D35" t="s">
        <v>263</v>
      </c>
      <c r="E35" t="s">
        <v>264</v>
      </c>
      <c r="F35" s="3">
        <v>45495</v>
      </c>
      <c r="G35" s="3">
        <v>45500</v>
      </c>
      <c r="H35" s="5" t="str">
        <f t="shared" si="0"/>
        <v>July</v>
      </c>
      <c r="I35" s="5">
        <f t="shared" si="1"/>
        <v>2024</v>
      </c>
      <c r="J35" t="str">
        <f>IF(F35="","Missing Date",
IF(ISNUMBER(F35),"Valid","Invalid Date"))</f>
        <v>Valid</v>
      </c>
      <c r="K35" t="str">
        <f t="shared" si="2"/>
        <v>Valid</v>
      </c>
      <c r="L35">
        <f>G35-F35</f>
        <v>5</v>
      </c>
      <c r="M35" t="s">
        <v>265</v>
      </c>
      <c r="N35" t="s">
        <v>142</v>
      </c>
      <c r="O35" t="str">
        <f t="shared" si="3"/>
        <v>Priya Menon</v>
      </c>
      <c r="P35" t="s">
        <v>115</v>
      </c>
      <c r="Q35" t="str">
        <f t="shared" si="4"/>
        <v>Home Office</v>
      </c>
      <c r="R35" t="s">
        <v>73</v>
      </c>
      <c r="S35" t="str">
        <f t="shared" si="5"/>
        <v>West</v>
      </c>
      <c r="T35" t="s">
        <v>249</v>
      </c>
      <c r="U35" t="str">
        <f t="shared" si="6"/>
        <v>Goa</v>
      </c>
      <c r="V35" t="s">
        <v>250</v>
      </c>
      <c r="W35" t="str">
        <f t="shared" si="7"/>
        <v>Panaji</v>
      </c>
      <c r="X35" t="s">
        <v>45</v>
      </c>
      <c r="Y35" t="str">
        <f t="shared" si="8"/>
        <v>Furniture</v>
      </c>
      <c r="Z35" t="s">
        <v>46</v>
      </c>
      <c r="AA35" t="str">
        <f t="shared" si="9"/>
        <v>Tables</v>
      </c>
      <c r="AB35" t="s">
        <v>266</v>
      </c>
      <c r="AC35" t="s">
        <v>48</v>
      </c>
      <c r="AD35" t="str">
        <f t="shared" si="10"/>
        <v>Same Day</v>
      </c>
      <c r="AE35">
        <v>7</v>
      </c>
      <c r="AF35">
        <v>492.41</v>
      </c>
      <c r="AG35">
        <v>0.25</v>
      </c>
      <c r="AH35">
        <v>0.25</v>
      </c>
      <c r="AI35" t="str">
        <f t="shared" si="11"/>
        <v>Valid</v>
      </c>
      <c r="AJ35">
        <v>2585.15</v>
      </c>
      <c r="AK35">
        <f t="shared" si="12"/>
        <v>2585.1525000000001</v>
      </c>
      <c r="AL35">
        <v>2070.73</v>
      </c>
      <c r="AM35">
        <v>514.41999999999996</v>
      </c>
      <c r="AN35">
        <f t="shared" si="13"/>
        <v>514.42250000000013</v>
      </c>
      <c r="AO35">
        <f t="shared" si="14"/>
        <v>-2070.73</v>
      </c>
      <c r="AP35" t="s">
        <v>34</v>
      </c>
      <c r="AQ35" t="str">
        <f t="shared" si="15"/>
        <v>Paid</v>
      </c>
      <c r="AR35" t="s">
        <v>35</v>
      </c>
      <c r="AS35" t="str">
        <f t="shared" si="16"/>
        <v>Completed</v>
      </c>
      <c r="AT35" t="str">
        <f t="shared" si="17"/>
        <v>Clean</v>
      </c>
    </row>
    <row r="36" spans="1:46">
      <c r="A36" t="s">
        <v>267</v>
      </c>
      <c r="B36">
        <f>COUNTIF($D$2:D36,D36)</f>
        <v>1</v>
      </c>
      <c r="C36" t="str">
        <f>IF(COUNTIF($A:$A,A36)=1,
"Unique",
IF(COUNTIFS($A:$A,A36,$N:$N,N36,$AF:$AF,AF36,$AJ:$AJ,AJ36)&gt;1,
"Exact Duplicate",
"Conflicting Duplicate"))</f>
        <v>Unique</v>
      </c>
      <c r="D36" t="s">
        <v>268</v>
      </c>
      <c r="E36" t="s">
        <v>269</v>
      </c>
      <c r="F36" s="3">
        <v>45688</v>
      </c>
      <c r="G36" s="3">
        <v>45779</v>
      </c>
      <c r="H36" s="5" t="str">
        <f t="shared" si="0"/>
        <v>January</v>
      </c>
      <c r="I36" s="5">
        <f t="shared" si="1"/>
        <v>2025</v>
      </c>
      <c r="J36" t="str">
        <f>IF(F36="","Missing Date",
IF(ISNUMBER(F36),"Valid","Invalid Date"))</f>
        <v>Valid</v>
      </c>
      <c r="K36" t="str">
        <f t="shared" si="2"/>
        <v>Valid</v>
      </c>
      <c r="L36">
        <f>G36-F36</f>
        <v>91</v>
      </c>
      <c r="M36" t="s">
        <v>270</v>
      </c>
      <c r="N36" t="s">
        <v>142</v>
      </c>
      <c r="O36" t="str">
        <f t="shared" si="3"/>
        <v>Priya Menon</v>
      </c>
      <c r="P36" t="s">
        <v>115</v>
      </c>
      <c r="Q36" t="str">
        <f t="shared" si="4"/>
        <v>Home Office</v>
      </c>
      <c r="R36" t="s">
        <v>42</v>
      </c>
      <c r="S36" t="str">
        <f t="shared" si="5"/>
        <v>East</v>
      </c>
      <c r="T36" t="s">
        <v>121</v>
      </c>
      <c r="U36" t="str">
        <f t="shared" si="6"/>
        <v>West Bengal</v>
      </c>
      <c r="V36" t="s">
        <v>122</v>
      </c>
      <c r="W36" t="str">
        <f t="shared" si="7"/>
        <v>Kolkata</v>
      </c>
      <c r="X36" t="s">
        <v>45</v>
      </c>
      <c r="Y36" t="str">
        <f t="shared" si="8"/>
        <v>Furniture</v>
      </c>
      <c r="Z36" t="s">
        <v>76</v>
      </c>
      <c r="AA36" t="str">
        <f t="shared" si="9"/>
        <v>Chairs</v>
      </c>
      <c r="AB36" t="s">
        <v>271</v>
      </c>
      <c r="AC36" t="s">
        <v>4104</v>
      </c>
      <c r="AD36" t="str">
        <f t="shared" si="10"/>
        <v>Unknown</v>
      </c>
      <c r="AE36">
        <v>2</v>
      </c>
      <c r="AF36">
        <v>4159.6899999999996</v>
      </c>
      <c r="AG36">
        <v>0.2</v>
      </c>
      <c r="AH36">
        <v>0.2</v>
      </c>
      <c r="AI36" t="str">
        <f t="shared" si="11"/>
        <v>Valid</v>
      </c>
      <c r="AJ36">
        <v>6655.5</v>
      </c>
      <c r="AK36">
        <f t="shared" si="12"/>
        <v>6655.5039999999999</v>
      </c>
      <c r="AL36">
        <v>4340.21</v>
      </c>
      <c r="AM36">
        <v>2607.3200000000002</v>
      </c>
      <c r="AN36">
        <f t="shared" si="13"/>
        <v>2315.2939999999999</v>
      </c>
      <c r="AO36">
        <f t="shared" si="14"/>
        <v>-4340.21</v>
      </c>
      <c r="AP36" t="s">
        <v>34</v>
      </c>
      <c r="AQ36" t="str">
        <f t="shared" si="15"/>
        <v>Paid</v>
      </c>
      <c r="AR36" t="s">
        <v>35</v>
      </c>
      <c r="AS36" t="str">
        <f t="shared" si="16"/>
        <v>Completed</v>
      </c>
      <c r="AT36" t="str">
        <f t="shared" si="17"/>
        <v>Clean</v>
      </c>
    </row>
    <row r="37" spans="1:46">
      <c r="A37" t="s">
        <v>272</v>
      </c>
      <c r="B37">
        <f>COUNTIF($D$2:D37,D37)</f>
        <v>1</v>
      </c>
      <c r="C37" t="str">
        <f>IF(COUNTIF($A:$A,A37)=1,
"Unique",
IF(COUNTIFS($A:$A,A37,$N:$N,N37,$AF:$AF,AF37,$AJ:$AJ,AJ37)&gt;1,
"Exact Duplicate",
"Conflicting Duplicate"))</f>
        <v>Unique</v>
      </c>
      <c r="D37" t="s">
        <v>273</v>
      </c>
      <c r="E37" t="s">
        <v>274</v>
      </c>
      <c r="F37" s="3">
        <v>45441</v>
      </c>
      <c r="G37" s="2">
        <v>45441</v>
      </c>
      <c r="H37" s="5" t="str">
        <f t="shared" si="0"/>
        <v>May</v>
      </c>
      <c r="I37" s="5">
        <f t="shared" si="1"/>
        <v>2024</v>
      </c>
      <c r="J37" t="str">
        <f>IF(F37="","Missing Date",
IF(ISNUMBER(F37),"Valid","Invalid Date"))</f>
        <v>Valid</v>
      </c>
      <c r="K37" t="str">
        <f t="shared" si="2"/>
        <v>Valid</v>
      </c>
      <c r="L37">
        <f>G37-F37</f>
        <v>0</v>
      </c>
      <c r="M37" t="s">
        <v>275</v>
      </c>
      <c r="N37" t="s">
        <v>168</v>
      </c>
      <c r="O37" t="str">
        <f t="shared" si="3"/>
        <v>Sneha Kapoor</v>
      </c>
      <c r="P37" t="s">
        <v>41</v>
      </c>
      <c r="Q37" t="str">
        <f t="shared" si="4"/>
        <v>Small Business</v>
      </c>
      <c r="R37" t="s">
        <v>73</v>
      </c>
      <c r="S37" t="str">
        <f t="shared" si="5"/>
        <v>West</v>
      </c>
      <c r="T37" t="s">
        <v>235</v>
      </c>
      <c r="U37" t="str">
        <f t="shared" si="6"/>
        <v>Gujarat</v>
      </c>
      <c r="V37" t="s">
        <v>236</v>
      </c>
      <c r="W37" t="str">
        <f t="shared" si="7"/>
        <v>Ahmedabad</v>
      </c>
      <c r="X37" t="s">
        <v>45</v>
      </c>
      <c r="Y37" t="str">
        <f t="shared" si="8"/>
        <v>Furniture</v>
      </c>
      <c r="Z37" t="s">
        <v>204</v>
      </c>
      <c r="AA37" t="str">
        <f t="shared" si="9"/>
        <v>Bookcases</v>
      </c>
      <c r="AB37" t="s">
        <v>276</v>
      </c>
      <c r="AC37" t="s">
        <v>33</v>
      </c>
      <c r="AD37" t="str">
        <f t="shared" si="10"/>
        <v>Second Class</v>
      </c>
      <c r="AE37">
        <v>8</v>
      </c>
      <c r="AF37">
        <v>2507.12</v>
      </c>
      <c r="AG37">
        <v>0.05</v>
      </c>
      <c r="AH37">
        <v>0.05</v>
      </c>
      <c r="AI37" t="str">
        <f t="shared" si="11"/>
        <v>Valid</v>
      </c>
      <c r="AJ37">
        <v>19054.11</v>
      </c>
      <c r="AK37">
        <f t="shared" si="12"/>
        <v>19054.111999999997</v>
      </c>
      <c r="AL37">
        <v>15313.83</v>
      </c>
      <c r="AM37">
        <v>3740.28</v>
      </c>
      <c r="AN37">
        <f t="shared" si="13"/>
        <v>3740.2819999999974</v>
      </c>
      <c r="AO37">
        <f t="shared" si="14"/>
        <v>-15313.83</v>
      </c>
      <c r="AP37" t="s">
        <v>137</v>
      </c>
      <c r="AQ37" t="str">
        <f t="shared" si="15"/>
        <v>Pending</v>
      </c>
      <c r="AR37" t="s">
        <v>125</v>
      </c>
      <c r="AS37" t="str">
        <f t="shared" si="16"/>
        <v>Returned</v>
      </c>
      <c r="AT37" t="str">
        <f t="shared" si="17"/>
        <v>Clean</v>
      </c>
    </row>
    <row r="38" spans="1:46">
      <c r="A38" t="s">
        <v>277</v>
      </c>
      <c r="B38">
        <f>COUNTIF($D$2:D38,D38)</f>
        <v>1</v>
      </c>
      <c r="C38" t="str">
        <f>IF(COUNTIF($A:$A,A38)=1,
"Unique",
IF(COUNTIFS($A:$A,A38,$N:$N,N38,$AF:$AF,AF38,$AJ:$AJ,AJ38)&gt;1,
"Exact Duplicate",
"Conflicting Duplicate"))</f>
        <v>Unique</v>
      </c>
      <c r="D38" t="s">
        <v>278</v>
      </c>
      <c r="E38" t="s">
        <v>279</v>
      </c>
      <c r="F38" s="3">
        <v>45590</v>
      </c>
      <c r="G38" s="2">
        <v>45593</v>
      </c>
      <c r="H38" s="5" t="str">
        <f t="shared" si="0"/>
        <v>October</v>
      </c>
      <c r="I38" s="5">
        <f t="shared" si="1"/>
        <v>2024</v>
      </c>
      <c r="J38" t="str">
        <f>IF(F38="","Missing Date",
IF(ISNUMBER(F38),"Valid","Invalid Date"))</f>
        <v>Valid</v>
      </c>
      <c r="K38" t="str">
        <f t="shared" si="2"/>
        <v>Valid</v>
      </c>
      <c r="L38">
        <f>G38-F38</f>
        <v>3</v>
      </c>
      <c r="M38" t="s">
        <v>280</v>
      </c>
      <c r="N38" t="s">
        <v>180</v>
      </c>
      <c r="O38" t="str">
        <f t="shared" si="3"/>
        <v>Rohan Mehta</v>
      </c>
      <c r="P38" t="s">
        <v>108</v>
      </c>
      <c r="Q38" t="str">
        <f t="shared" si="4"/>
        <v>Corporate</v>
      </c>
      <c r="R38" t="s">
        <v>73</v>
      </c>
      <c r="S38" t="str">
        <f t="shared" si="5"/>
        <v>West</v>
      </c>
      <c r="T38" t="s">
        <v>74</v>
      </c>
      <c r="U38" t="str">
        <f t="shared" si="6"/>
        <v>Maharashtra</v>
      </c>
      <c r="V38" t="s">
        <v>75</v>
      </c>
      <c r="W38" t="str">
        <f t="shared" si="7"/>
        <v>Mumbai</v>
      </c>
      <c r="X38" t="s">
        <v>45</v>
      </c>
      <c r="Y38" t="str">
        <f t="shared" si="8"/>
        <v>Furniture</v>
      </c>
      <c r="Z38" t="s">
        <v>204</v>
      </c>
      <c r="AA38" t="str">
        <f t="shared" si="9"/>
        <v>Bookcases</v>
      </c>
      <c r="AB38" t="s">
        <v>281</v>
      </c>
      <c r="AC38" t="s">
        <v>33</v>
      </c>
      <c r="AD38" t="str">
        <f t="shared" si="10"/>
        <v>Second Class</v>
      </c>
      <c r="AE38">
        <v>3</v>
      </c>
      <c r="AF38">
        <v>3126.47</v>
      </c>
      <c r="AG38">
        <v>0</v>
      </c>
      <c r="AH38">
        <v>0</v>
      </c>
      <c r="AI38" t="str">
        <f t="shared" si="11"/>
        <v>Valid</v>
      </c>
      <c r="AJ38">
        <v>9379.41</v>
      </c>
      <c r="AK38">
        <f t="shared" si="12"/>
        <v>9379.41</v>
      </c>
      <c r="AL38">
        <v>6670.85</v>
      </c>
      <c r="AM38">
        <v>2708.56</v>
      </c>
      <c r="AN38">
        <f t="shared" si="13"/>
        <v>2708.5599999999995</v>
      </c>
      <c r="AO38">
        <f t="shared" si="14"/>
        <v>-6670.85</v>
      </c>
      <c r="AP38" t="s">
        <v>34</v>
      </c>
      <c r="AQ38" t="str">
        <f t="shared" si="15"/>
        <v>Paid</v>
      </c>
      <c r="AR38" t="s">
        <v>125</v>
      </c>
      <c r="AS38" t="str">
        <f t="shared" si="16"/>
        <v>Returned</v>
      </c>
      <c r="AT38" t="str">
        <f t="shared" si="17"/>
        <v>Clean</v>
      </c>
    </row>
    <row r="39" spans="1:46">
      <c r="A39" t="s">
        <v>282</v>
      </c>
      <c r="B39">
        <f>COUNTIF($D$2:D39,D39)</f>
        <v>1</v>
      </c>
      <c r="C39" t="str">
        <f>IF(COUNTIF($A:$A,A39)=1,
"Unique",
IF(COUNTIFS($A:$A,A39,$N:$N,N39,$AF:$AF,AF39,$AJ:$AJ,AJ39)&gt;1,
"Exact Duplicate",
"Conflicting Duplicate"))</f>
        <v>Unique</v>
      </c>
      <c r="D39" t="s">
        <v>283</v>
      </c>
      <c r="E39" t="s">
        <v>283</v>
      </c>
      <c r="F39" s="3">
        <v>45867</v>
      </c>
      <c r="G39" s="3">
        <v>45867</v>
      </c>
      <c r="H39" s="5" t="str">
        <f t="shared" si="0"/>
        <v>July</v>
      </c>
      <c r="I39" s="5">
        <f t="shared" si="1"/>
        <v>2025</v>
      </c>
      <c r="J39" t="str">
        <f>IF(F39="","Missing Date",
IF(ISNUMBER(F39),"Valid","Invalid Date"))</f>
        <v>Valid</v>
      </c>
      <c r="K39" t="str">
        <f t="shared" si="2"/>
        <v>Valid</v>
      </c>
      <c r="L39">
        <f>G39-F39</f>
        <v>0</v>
      </c>
      <c r="M39" t="s">
        <v>284</v>
      </c>
      <c r="N39" t="s">
        <v>210</v>
      </c>
      <c r="O39" t="str">
        <f t="shared" si="3"/>
        <v>Diya Patel</v>
      </c>
      <c r="P39" t="s">
        <v>26</v>
      </c>
      <c r="Q39" t="str">
        <f t="shared" si="4"/>
        <v>Consumer</v>
      </c>
      <c r="R39" t="s">
        <v>73</v>
      </c>
      <c r="S39" t="str">
        <f t="shared" si="5"/>
        <v>West</v>
      </c>
      <c r="T39" t="s">
        <v>74</v>
      </c>
      <c r="U39" t="str">
        <f t="shared" si="6"/>
        <v>Maharashtra</v>
      </c>
      <c r="V39" t="s">
        <v>75</v>
      </c>
      <c r="W39" t="str">
        <f t="shared" si="7"/>
        <v>Mumbai</v>
      </c>
      <c r="X39" t="s">
        <v>86</v>
      </c>
      <c r="Y39" t="str">
        <f t="shared" si="8"/>
        <v>Technology</v>
      </c>
      <c r="Z39" t="s">
        <v>94</v>
      </c>
      <c r="AA39" t="str">
        <f t="shared" si="9"/>
        <v>Copiers</v>
      </c>
      <c r="AB39" t="s">
        <v>285</v>
      </c>
      <c r="AC39" t="s">
        <v>286</v>
      </c>
      <c r="AD39" t="str">
        <f t="shared" si="10"/>
        <v>Standard Class</v>
      </c>
      <c r="AE39">
        <v>4</v>
      </c>
      <c r="AF39">
        <v>1327.54</v>
      </c>
      <c r="AG39">
        <v>0.2</v>
      </c>
      <c r="AH39">
        <v>0.2</v>
      </c>
      <c r="AI39" t="str">
        <f t="shared" si="11"/>
        <v>Valid</v>
      </c>
      <c r="AJ39">
        <v>4248.13</v>
      </c>
      <c r="AK39">
        <f t="shared" si="12"/>
        <v>4248.1279999999997</v>
      </c>
      <c r="AL39">
        <v>3321.09</v>
      </c>
      <c r="AM39">
        <v>927.04</v>
      </c>
      <c r="AN39">
        <f t="shared" si="13"/>
        <v>927.03799999999956</v>
      </c>
      <c r="AO39">
        <f t="shared" si="14"/>
        <v>-3321.09</v>
      </c>
      <c r="AP39" t="s">
        <v>34</v>
      </c>
      <c r="AQ39" t="str">
        <f t="shared" si="15"/>
        <v>Paid</v>
      </c>
      <c r="AR39" t="s">
        <v>35</v>
      </c>
      <c r="AS39" t="str">
        <f t="shared" si="16"/>
        <v>Completed</v>
      </c>
      <c r="AT39" t="str">
        <f t="shared" si="17"/>
        <v>Clean</v>
      </c>
    </row>
    <row r="40" spans="1:46">
      <c r="A40" t="s">
        <v>287</v>
      </c>
      <c r="B40">
        <f>COUNTIF($D$2:D40,D40)</f>
        <v>1</v>
      </c>
      <c r="C40" t="str">
        <f>IF(COUNTIF($A:$A,A40)=1,
"Unique",
IF(COUNTIFS($A:$A,A40,$N:$N,N40,$AF:$AF,AF40,$AJ:$AJ,AJ40)&gt;1,
"Exact Duplicate",
"Conflicting Duplicate"))</f>
        <v>Unique</v>
      </c>
      <c r="D40" t="s">
        <v>288</v>
      </c>
      <c r="E40" t="s">
        <v>289</v>
      </c>
      <c r="F40" s="3">
        <v>45460</v>
      </c>
      <c r="G40" s="3">
        <v>45465</v>
      </c>
      <c r="H40" s="5" t="str">
        <f t="shared" si="0"/>
        <v>June</v>
      </c>
      <c r="I40" s="5">
        <f t="shared" si="1"/>
        <v>2024</v>
      </c>
      <c r="J40" t="str">
        <f>IF(F40="","Missing Date",
IF(ISNUMBER(F40),"Valid","Invalid Date"))</f>
        <v>Valid</v>
      </c>
      <c r="K40" t="str">
        <f t="shared" si="2"/>
        <v>Valid</v>
      </c>
      <c r="L40">
        <f>G40-F40</f>
        <v>5</v>
      </c>
      <c r="M40" t="s">
        <v>290</v>
      </c>
      <c r="N40" t="s">
        <v>162</v>
      </c>
      <c r="O40" t="str">
        <f t="shared" si="3"/>
        <v>Aarav Sharma</v>
      </c>
      <c r="P40" t="s">
        <v>108</v>
      </c>
      <c r="Q40" t="str">
        <f t="shared" si="4"/>
        <v>Corporate</v>
      </c>
      <c r="R40" t="s">
        <v>73</v>
      </c>
      <c r="S40" t="str">
        <f t="shared" si="5"/>
        <v>West</v>
      </c>
      <c r="T40" t="s">
        <v>235</v>
      </c>
      <c r="U40" t="str">
        <f t="shared" si="6"/>
        <v>Gujarat</v>
      </c>
      <c r="V40" t="s">
        <v>236</v>
      </c>
      <c r="W40" t="str">
        <f t="shared" si="7"/>
        <v>Ahmedabad</v>
      </c>
      <c r="X40" t="s">
        <v>86</v>
      </c>
      <c r="Y40" t="str">
        <f t="shared" si="8"/>
        <v>Technology</v>
      </c>
      <c r="Z40" t="s">
        <v>223</v>
      </c>
      <c r="AA40" t="str">
        <f t="shared" si="9"/>
        <v>Phones</v>
      </c>
      <c r="AB40" t="s">
        <v>291</v>
      </c>
      <c r="AC40" t="s">
        <v>56</v>
      </c>
      <c r="AD40" t="str">
        <f t="shared" si="10"/>
        <v>First Class</v>
      </c>
      <c r="AE40">
        <v>7</v>
      </c>
      <c r="AF40">
        <v>2210.6799999999998</v>
      </c>
      <c r="AG40">
        <v>0.1</v>
      </c>
      <c r="AH40">
        <v>0.1</v>
      </c>
      <c r="AI40" t="str">
        <f t="shared" si="11"/>
        <v>Valid</v>
      </c>
      <c r="AJ40">
        <v>13927.28</v>
      </c>
      <c r="AK40">
        <f t="shared" si="12"/>
        <v>13927.284</v>
      </c>
      <c r="AL40">
        <v>10504.87</v>
      </c>
      <c r="AM40">
        <v>3422.41</v>
      </c>
      <c r="AN40">
        <f t="shared" si="13"/>
        <v>3422.4139999999989</v>
      </c>
      <c r="AO40">
        <f t="shared" si="14"/>
        <v>-10504.87</v>
      </c>
      <c r="AP40" t="s">
        <v>34</v>
      </c>
      <c r="AQ40" t="str">
        <f t="shared" si="15"/>
        <v>Paid</v>
      </c>
      <c r="AR40" t="s">
        <v>35</v>
      </c>
      <c r="AS40" t="str">
        <f t="shared" si="16"/>
        <v>Completed</v>
      </c>
      <c r="AT40" t="str">
        <f t="shared" si="17"/>
        <v>Clean</v>
      </c>
    </row>
    <row r="41" spans="1:46">
      <c r="A41" t="s">
        <v>292</v>
      </c>
      <c r="B41">
        <f>COUNTIF($D$2:D41,D41)</f>
        <v>1</v>
      </c>
      <c r="C41" t="str">
        <f>IF(COUNTIF($A:$A,A41)=1,
"Unique",
IF(COUNTIFS($A:$A,A41,$N:$N,N41,$AF:$AF,AF41,$AJ:$AJ,AJ41)&gt;1,
"Exact Duplicate",
"Conflicting Duplicate"))</f>
        <v>Unique</v>
      </c>
      <c r="D41" t="s">
        <v>293</v>
      </c>
      <c r="E41" t="s">
        <v>294</v>
      </c>
      <c r="F41" s="3">
        <v>45637</v>
      </c>
      <c r="G41" s="3">
        <v>45608</v>
      </c>
      <c r="H41" s="5" t="str">
        <f t="shared" si="0"/>
        <v>December</v>
      </c>
      <c r="I41" s="5">
        <f t="shared" si="1"/>
        <v>2024</v>
      </c>
      <c r="J41" t="str">
        <f>IF(F41="","Missing Date",
IF(ISNUMBER(F41),"Valid","Invalid Date"))</f>
        <v>Valid</v>
      </c>
      <c r="K41" t="str">
        <f t="shared" si="2"/>
        <v>Valid</v>
      </c>
      <c r="L41">
        <f>G41-F41</f>
        <v>-29</v>
      </c>
      <c r="M41" t="s">
        <v>295</v>
      </c>
      <c r="N41" t="s">
        <v>40</v>
      </c>
      <c r="O41" t="str">
        <f t="shared" si="3"/>
        <v>Mira Das</v>
      </c>
      <c r="P41" t="s">
        <v>41</v>
      </c>
      <c r="Q41" t="str">
        <f t="shared" si="4"/>
        <v>Small Business</v>
      </c>
      <c r="R41" t="s">
        <v>73</v>
      </c>
      <c r="S41" t="str">
        <f t="shared" si="5"/>
        <v>West</v>
      </c>
      <c r="T41" t="s">
        <v>84</v>
      </c>
      <c r="U41" t="str">
        <f t="shared" si="6"/>
        <v>Madhya Pradesh</v>
      </c>
      <c r="V41" t="s">
        <v>85</v>
      </c>
      <c r="W41" t="str">
        <f t="shared" si="7"/>
        <v>Indore</v>
      </c>
      <c r="X41" t="s">
        <v>86</v>
      </c>
      <c r="Y41" t="str">
        <f t="shared" si="8"/>
        <v>Technology</v>
      </c>
      <c r="Z41" t="s">
        <v>94</v>
      </c>
      <c r="AA41" t="str">
        <f t="shared" si="9"/>
        <v>Copiers</v>
      </c>
      <c r="AB41" t="s">
        <v>296</v>
      </c>
      <c r="AC41" t="s">
        <v>56</v>
      </c>
      <c r="AD41" t="str">
        <f t="shared" si="10"/>
        <v>First Class</v>
      </c>
      <c r="AE41">
        <v>4</v>
      </c>
      <c r="AF41">
        <v>1370.92</v>
      </c>
      <c r="AG41">
        <v>0.1</v>
      </c>
      <c r="AH41">
        <v>0.1</v>
      </c>
      <c r="AI41" t="str">
        <f t="shared" si="11"/>
        <v>Valid</v>
      </c>
      <c r="AJ41">
        <v>4935.3100000000004</v>
      </c>
      <c r="AK41">
        <f t="shared" si="12"/>
        <v>4935.3120000000008</v>
      </c>
      <c r="AL41">
        <v>3374.77</v>
      </c>
      <c r="AM41">
        <v>1560.54</v>
      </c>
      <c r="AN41">
        <f t="shared" si="13"/>
        <v>1560.5420000000008</v>
      </c>
      <c r="AO41">
        <f t="shared" si="14"/>
        <v>-3374.77</v>
      </c>
      <c r="AP41" t="s">
        <v>137</v>
      </c>
      <c r="AQ41" t="str">
        <f t="shared" si="15"/>
        <v>Pending</v>
      </c>
      <c r="AR41" t="s">
        <v>125</v>
      </c>
      <c r="AS41" t="str">
        <f t="shared" si="16"/>
        <v>Returned</v>
      </c>
      <c r="AT41" t="str">
        <f t="shared" si="17"/>
        <v>Clean</v>
      </c>
    </row>
    <row r="42" spans="1:46">
      <c r="A42" t="s">
        <v>297</v>
      </c>
      <c r="B42">
        <f>COUNTIF($D$2:D42,D42)</f>
        <v>1</v>
      </c>
      <c r="C42" t="str">
        <f>IF(COUNTIF($A:$A,A42)=1,
"Unique",
IF(COUNTIFS($A:$A,A42,$N:$N,N42,$AF:$AF,AF42,$AJ:$AJ,AJ42)&gt;1,
"Exact Duplicate",
"Conflicting Duplicate"))</f>
        <v>Unique</v>
      </c>
      <c r="D42" t="s">
        <v>298</v>
      </c>
      <c r="E42" t="s">
        <v>299</v>
      </c>
      <c r="F42" s="3">
        <v>45575</v>
      </c>
      <c r="G42" s="2">
        <v>45581</v>
      </c>
      <c r="H42" s="5" t="str">
        <f t="shared" si="0"/>
        <v>October</v>
      </c>
      <c r="I42" s="5">
        <f t="shared" si="1"/>
        <v>2024</v>
      </c>
      <c r="J42" t="str">
        <f>IF(F42="","Missing Date",
IF(ISNUMBER(F42),"Valid","Invalid Date"))</f>
        <v>Valid</v>
      </c>
      <c r="K42" t="str">
        <f t="shared" si="2"/>
        <v>Valid</v>
      </c>
      <c r="L42">
        <f>G42-F42</f>
        <v>6</v>
      </c>
      <c r="M42" t="s">
        <v>300</v>
      </c>
      <c r="N42" t="s">
        <v>53</v>
      </c>
      <c r="O42" t="str">
        <f t="shared" si="3"/>
        <v>Isha Nair</v>
      </c>
      <c r="P42" t="s">
        <v>115</v>
      </c>
      <c r="Q42" t="str">
        <f t="shared" si="4"/>
        <v>Home Office</v>
      </c>
      <c r="R42" t="s">
        <v>73</v>
      </c>
      <c r="S42" t="str">
        <f t="shared" si="5"/>
        <v>West</v>
      </c>
      <c r="T42" t="s">
        <v>28</v>
      </c>
      <c r="U42" t="str">
        <f t="shared" si="6"/>
        <v>Rajasthan</v>
      </c>
      <c r="V42" t="s">
        <v>135</v>
      </c>
      <c r="W42" t="str">
        <f t="shared" si="7"/>
        <v>Udaipur</v>
      </c>
      <c r="X42" t="s">
        <v>86</v>
      </c>
      <c r="Y42" t="str">
        <f t="shared" si="8"/>
        <v>Technology</v>
      </c>
      <c r="Z42" t="s">
        <v>94</v>
      </c>
      <c r="AA42" t="str">
        <f t="shared" si="9"/>
        <v>Copiers</v>
      </c>
      <c r="AB42" t="s">
        <v>301</v>
      </c>
      <c r="AC42" t="s">
        <v>67</v>
      </c>
      <c r="AD42" t="str">
        <f t="shared" si="10"/>
        <v>Standard Class</v>
      </c>
      <c r="AE42">
        <v>7</v>
      </c>
      <c r="AF42">
        <v>2509.27</v>
      </c>
      <c r="AG42">
        <v>0.2</v>
      </c>
      <c r="AH42">
        <v>0.2</v>
      </c>
      <c r="AI42" t="str">
        <f t="shared" si="11"/>
        <v>Valid</v>
      </c>
      <c r="AJ42">
        <v>14051.91</v>
      </c>
      <c r="AK42">
        <f t="shared" si="12"/>
        <v>14051.912</v>
      </c>
      <c r="AL42">
        <v>11990.37</v>
      </c>
      <c r="AM42">
        <v>2061.54</v>
      </c>
      <c r="AN42">
        <f t="shared" si="13"/>
        <v>2061.5419999999995</v>
      </c>
      <c r="AO42">
        <f t="shared" si="14"/>
        <v>-11990.37</v>
      </c>
      <c r="AP42" t="s">
        <v>34</v>
      </c>
      <c r="AQ42" t="str">
        <f t="shared" si="15"/>
        <v>Paid</v>
      </c>
      <c r="AR42" t="s">
        <v>35</v>
      </c>
      <c r="AS42" t="str">
        <f t="shared" si="16"/>
        <v>Completed</v>
      </c>
      <c r="AT42" t="str">
        <f t="shared" si="17"/>
        <v>Clean</v>
      </c>
    </row>
    <row r="43" spans="1:46">
      <c r="A43" t="s">
        <v>302</v>
      </c>
      <c r="B43">
        <f>COUNTIF($D$2:D43,D43)</f>
        <v>1</v>
      </c>
      <c r="C43" t="str">
        <f>IF(COUNTIF($A:$A,A43)=1,
"Unique",
IF(COUNTIFS($A:$A,A43,$N:$N,N43,$AF:$AF,AF43,$AJ:$AJ,AJ43)&gt;1,
"Exact Duplicate",
"Conflicting Duplicate"))</f>
        <v>Unique</v>
      </c>
      <c r="D43" t="s">
        <v>303</v>
      </c>
      <c r="E43" t="s">
        <v>304</v>
      </c>
      <c r="F43" s="3">
        <v>45363</v>
      </c>
      <c r="G43" s="3">
        <v>45368</v>
      </c>
      <c r="H43" s="5" t="str">
        <f t="shared" si="0"/>
        <v>March</v>
      </c>
      <c r="I43" s="5">
        <f t="shared" si="1"/>
        <v>2024</v>
      </c>
      <c r="J43" t="str">
        <f>IF(F43="","Missing Date",
IF(ISNUMBER(F43),"Valid","Invalid Date"))</f>
        <v>Valid</v>
      </c>
      <c r="K43" t="str">
        <f t="shared" si="2"/>
        <v>Valid</v>
      </c>
      <c r="L43">
        <f>G43-F43</f>
        <v>5</v>
      </c>
      <c r="M43" t="s">
        <v>305</v>
      </c>
      <c r="N43" t="s">
        <v>162</v>
      </c>
      <c r="O43" t="str">
        <f t="shared" si="3"/>
        <v>Aarav Sharma</v>
      </c>
      <c r="P43" t="s">
        <v>41</v>
      </c>
      <c r="Q43" t="str">
        <f t="shared" si="4"/>
        <v>Small Business</v>
      </c>
      <c r="R43" t="s">
        <v>42</v>
      </c>
      <c r="S43" t="str">
        <f t="shared" si="5"/>
        <v>East</v>
      </c>
      <c r="T43" t="s">
        <v>43</v>
      </c>
      <c r="U43" t="str">
        <f t="shared" si="6"/>
        <v>Odisha</v>
      </c>
      <c r="V43" t="s">
        <v>44</v>
      </c>
      <c r="W43" t="str">
        <f t="shared" si="7"/>
        <v>Bhubaneswar</v>
      </c>
      <c r="X43" t="s">
        <v>45</v>
      </c>
      <c r="Y43" t="str">
        <f t="shared" si="8"/>
        <v>Furniture</v>
      </c>
      <c r="Z43" t="s">
        <v>204</v>
      </c>
      <c r="AA43" t="str">
        <f t="shared" si="9"/>
        <v>Bookcases</v>
      </c>
      <c r="AB43" t="s">
        <v>306</v>
      </c>
      <c r="AC43" t="s">
        <v>48</v>
      </c>
      <c r="AD43" t="str">
        <f t="shared" si="10"/>
        <v>Same Day</v>
      </c>
      <c r="AE43">
        <v>8</v>
      </c>
      <c r="AF43">
        <v>855.81</v>
      </c>
      <c r="AG43">
        <v>0</v>
      </c>
      <c r="AH43">
        <v>0</v>
      </c>
      <c r="AI43" t="str">
        <f t="shared" si="11"/>
        <v>Valid</v>
      </c>
      <c r="AJ43">
        <v>6846.48</v>
      </c>
      <c r="AK43">
        <f t="shared" si="12"/>
        <v>6846.48</v>
      </c>
      <c r="AL43">
        <v>4239.8900000000003</v>
      </c>
      <c r="AM43">
        <v>2606.59</v>
      </c>
      <c r="AN43">
        <f t="shared" si="13"/>
        <v>2606.5899999999992</v>
      </c>
      <c r="AO43">
        <f t="shared" si="14"/>
        <v>-4239.8900000000003</v>
      </c>
      <c r="AP43" t="s">
        <v>137</v>
      </c>
      <c r="AQ43" t="str">
        <f t="shared" si="15"/>
        <v>Pending</v>
      </c>
      <c r="AR43" t="s">
        <v>78</v>
      </c>
      <c r="AS43" t="str">
        <f t="shared" si="16"/>
        <v>Cancelled</v>
      </c>
      <c r="AT43" t="str">
        <f t="shared" si="17"/>
        <v>Clean</v>
      </c>
    </row>
    <row r="44" spans="1:46">
      <c r="A44" t="s">
        <v>307</v>
      </c>
      <c r="B44">
        <f>COUNTIF($D$2:D44,D44)</f>
        <v>1</v>
      </c>
      <c r="C44" t="str">
        <f>IF(COUNTIF($A:$A,A44)=1,
"Unique",
IF(COUNTIFS($A:$A,A44,$N:$N,N44,$AF:$AF,AF44,$AJ:$AJ,AJ44)&gt;1,
"Exact Duplicate",
"Conflicting Duplicate"))</f>
        <v>Unique</v>
      </c>
      <c r="D44" t="s">
        <v>308</v>
      </c>
      <c r="E44" t="s">
        <v>309</v>
      </c>
      <c r="F44" s="3">
        <v>45940</v>
      </c>
      <c r="G44" s="2">
        <v>45945</v>
      </c>
      <c r="H44" s="5" t="str">
        <f t="shared" si="0"/>
        <v>October</v>
      </c>
      <c r="I44" s="5">
        <f t="shared" si="1"/>
        <v>2025</v>
      </c>
      <c r="J44" t="str">
        <f>IF(F44="","Missing Date",
IF(ISNUMBER(F44),"Valid","Invalid Date"))</f>
        <v>Valid</v>
      </c>
      <c r="K44" t="str">
        <f t="shared" si="2"/>
        <v>Valid</v>
      </c>
      <c r="L44">
        <f>G44-F44</f>
        <v>5</v>
      </c>
      <c r="M44" t="s">
        <v>310</v>
      </c>
      <c r="N44" t="s">
        <v>61</v>
      </c>
      <c r="O44" t="str">
        <f t="shared" si="3"/>
        <v>Arjun Bose</v>
      </c>
      <c r="P44" t="s">
        <v>108</v>
      </c>
      <c r="Q44" t="str">
        <f t="shared" si="4"/>
        <v>Corporate</v>
      </c>
      <c r="R44" t="s">
        <v>42</v>
      </c>
      <c r="S44" t="str">
        <f t="shared" si="5"/>
        <v>East</v>
      </c>
      <c r="T44" t="s">
        <v>311</v>
      </c>
      <c r="U44" t="str">
        <f t="shared" si="6"/>
        <v>Jharkhand</v>
      </c>
      <c r="V44" t="s">
        <v>312</v>
      </c>
      <c r="W44" t="str">
        <f t="shared" si="7"/>
        <v>Ranchi</v>
      </c>
      <c r="X44" t="s">
        <v>86</v>
      </c>
      <c r="Y44" t="str">
        <f t="shared" si="8"/>
        <v>Technology</v>
      </c>
      <c r="Z44" t="s">
        <v>223</v>
      </c>
      <c r="AA44" t="str">
        <f t="shared" si="9"/>
        <v>Phones</v>
      </c>
      <c r="AB44" t="s">
        <v>313</v>
      </c>
      <c r="AC44" t="s">
        <v>67</v>
      </c>
      <c r="AD44" t="str">
        <f t="shared" si="10"/>
        <v>Standard Class</v>
      </c>
      <c r="AE44">
        <v>8</v>
      </c>
      <c r="AF44">
        <v>979.87</v>
      </c>
      <c r="AG44">
        <v>0.05</v>
      </c>
      <c r="AH44">
        <v>0.05</v>
      </c>
      <c r="AI44" t="str">
        <f t="shared" si="11"/>
        <v>Valid</v>
      </c>
      <c r="AJ44">
        <v>7447.01</v>
      </c>
      <c r="AK44">
        <f t="shared" si="12"/>
        <v>7447.0119999999997</v>
      </c>
      <c r="AL44">
        <v>4496.22</v>
      </c>
      <c r="AM44">
        <v>2950.79</v>
      </c>
      <c r="AN44">
        <f t="shared" si="13"/>
        <v>2950.7919999999995</v>
      </c>
      <c r="AO44">
        <f t="shared" si="14"/>
        <v>-4496.22</v>
      </c>
      <c r="AP44" t="s">
        <v>34</v>
      </c>
      <c r="AQ44" t="str">
        <f t="shared" si="15"/>
        <v>Paid</v>
      </c>
      <c r="AR44" t="s">
        <v>35</v>
      </c>
      <c r="AS44" t="str">
        <f t="shared" si="16"/>
        <v>Completed</v>
      </c>
      <c r="AT44" t="str">
        <f t="shared" si="17"/>
        <v>Clean</v>
      </c>
    </row>
    <row r="45" spans="1:46">
      <c r="A45" t="s">
        <v>314</v>
      </c>
      <c r="B45">
        <f>COUNTIF($D$2:D45,D45)</f>
        <v>1</v>
      </c>
      <c r="C45" t="str">
        <f>IF(COUNTIF($A:$A,A45)=1,
"Unique",
IF(COUNTIFS($A:$A,A45,$N:$N,N45,$AF:$AF,AF45,$AJ:$AJ,AJ45)&gt;1,
"Exact Duplicate",
"Conflicting Duplicate"))</f>
        <v>Unique</v>
      </c>
      <c r="D45" t="s">
        <v>315</v>
      </c>
      <c r="E45" t="s">
        <v>316</v>
      </c>
      <c r="F45" s="3">
        <v>45481</v>
      </c>
      <c r="G45" s="3">
        <v>45487</v>
      </c>
      <c r="H45" s="5" t="str">
        <f t="shared" si="0"/>
        <v>July</v>
      </c>
      <c r="I45" s="5">
        <f t="shared" si="1"/>
        <v>2024</v>
      </c>
      <c r="J45" t="str">
        <f>IF(F45="","Missing Date",
IF(ISNUMBER(F45),"Valid","Invalid Date"))</f>
        <v>Valid</v>
      </c>
      <c r="K45" t="str">
        <f t="shared" si="2"/>
        <v>Valid</v>
      </c>
      <c r="L45">
        <f>G45-F45</f>
        <v>6</v>
      </c>
      <c r="M45" t="s">
        <v>317</v>
      </c>
      <c r="N45" t="s">
        <v>142</v>
      </c>
      <c r="O45" t="str">
        <f t="shared" si="3"/>
        <v>Priya Menon</v>
      </c>
      <c r="P45" t="s">
        <v>41</v>
      </c>
      <c r="Q45" t="str">
        <f t="shared" si="4"/>
        <v>Small Business</v>
      </c>
      <c r="R45" t="s">
        <v>42</v>
      </c>
      <c r="S45" t="str">
        <f t="shared" si="5"/>
        <v>East</v>
      </c>
      <c r="T45" t="s">
        <v>43</v>
      </c>
      <c r="U45" t="str">
        <f t="shared" si="6"/>
        <v>Odisha</v>
      </c>
      <c r="V45" t="s">
        <v>44</v>
      </c>
      <c r="W45" t="str">
        <f t="shared" si="7"/>
        <v>Bhubaneswar</v>
      </c>
      <c r="X45" t="s">
        <v>45</v>
      </c>
      <c r="Y45" t="str">
        <f t="shared" si="8"/>
        <v>Furniture</v>
      </c>
      <c r="Z45" t="s">
        <v>65</v>
      </c>
      <c r="AA45" t="str">
        <f t="shared" si="9"/>
        <v>Furnishings</v>
      </c>
      <c r="AB45" t="s">
        <v>318</v>
      </c>
      <c r="AC45" t="s">
        <v>48</v>
      </c>
      <c r="AD45" t="str">
        <f t="shared" si="10"/>
        <v>Same Day</v>
      </c>
      <c r="AE45">
        <v>3</v>
      </c>
      <c r="AF45">
        <v>1010.23</v>
      </c>
      <c r="AG45">
        <v>0</v>
      </c>
      <c r="AH45">
        <v>0</v>
      </c>
      <c r="AI45" t="str">
        <f t="shared" si="11"/>
        <v>Valid</v>
      </c>
      <c r="AJ45">
        <v>3030.69</v>
      </c>
      <c r="AK45">
        <f t="shared" si="12"/>
        <v>3030.69</v>
      </c>
      <c r="AL45">
        <v>1721.08</v>
      </c>
      <c r="AM45">
        <v>1309.6099999999999</v>
      </c>
      <c r="AN45">
        <f t="shared" si="13"/>
        <v>1309.6100000000001</v>
      </c>
      <c r="AO45">
        <f t="shared" si="14"/>
        <v>-1721.08</v>
      </c>
      <c r="AP45" t="s">
        <v>34</v>
      </c>
      <c r="AQ45" t="str">
        <f t="shared" si="15"/>
        <v>Paid</v>
      </c>
      <c r="AR45" t="s">
        <v>35</v>
      </c>
      <c r="AS45" t="str">
        <f t="shared" si="16"/>
        <v>Completed</v>
      </c>
      <c r="AT45" t="str">
        <f t="shared" si="17"/>
        <v>Clean</v>
      </c>
    </row>
    <row r="46" spans="1:46">
      <c r="A46" t="s">
        <v>319</v>
      </c>
      <c r="B46">
        <f>COUNTIF($D$2:D46,D46)</f>
        <v>1</v>
      </c>
      <c r="C46" t="str">
        <f>IF(COUNTIF($A:$A,A46)=1,
"Unique",
IF(COUNTIFS($A:$A,A46,$N:$N,N46,$AF:$AF,AF46,$AJ:$AJ,AJ46)&gt;1,
"Exact Duplicate",
"Conflicting Duplicate"))</f>
        <v>Unique</v>
      </c>
      <c r="D46" t="s">
        <v>320</v>
      </c>
      <c r="E46" t="s">
        <v>321</v>
      </c>
      <c r="F46" s="3">
        <v>45465</v>
      </c>
      <c r="G46" s="3">
        <v>45468</v>
      </c>
      <c r="H46" s="5" t="str">
        <f t="shared" si="0"/>
        <v>June</v>
      </c>
      <c r="I46" s="5">
        <f t="shared" si="1"/>
        <v>2024</v>
      </c>
      <c r="J46" t="str">
        <f>IF(F46="","Missing Date",
IF(ISNUMBER(F46),"Valid","Invalid Date"))</f>
        <v>Valid</v>
      </c>
      <c r="K46" t="str">
        <f t="shared" si="2"/>
        <v>Valid</v>
      </c>
      <c r="L46">
        <f>G46-F46</f>
        <v>3</v>
      </c>
      <c r="M46" t="s">
        <v>322</v>
      </c>
      <c r="N46" t="s">
        <v>180</v>
      </c>
      <c r="O46" t="str">
        <f t="shared" si="3"/>
        <v>Rohan Mehta</v>
      </c>
      <c r="P46" t="s">
        <v>41</v>
      </c>
      <c r="Q46" t="str">
        <f t="shared" si="4"/>
        <v>Small Business</v>
      </c>
      <c r="R46" t="s">
        <v>27</v>
      </c>
      <c r="S46" t="str">
        <f t="shared" si="5"/>
        <v>North</v>
      </c>
      <c r="T46" t="s">
        <v>323</v>
      </c>
      <c r="U46" t="str">
        <f t="shared" si="6"/>
        <v>Haryana</v>
      </c>
      <c r="V46" t="s">
        <v>324</v>
      </c>
      <c r="W46" t="str">
        <f t="shared" si="7"/>
        <v>Gurugram</v>
      </c>
      <c r="X46" t="s">
        <v>45</v>
      </c>
      <c r="Y46" t="str">
        <f t="shared" si="8"/>
        <v>Furniture</v>
      </c>
      <c r="Z46" t="s">
        <v>76</v>
      </c>
      <c r="AA46" t="str">
        <f t="shared" si="9"/>
        <v>Chairs</v>
      </c>
      <c r="AB46" t="s">
        <v>325</v>
      </c>
      <c r="AC46" t="s">
        <v>67</v>
      </c>
      <c r="AD46" t="str">
        <f t="shared" si="10"/>
        <v>Standard Class</v>
      </c>
      <c r="AE46">
        <v>9</v>
      </c>
      <c r="AF46">
        <v>3329.77</v>
      </c>
      <c r="AG46">
        <v>0.1</v>
      </c>
      <c r="AH46">
        <v>0.1</v>
      </c>
      <c r="AI46" t="str">
        <f t="shared" si="11"/>
        <v>Valid</v>
      </c>
      <c r="AJ46">
        <v>26971.14</v>
      </c>
      <c r="AK46">
        <f t="shared" si="12"/>
        <v>26971.137000000002</v>
      </c>
      <c r="AL46">
        <v>17376.2</v>
      </c>
      <c r="AM46">
        <v>9594.94</v>
      </c>
      <c r="AN46">
        <f t="shared" si="13"/>
        <v>9594.9370000000017</v>
      </c>
      <c r="AO46">
        <f t="shared" si="14"/>
        <v>-17376.2</v>
      </c>
      <c r="AP46" t="s">
        <v>34</v>
      </c>
      <c r="AQ46" t="str">
        <f t="shared" si="15"/>
        <v>Paid</v>
      </c>
      <c r="AR46" t="s">
        <v>35</v>
      </c>
      <c r="AS46" t="str">
        <f t="shared" si="16"/>
        <v>Completed</v>
      </c>
      <c r="AT46" t="str">
        <f t="shared" si="17"/>
        <v>Clean</v>
      </c>
    </row>
    <row r="47" spans="1:46">
      <c r="A47" t="s">
        <v>326</v>
      </c>
      <c r="B47">
        <f>COUNTIF($D$2:D47,D47)</f>
        <v>1</v>
      </c>
      <c r="C47" t="str">
        <f>IF(COUNTIF($A:$A,A47)=1,
"Unique",
IF(COUNTIFS($A:$A,A47,$N:$N,N47,$AF:$AF,AF47,$AJ:$AJ,AJ47)&gt;1,
"Exact Duplicate",
"Conflicting Duplicate"))</f>
        <v>Unique</v>
      </c>
      <c r="D47" t="s">
        <v>327</v>
      </c>
      <c r="E47" t="s">
        <v>328</v>
      </c>
      <c r="F47" s="2">
        <v>45309</v>
      </c>
      <c r="G47" s="3">
        <v>45315</v>
      </c>
      <c r="H47" s="5" t="str">
        <f t="shared" si="0"/>
        <v>January</v>
      </c>
      <c r="I47" s="5">
        <f t="shared" si="1"/>
        <v>2024</v>
      </c>
      <c r="J47" t="str">
        <f>IF(F47="","Missing Date",
IF(ISNUMBER(F47),"Valid","Invalid Date"))</f>
        <v>Valid</v>
      </c>
      <c r="K47" t="str">
        <f t="shared" si="2"/>
        <v>Valid</v>
      </c>
      <c r="L47">
        <f>G47-F47</f>
        <v>6</v>
      </c>
      <c r="M47" t="s">
        <v>329</v>
      </c>
      <c r="N47" t="s">
        <v>53</v>
      </c>
      <c r="O47" t="str">
        <f t="shared" si="3"/>
        <v>Isha Nair</v>
      </c>
      <c r="P47" t="s">
        <v>115</v>
      </c>
      <c r="Q47" t="str">
        <f t="shared" si="4"/>
        <v>Home Office</v>
      </c>
      <c r="R47" t="s">
        <v>42</v>
      </c>
      <c r="S47" t="str">
        <f t="shared" si="5"/>
        <v>East</v>
      </c>
      <c r="T47" t="s">
        <v>186</v>
      </c>
      <c r="U47" t="str">
        <f t="shared" si="6"/>
        <v>Bihar</v>
      </c>
      <c r="V47" t="s">
        <v>187</v>
      </c>
      <c r="W47" t="str">
        <f t="shared" si="7"/>
        <v>Patna</v>
      </c>
      <c r="X47" t="s">
        <v>30</v>
      </c>
      <c r="Y47" t="str">
        <f t="shared" si="8"/>
        <v>Office Supplies</v>
      </c>
      <c r="Z47" t="s">
        <v>54</v>
      </c>
      <c r="AA47" t="str">
        <f t="shared" si="9"/>
        <v>Art</v>
      </c>
      <c r="AB47" t="s">
        <v>330</v>
      </c>
      <c r="AC47" t="s">
        <v>33</v>
      </c>
      <c r="AD47" t="str">
        <f t="shared" si="10"/>
        <v>Second Class</v>
      </c>
      <c r="AE47">
        <v>8</v>
      </c>
      <c r="AF47">
        <v>3927.82</v>
      </c>
      <c r="AG47">
        <v>0.05</v>
      </c>
      <c r="AH47">
        <v>0.05</v>
      </c>
      <c r="AI47" t="str">
        <f t="shared" si="11"/>
        <v>Valid</v>
      </c>
      <c r="AJ47">
        <v>29851.43</v>
      </c>
      <c r="AK47">
        <f t="shared" si="12"/>
        <v>29851.432000000001</v>
      </c>
      <c r="AL47">
        <v>17487.48</v>
      </c>
      <c r="AM47">
        <v>12363.95</v>
      </c>
      <c r="AN47">
        <f t="shared" si="13"/>
        <v>12363.952000000001</v>
      </c>
      <c r="AO47">
        <f t="shared" si="14"/>
        <v>-17487.48</v>
      </c>
      <c r="AP47" t="s">
        <v>137</v>
      </c>
      <c r="AQ47" t="str">
        <f t="shared" si="15"/>
        <v>Pending</v>
      </c>
      <c r="AR47" t="s">
        <v>125</v>
      </c>
      <c r="AS47" t="str">
        <f t="shared" si="16"/>
        <v>Returned</v>
      </c>
      <c r="AT47" t="str">
        <f t="shared" si="17"/>
        <v>Clean</v>
      </c>
    </row>
    <row r="48" spans="1:46">
      <c r="A48" t="s">
        <v>331</v>
      </c>
      <c r="B48">
        <f>COUNTIF($D$2:D48,D48)</f>
        <v>1</v>
      </c>
      <c r="C48" t="str">
        <f>IF(COUNTIF($A:$A,A48)=1,
"Unique",
IF(COUNTIFS($A:$A,A48,$N:$N,N48,$AF:$AF,AF48,$AJ:$AJ,AJ48)&gt;1,
"Exact Duplicate",
"Conflicting Duplicate"))</f>
        <v>Unique</v>
      </c>
      <c r="D48" t="s">
        <v>332</v>
      </c>
      <c r="E48" t="s">
        <v>332</v>
      </c>
      <c r="F48" s="3">
        <v>45492</v>
      </c>
      <c r="G48" s="3">
        <v>45492</v>
      </c>
      <c r="H48" s="5" t="str">
        <f t="shared" si="0"/>
        <v>July</v>
      </c>
      <c r="I48" s="5">
        <f t="shared" si="1"/>
        <v>2024</v>
      </c>
      <c r="J48" t="str">
        <f>IF(F48="","Missing Date",
IF(ISNUMBER(F48),"Valid","Invalid Date"))</f>
        <v>Valid</v>
      </c>
      <c r="K48" t="str">
        <f t="shared" si="2"/>
        <v>Valid</v>
      </c>
      <c r="L48">
        <f>G48-F48</f>
        <v>0</v>
      </c>
      <c r="M48" t="s">
        <v>333</v>
      </c>
      <c r="N48" t="s">
        <v>72</v>
      </c>
      <c r="O48" t="str">
        <f t="shared" si="3"/>
        <v>Ananya Rao</v>
      </c>
      <c r="P48" t="s">
        <v>41</v>
      </c>
      <c r="Q48" t="str">
        <f t="shared" si="4"/>
        <v>Small Business</v>
      </c>
      <c r="R48" t="s">
        <v>62</v>
      </c>
      <c r="S48" t="str">
        <f t="shared" si="5"/>
        <v>South</v>
      </c>
      <c r="T48" t="s">
        <v>242</v>
      </c>
      <c r="U48" t="str">
        <f t="shared" si="6"/>
        <v>Kerala</v>
      </c>
      <c r="V48" t="s">
        <v>243</v>
      </c>
      <c r="W48" t="str">
        <f t="shared" si="7"/>
        <v>Kochi</v>
      </c>
      <c r="X48" t="s">
        <v>45</v>
      </c>
      <c r="Y48" t="str">
        <f t="shared" si="8"/>
        <v>Furniture</v>
      </c>
      <c r="Z48" t="s">
        <v>204</v>
      </c>
      <c r="AA48" t="str">
        <f t="shared" si="9"/>
        <v>Bookcases</v>
      </c>
      <c r="AB48" t="s">
        <v>334</v>
      </c>
      <c r="AC48" t="s">
        <v>67</v>
      </c>
      <c r="AD48" t="str">
        <f t="shared" si="10"/>
        <v>Standard Class</v>
      </c>
      <c r="AE48">
        <v>9</v>
      </c>
      <c r="AF48">
        <v>2386.79</v>
      </c>
      <c r="AG48">
        <v>0.25</v>
      </c>
      <c r="AH48">
        <v>0.25</v>
      </c>
      <c r="AI48" t="str">
        <f t="shared" si="11"/>
        <v>Valid</v>
      </c>
      <c r="AJ48">
        <v>16110.83</v>
      </c>
      <c r="AK48">
        <f t="shared" si="12"/>
        <v>16110.8325</v>
      </c>
      <c r="AL48">
        <v>10680.03</v>
      </c>
      <c r="AM48">
        <v>5430.8</v>
      </c>
      <c r="AN48">
        <f t="shared" si="13"/>
        <v>5430.8024999999998</v>
      </c>
      <c r="AO48">
        <f t="shared" si="14"/>
        <v>-10680.03</v>
      </c>
      <c r="AP48" t="s">
        <v>124</v>
      </c>
      <c r="AQ48" t="str">
        <f t="shared" si="15"/>
        <v>Refunded</v>
      </c>
      <c r="AR48" t="s">
        <v>125</v>
      </c>
      <c r="AS48" t="str">
        <f t="shared" si="16"/>
        <v>Returned</v>
      </c>
      <c r="AT48" t="str">
        <f t="shared" si="17"/>
        <v>Clean</v>
      </c>
    </row>
    <row r="49" spans="1:46">
      <c r="A49" t="s">
        <v>335</v>
      </c>
      <c r="B49">
        <f>COUNTIF($D$2:D49,D49)</f>
        <v>1</v>
      </c>
      <c r="C49" t="str">
        <f>IF(COUNTIF($A:$A,A49)=1,
"Unique",
IF(COUNTIFS($A:$A,A49,$N:$N,N49,$AF:$AF,AF49,$AJ:$AJ,AJ49)&gt;1,
"Exact Duplicate",
"Conflicting Duplicate"))</f>
        <v>Unique</v>
      </c>
      <c r="D49" t="s">
        <v>336</v>
      </c>
      <c r="E49" t="s">
        <v>337</v>
      </c>
      <c r="F49" s="3">
        <v>45634</v>
      </c>
      <c r="G49" s="3">
        <v>45634</v>
      </c>
      <c r="H49" s="5" t="str">
        <f t="shared" si="0"/>
        <v>December</v>
      </c>
      <c r="I49" s="5">
        <f t="shared" si="1"/>
        <v>2024</v>
      </c>
      <c r="J49" t="str">
        <f>IF(F49="","Missing Date",
IF(ISNUMBER(F49),"Valid","Invalid Date"))</f>
        <v>Valid</v>
      </c>
      <c r="K49" t="str">
        <f t="shared" si="2"/>
        <v>Valid</v>
      </c>
      <c r="L49">
        <f>G49-F49</f>
        <v>0</v>
      </c>
      <c r="M49" t="s">
        <v>338</v>
      </c>
      <c r="N49" t="s">
        <v>148</v>
      </c>
      <c r="O49" t="str">
        <f t="shared" si="3"/>
        <v>Rahul Verma</v>
      </c>
      <c r="P49" t="s">
        <v>108</v>
      </c>
      <c r="Q49" t="str">
        <f t="shared" si="4"/>
        <v>Corporate</v>
      </c>
      <c r="R49" t="s">
        <v>62</v>
      </c>
      <c r="S49" t="str">
        <f t="shared" si="5"/>
        <v>South</v>
      </c>
      <c r="T49" t="s">
        <v>339</v>
      </c>
      <c r="U49" t="str">
        <f t="shared" si="6"/>
        <v>Tamil Nadu</v>
      </c>
      <c r="V49" t="s">
        <v>340</v>
      </c>
      <c r="W49" t="str">
        <f t="shared" si="7"/>
        <v>Chennai</v>
      </c>
      <c r="X49" t="s">
        <v>30</v>
      </c>
      <c r="Y49" t="str">
        <f t="shared" si="8"/>
        <v>Office Supplies</v>
      </c>
      <c r="Z49" t="s">
        <v>156</v>
      </c>
      <c r="AA49" t="str">
        <f t="shared" si="9"/>
        <v>Storage</v>
      </c>
      <c r="AB49" t="s">
        <v>341</v>
      </c>
      <c r="AC49" t="s">
        <v>67</v>
      </c>
      <c r="AD49" t="str">
        <f t="shared" si="10"/>
        <v>Standard Class</v>
      </c>
      <c r="AE49">
        <v>8</v>
      </c>
      <c r="AF49">
        <v>2445.31</v>
      </c>
      <c r="AG49">
        <v>0.1</v>
      </c>
      <c r="AH49">
        <v>0.1</v>
      </c>
      <c r="AI49" t="str">
        <f t="shared" si="11"/>
        <v>Valid</v>
      </c>
      <c r="AJ49">
        <v>17606.23</v>
      </c>
      <c r="AK49">
        <f t="shared" si="12"/>
        <v>17606.232</v>
      </c>
      <c r="AL49">
        <v>12438.96</v>
      </c>
      <c r="AM49">
        <v>5167.2700000000004</v>
      </c>
      <c r="AN49">
        <f t="shared" si="13"/>
        <v>5167.2720000000008</v>
      </c>
      <c r="AO49">
        <f t="shared" si="14"/>
        <v>-12438.96</v>
      </c>
      <c r="AP49" t="s">
        <v>34</v>
      </c>
      <c r="AQ49" t="str">
        <f t="shared" si="15"/>
        <v>Paid</v>
      </c>
      <c r="AR49" t="s">
        <v>35</v>
      </c>
      <c r="AS49" t="str">
        <f t="shared" si="16"/>
        <v>Completed</v>
      </c>
      <c r="AT49" t="str">
        <f t="shared" si="17"/>
        <v>Clean</v>
      </c>
    </row>
    <row r="50" spans="1:46">
      <c r="A50" t="s">
        <v>342</v>
      </c>
      <c r="B50">
        <f>COUNTIF($D$2:D50,D50)</f>
        <v>1</v>
      </c>
      <c r="C50" t="str">
        <f>IF(COUNTIF($A:$A,A50)=1,
"Unique",
IF(COUNTIFS($A:$A,A50,$N:$N,N50,$AF:$AF,AF50,$AJ:$AJ,AJ50)&gt;1,
"Exact Duplicate",
"Conflicting Duplicate"))</f>
        <v>Unique</v>
      </c>
      <c r="D50" t="s">
        <v>343</v>
      </c>
      <c r="E50" t="s">
        <v>344</v>
      </c>
      <c r="F50" s="2">
        <v>45687</v>
      </c>
      <c r="G50" s="2">
        <v>45779</v>
      </c>
      <c r="H50" s="5" t="str">
        <f t="shared" si="0"/>
        <v>January</v>
      </c>
      <c r="I50" s="5">
        <f t="shared" si="1"/>
        <v>2025</v>
      </c>
      <c r="J50" t="str">
        <f>IF(F50="","Missing Date",
IF(ISNUMBER(F50),"Valid","Invalid Date"))</f>
        <v>Valid</v>
      </c>
      <c r="K50" t="str">
        <f t="shared" si="2"/>
        <v>Valid</v>
      </c>
      <c r="L50">
        <f>G50-F50</f>
        <v>92</v>
      </c>
      <c r="M50" t="s">
        <v>345</v>
      </c>
      <c r="N50" t="s">
        <v>93</v>
      </c>
      <c r="O50" t="str">
        <f t="shared" si="3"/>
        <v>Neha Gupta</v>
      </c>
      <c r="P50" t="s">
        <v>108</v>
      </c>
      <c r="Q50" t="str">
        <f t="shared" si="4"/>
        <v>Corporate</v>
      </c>
      <c r="R50" t="s">
        <v>73</v>
      </c>
      <c r="S50" t="str">
        <f t="shared" si="5"/>
        <v>West</v>
      </c>
      <c r="T50" t="s">
        <v>74</v>
      </c>
      <c r="U50" t="str">
        <f t="shared" si="6"/>
        <v>Maharashtra</v>
      </c>
      <c r="V50" t="s">
        <v>75</v>
      </c>
      <c r="W50" t="str">
        <f t="shared" si="7"/>
        <v>Mumbai</v>
      </c>
      <c r="X50" t="s">
        <v>45</v>
      </c>
      <c r="Y50" t="str">
        <f t="shared" si="8"/>
        <v>Furniture</v>
      </c>
      <c r="Z50" t="s">
        <v>76</v>
      </c>
      <c r="AA50" t="str">
        <f t="shared" si="9"/>
        <v>Chairs</v>
      </c>
      <c r="AB50" t="s">
        <v>346</v>
      </c>
      <c r="AC50" t="s">
        <v>33</v>
      </c>
      <c r="AD50" t="str">
        <f t="shared" si="10"/>
        <v>Second Class</v>
      </c>
      <c r="AE50">
        <v>7</v>
      </c>
      <c r="AF50">
        <v>4063.66</v>
      </c>
      <c r="AG50">
        <v>0</v>
      </c>
      <c r="AH50">
        <v>0</v>
      </c>
      <c r="AI50" t="str">
        <f t="shared" si="11"/>
        <v>Valid</v>
      </c>
      <c r="AJ50">
        <v>28445.62</v>
      </c>
      <c r="AK50">
        <f t="shared" si="12"/>
        <v>28445.62</v>
      </c>
      <c r="AL50">
        <v>20938.59</v>
      </c>
      <c r="AM50">
        <v>7507.03</v>
      </c>
      <c r="AN50">
        <f t="shared" si="13"/>
        <v>7507.0299999999988</v>
      </c>
      <c r="AO50">
        <f t="shared" si="14"/>
        <v>-20938.59</v>
      </c>
      <c r="AP50" t="s">
        <v>34</v>
      </c>
      <c r="AQ50" t="str">
        <f t="shared" si="15"/>
        <v>Paid</v>
      </c>
      <c r="AR50" t="s">
        <v>35</v>
      </c>
      <c r="AS50" t="str">
        <f t="shared" si="16"/>
        <v>Completed</v>
      </c>
      <c r="AT50" t="str">
        <f t="shared" si="17"/>
        <v>Clean</v>
      </c>
    </row>
    <row r="51" spans="1:46">
      <c r="A51" t="s">
        <v>347</v>
      </c>
      <c r="B51">
        <f>COUNTIF($D$2:D51,D51)</f>
        <v>1</v>
      </c>
      <c r="C51" t="str">
        <f>IF(COUNTIF($A:$A,A51)=1,
"Unique",
IF(COUNTIFS($A:$A,A51,$N:$N,N51,$AF:$AF,AF51,$AJ:$AJ,AJ51)&gt;1,
"Exact Duplicate",
"Conflicting Duplicate"))</f>
        <v>Unique</v>
      </c>
      <c r="D51" t="s">
        <v>348</v>
      </c>
      <c r="E51" t="s">
        <v>349</v>
      </c>
      <c r="F51" s="3">
        <v>45447</v>
      </c>
      <c r="G51" s="2">
        <v>45395</v>
      </c>
      <c r="H51" s="5" t="str">
        <f t="shared" si="0"/>
        <v>June</v>
      </c>
      <c r="I51" s="5">
        <f t="shared" si="1"/>
        <v>2024</v>
      </c>
      <c r="J51" t="str">
        <f>IF(F51="","Missing Date",
IF(ISNUMBER(F51),"Valid","Invalid Date"))</f>
        <v>Valid</v>
      </c>
      <c r="K51" t="str">
        <f t="shared" si="2"/>
        <v>Valid</v>
      </c>
      <c r="L51">
        <f>G51-F51</f>
        <v>-52</v>
      </c>
      <c r="M51" t="s">
        <v>350</v>
      </c>
      <c r="N51" t="s">
        <v>162</v>
      </c>
      <c r="O51" t="str">
        <f t="shared" si="3"/>
        <v>Aarav Sharma</v>
      </c>
      <c r="P51" t="s">
        <v>115</v>
      </c>
      <c r="Q51" t="str">
        <f t="shared" si="4"/>
        <v>Home Office</v>
      </c>
      <c r="R51" t="s">
        <v>27</v>
      </c>
      <c r="S51" t="str">
        <f t="shared" si="5"/>
        <v>North</v>
      </c>
      <c r="T51" t="s">
        <v>174</v>
      </c>
      <c r="U51" t="str">
        <f t="shared" si="6"/>
        <v>Uttar Pradesh</v>
      </c>
      <c r="V51" t="s">
        <v>175</v>
      </c>
      <c r="W51" t="str">
        <f t="shared" si="7"/>
        <v>Noida</v>
      </c>
      <c r="X51" t="s">
        <v>86</v>
      </c>
      <c r="Y51" t="str">
        <f t="shared" si="8"/>
        <v>Technology</v>
      </c>
      <c r="Z51" t="s">
        <v>94</v>
      </c>
      <c r="AA51" t="str">
        <f t="shared" si="9"/>
        <v>Copiers</v>
      </c>
      <c r="AB51" t="s">
        <v>351</v>
      </c>
      <c r="AC51" t="s">
        <v>33</v>
      </c>
      <c r="AD51" t="str">
        <f t="shared" si="10"/>
        <v>Second Class</v>
      </c>
      <c r="AE51">
        <v>9</v>
      </c>
      <c r="AF51">
        <v>792.11</v>
      </c>
      <c r="AG51">
        <v>0.05</v>
      </c>
      <c r="AH51">
        <v>0.05</v>
      </c>
      <c r="AI51" t="str">
        <f t="shared" si="11"/>
        <v>Valid</v>
      </c>
      <c r="AJ51">
        <v>6772.54</v>
      </c>
      <c r="AK51">
        <f t="shared" si="12"/>
        <v>6772.5404999999992</v>
      </c>
      <c r="AL51">
        <v>5755.46</v>
      </c>
      <c r="AM51">
        <v>1017.08</v>
      </c>
      <c r="AN51">
        <f t="shared" si="13"/>
        <v>1017.0804999999991</v>
      </c>
      <c r="AO51">
        <f t="shared" si="14"/>
        <v>-5755.46</v>
      </c>
      <c r="AP51" t="s">
        <v>34</v>
      </c>
      <c r="AQ51" t="str">
        <f t="shared" si="15"/>
        <v>Paid</v>
      </c>
      <c r="AR51" t="s">
        <v>35</v>
      </c>
      <c r="AS51" t="str">
        <f t="shared" si="16"/>
        <v>Completed</v>
      </c>
      <c r="AT51" t="str">
        <f t="shared" si="17"/>
        <v>Clean</v>
      </c>
    </row>
    <row r="52" spans="1:46">
      <c r="A52" t="s">
        <v>352</v>
      </c>
      <c r="B52">
        <f>COUNTIF($D$2:D52,D52)</f>
        <v>1</v>
      </c>
      <c r="C52" t="str">
        <f>IF(COUNTIF($A:$A,A52)=1,
"Unique",
IF(COUNTIFS($A:$A,A52,$N:$N,N52,$AF:$AF,AF52,$AJ:$AJ,AJ52)&gt;1,
"Exact Duplicate",
"Conflicting Duplicate"))</f>
        <v>Unique</v>
      </c>
      <c r="D52" t="s">
        <v>353</v>
      </c>
      <c r="E52" t="s">
        <v>354</v>
      </c>
      <c r="F52" s="3">
        <v>45788</v>
      </c>
      <c r="G52" s="2">
        <v>45796</v>
      </c>
      <c r="H52" s="5" t="str">
        <f t="shared" si="0"/>
        <v>May</v>
      </c>
      <c r="I52" s="5">
        <f t="shared" si="1"/>
        <v>2025</v>
      </c>
      <c r="J52" t="str">
        <f>IF(F52="","Missing Date",
IF(ISNUMBER(F52),"Valid","Invalid Date"))</f>
        <v>Valid</v>
      </c>
      <c r="K52" t="str">
        <f t="shared" si="2"/>
        <v>Valid</v>
      </c>
      <c r="L52">
        <f>G52-F52</f>
        <v>8</v>
      </c>
      <c r="M52" t="s">
        <v>355</v>
      </c>
      <c r="N52" t="s">
        <v>168</v>
      </c>
      <c r="O52" t="str">
        <f t="shared" si="3"/>
        <v>Sneha Kapoor</v>
      </c>
      <c r="P52" t="s">
        <v>26</v>
      </c>
      <c r="Q52" t="str">
        <f t="shared" si="4"/>
        <v>Consumer</v>
      </c>
      <c r="R52" t="s">
        <v>42</v>
      </c>
      <c r="S52" t="str">
        <f t="shared" si="5"/>
        <v>East</v>
      </c>
      <c r="T52" t="s">
        <v>121</v>
      </c>
      <c r="U52" t="str">
        <f t="shared" si="6"/>
        <v>West Bengal</v>
      </c>
      <c r="V52" t="s">
        <v>122</v>
      </c>
      <c r="W52" t="str">
        <f t="shared" si="7"/>
        <v>Kolkata</v>
      </c>
      <c r="X52" t="s">
        <v>86</v>
      </c>
      <c r="Y52" t="str">
        <f t="shared" si="8"/>
        <v>Technology</v>
      </c>
      <c r="Z52" t="s">
        <v>94</v>
      </c>
      <c r="AA52" t="str">
        <f t="shared" si="9"/>
        <v>Copiers</v>
      </c>
      <c r="AB52" t="s">
        <v>356</v>
      </c>
      <c r="AC52" t="s">
        <v>67</v>
      </c>
      <c r="AD52" t="str">
        <f t="shared" si="10"/>
        <v>Standard Class</v>
      </c>
      <c r="AE52">
        <v>1</v>
      </c>
      <c r="AF52">
        <v>2382.8000000000002</v>
      </c>
      <c r="AG52">
        <v>0.15</v>
      </c>
      <c r="AH52">
        <v>0.15</v>
      </c>
      <c r="AI52" t="str">
        <f t="shared" si="11"/>
        <v>Valid</v>
      </c>
      <c r="AJ52">
        <v>2025.38</v>
      </c>
      <c r="AK52">
        <f t="shared" si="12"/>
        <v>2025.38</v>
      </c>
      <c r="AL52">
        <v>1140.6500000000001</v>
      </c>
      <c r="AM52">
        <v>884.73</v>
      </c>
      <c r="AN52">
        <f t="shared" si="13"/>
        <v>884.73</v>
      </c>
      <c r="AO52">
        <f t="shared" si="14"/>
        <v>-1140.6500000000001</v>
      </c>
      <c r="AP52" t="s">
        <v>34</v>
      </c>
      <c r="AQ52" t="str">
        <f t="shared" si="15"/>
        <v>Paid</v>
      </c>
      <c r="AR52" t="s">
        <v>35</v>
      </c>
      <c r="AS52" t="str">
        <f t="shared" si="16"/>
        <v>Completed</v>
      </c>
      <c r="AT52" t="str">
        <f t="shared" si="17"/>
        <v>Clean</v>
      </c>
    </row>
    <row r="53" spans="1:46">
      <c r="A53" t="s">
        <v>357</v>
      </c>
      <c r="B53">
        <f>COUNTIF($D$2:D53,D53)</f>
        <v>1</v>
      </c>
      <c r="C53" t="str">
        <f>IF(COUNTIF($A:$A,A53)=1,
"Unique",
IF(COUNTIFS($A:$A,A53,$N:$N,N53,$AF:$AF,AF53,$AJ:$AJ,AJ53)&gt;1,
"Exact Duplicate",
"Conflicting Duplicate"))</f>
        <v>Unique</v>
      </c>
      <c r="D53" t="s">
        <v>358</v>
      </c>
      <c r="E53" t="s">
        <v>359</v>
      </c>
      <c r="F53" s="2">
        <v>45406</v>
      </c>
      <c r="G53" s="2">
        <v>45411</v>
      </c>
      <c r="H53" s="5" t="str">
        <f t="shared" si="0"/>
        <v>April</v>
      </c>
      <c r="I53" s="5">
        <f t="shared" si="1"/>
        <v>2024</v>
      </c>
      <c r="J53" t="str">
        <f>IF(F53="","Missing Date",
IF(ISNUMBER(F53),"Valid","Invalid Date"))</f>
        <v>Valid</v>
      </c>
      <c r="K53" t="str">
        <f t="shared" si="2"/>
        <v>Valid</v>
      </c>
      <c r="L53">
        <f>G53-F53</f>
        <v>5</v>
      </c>
      <c r="M53" t="s">
        <v>360</v>
      </c>
      <c r="N53" t="s">
        <v>72</v>
      </c>
      <c r="O53" t="str">
        <f t="shared" si="3"/>
        <v>Ananya Rao</v>
      </c>
      <c r="P53" t="s">
        <v>108</v>
      </c>
      <c r="Q53" t="str">
        <f t="shared" si="4"/>
        <v>Corporate</v>
      </c>
      <c r="R53" t="s">
        <v>62</v>
      </c>
      <c r="S53" t="str">
        <f t="shared" si="5"/>
        <v>South</v>
      </c>
      <c r="T53" t="s">
        <v>63</v>
      </c>
      <c r="U53" t="str">
        <f t="shared" si="6"/>
        <v>Telangana</v>
      </c>
      <c r="V53" t="s">
        <v>64</v>
      </c>
      <c r="W53" t="str">
        <f t="shared" si="7"/>
        <v>Hyderabad</v>
      </c>
      <c r="X53" t="s">
        <v>30</v>
      </c>
      <c r="Y53" t="str">
        <f t="shared" si="8"/>
        <v>Office Supplies</v>
      </c>
      <c r="Z53" t="s">
        <v>54</v>
      </c>
      <c r="AA53" t="str">
        <f t="shared" si="9"/>
        <v>Art</v>
      </c>
      <c r="AB53" t="s">
        <v>361</v>
      </c>
      <c r="AC53" t="s">
        <v>67</v>
      </c>
      <c r="AD53" t="str">
        <f t="shared" si="10"/>
        <v>Standard Class</v>
      </c>
      <c r="AE53">
        <v>6</v>
      </c>
      <c r="AF53">
        <v>1528.08</v>
      </c>
      <c r="AG53">
        <v>0</v>
      </c>
      <c r="AH53">
        <v>0</v>
      </c>
      <c r="AI53" t="str">
        <f t="shared" si="11"/>
        <v>Valid</v>
      </c>
      <c r="AJ53">
        <v>9168.48</v>
      </c>
      <c r="AK53">
        <f t="shared" si="12"/>
        <v>9168.48</v>
      </c>
      <c r="AL53">
        <v>7439.77</v>
      </c>
      <c r="AM53">
        <v>1728.71</v>
      </c>
      <c r="AN53">
        <f t="shared" si="13"/>
        <v>1728.7099999999991</v>
      </c>
      <c r="AO53">
        <f t="shared" si="14"/>
        <v>-7439.77</v>
      </c>
      <c r="AP53" t="s">
        <v>34</v>
      </c>
      <c r="AQ53" t="str">
        <f t="shared" si="15"/>
        <v>Paid</v>
      </c>
      <c r="AR53" t="s">
        <v>35</v>
      </c>
      <c r="AS53" t="str">
        <f t="shared" si="16"/>
        <v>Completed</v>
      </c>
      <c r="AT53" t="str">
        <f t="shared" si="17"/>
        <v>Clean</v>
      </c>
    </row>
    <row r="54" spans="1:46">
      <c r="A54" t="s">
        <v>362</v>
      </c>
      <c r="B54">
        <f>COUNTIF($D$2:D54,D54)</f>
        <v>1</v>
      </c>
      <c r="C54" t="str">
        <f>IF(COUNTIF($A:$A,A54)=1,
"Unique",
IF(COUNTIFS($A:$A,A54,$N:$N,N54,$AF:$AF,AF54,$AJ:$AJ,AJ54)&gt;1,
"Exact Duplicate",
"Conflicting Duplicate"))</f>
        <v>Unique</v>
      </c>
      <c r="D54" t="s">
        <v>363</v>
      </c>
      <c r="E54" t="s">
        <v>364</v>
      </c>
      <c r="F54" s="3">
        <v>45591</v>
      </c>
      <c r="G54" s="3">
        <v>45593</v>
      </c>
      <c r="H54" s="5" t="str">
        <f t="shared" si="0"/>
        <v>October</v>
      </c>
      <c r="I54" s="5">
        <f t="shared" si="1"/>
        <v>2024</v>
      </c>
      <c r="J54" t="str">
        <f>IF(F54="","Missing Date",
IF(ISNUMBER(F54),"Valid","Invalid Date"))</f>
        <v>Valid</v>
      </c>
      <c r="K54" t="str">
        <f t="shared" si="2"/>
        <v>Valid</v>
      </c>
      <c r="L54">
        <f>G54-F54</f>
        <v>2</v>
      </c>
      <c r="M54" t="s">
        <v>365</v>
      </c>
      <c r="N54" t="s">
        <v>366</v>
      </c>
      <c r="O54" t="str">
        <f t="shared" si="3"/>
        <v>Kabir Singh</v>
      </c>
      <c r="P54" t="s">
        <v>41</v>
      </c>
      <c r="Q54" t="str">
        <f t="shared" si="4"/>
        <v>Small Business</v>
      </c>
      <c r="R54" t="s">
        <v>27</v>
      </c>
      <c r="S54" t="str">
        <f t="shared" si="5"/>
        <v>North</v>
      </c>
      <c r="T54" t="s">
        <v>28</v>
      </c>
      <c r="U54" t="str">
        <f t="shared" si="6"/>
        <v>Rajasthan</v>
      </c>
      <c r="V54" t="s">
        <v>29</v>
      </c>
      <c r="W54" t="str">
        <f t="shared" si="7"/>
        <v>Jaipur</v>
      </c>
      <c r="X54" t="s">
        <v>45</v>
      </c>
      <c r="Y54" t="str">
        <f t="shared" si="8"/>
        <v>Furniture</v>
      </c>
      <c r="Z54" t="s">
        <v>76</v>
      </c>
      <c r="AA54" t="str">
        <f t="shared" si="9"/>
        <v>Chairs</v>
      </c>
      <c r="AB54" t="s">
        <v>367</v>
      </c>
      <c r="AC54" t="s">
        <v>56</v>
      </c>
      <c r="AD54" t="str">
        <f t="shared" si="10"/>
        <v>First Class</v>
      </c>
      <c r="AE54">
        <v>9</v>
      </c>
      <c r="AF54">
        <v>1399.63</v>
      </c>
      <c r="AG54">
        <v>0</v>
      </c>
      <c r="AH54">
        <v>0</v>
      </c>
      <c r="AI54" t="str">
        <f t="shared" si="11"/>
        <v>Valid</v>
      </c>
      <c r="AJ54">
        <v>12596.67</v>
      </c>
      <c r="AK54">
        <f t="shared" si="12"/>
        <v>12596.670000000002</v>
      </c>
      <c r="AL54">
        <v>10603.29</v>
      </c>
      <c r="AM54">
        <v>1993.38</v>
      </c>
      <c r="AN54">
        <f t="shared" si="13"/>
        <v>1993.380000000001</v>
      </c>
      <c r="AO54">
        <f t="shared" si="14"/>
        <v>-10603.29</v>
      </c>
      <c r="AP54" t="s">
        <v>200</v>
      </c>
      <c r="AQ54" t="str">
        <f t="shared" si="15"/>
        <v>Failed</v>
      </c>
      <c r="AR54" t="s">
        <v>78</v>
      </c>
      <c r="AS54" t="str">
        <f t="shared" si="16"/>
        <v>Cancelled</v>
      </c>
      <c r="AT54" t="str">
        <f t="shared" si="17"/>
        <v>Clean</v>
      </c>
    </row>
    <row r="55" spans="1:46">
      <c r="A55" t="s">
        <v>368</v>
      </c>
      <c r="B55">
        <f>COUNTIF($D$2:D55,D55)</f>
        <v>1</v>
      </c>
      <c r="C55" t="str">
        <f>IF(COUNTIF($A:$A,A55)=1,
"Unique",
IF(COUNTIFS($A:$A,A55,$N:$N,N55,$AF:$AF,AF55,$AJ:$AJ,AJ55)&gt;1,
"Exact Duplicate",
"Conflicting Duplicate"))</f>
        <v>Unique</v>
      </c>
      <c r="D55" t="s">
        <v>369</v>
      </c>
      <c r="E55" t="s">
        <v>370</v>
      </c>
      <c r="F55" s="2">
        <v>45747</v>
      </c>
      <c r="G55" s="3">
        <v>45747</v>
      </c>
      <c r="H55" s="5" t="str">
        <f t="shared" si="0"/>
        <v>March</v>
      </c>
      <c r="I55" s="5">
        <f t="shared" si="1"/>
        <v>2025</v>
      </c>
      <c r="J55" t="str">
        <f>IF(F55="","Missing Date",
IF(ISNUMBER(F55),"Valid","Invalid Date"))</f>
        <v>Valid</v>
      </c>
      <c r="K55" t="str">
        <f t="shared" si="2"/>
        <v>Valid</v>
      </c>
      <c r="L55">
        <f>G55-F55</f>
        <v>0</v>
      </c>
      <c r="M55" t="s">
        <v>371</v>
      </c>
      <c r="N55" t="s">
        <v>366</v>
      </c>
      <c r="O55" t="str">
        <f t="shared" si="3"/>
        <v>Kabir Singh</v>
      </c>
      <c r="P55" t="s">
        <v>115</v>
      </c>
      <c r="Q55" t="str">
        <f t="shared" si="4"/>
        <v>Home Office</v>
      </c>
      <c r="R55" t="s">
        <v>73</v>
      </c>
      <c r="S55" t="str">
        <f t="shared" si="5"/>
        <v>West</v>
      </c>
      <c r="T55" t="s">
        <v>235</v>
      </c>
      <c r="U55" t="str">
        <f t="shared" si="6"/>
        <v>Gujarat</v>
      </c>
      <c r="V55" t="s">
        <v>236</v>
      </c>
      <c r="W55" t="str">
        <f t="shared" si="7"/>
        <v>Ahmedabad</v>
      </c>
      <c r="X55" t="s">
        <v>30</v>
      </c>
      <c r="Y55" t="str">
        <f t="shared" si="8"/>
        <v>Office Supplies</v>
      </c>
      <c r="Z55" t="s">
        <v>156</v>
      </c>
      <c r="AA55" t="str">
        <f t="shared" si="9"/>
        <v>Storage</v>
      </c>
      <c r="AB55" t="s">
        <v>372</v>
      </c>
      <c r="AC55" t="s">
        <v>56</v>
      </c>
      <c r="AD55" t="str">
        <f t="shared" si="10"/>
        <v>First Class</v>
      </c>
      <c r="AE55">
        <v>5</v>
      </c>
      <c r="AF55">
        <v>1207.47</v>
      </c>
      <c r="AG55">
        <v>0.15</v>
      </c>
      <c r="AH55">
        <v>0.15</v>
      </c>
      <c r="AI55" t="str">
        <f t="shared" si="11"/>
        <v>Valid</v>
      </c>
      <c r="AJ55">
        <v>5131.75</v>
      </c>
      <c r="AK55">
        <f t="shared" si="12"/>
        <v>5131.7475000000004</v>
      </c>
      <c r="AL55">
        <v>2838.68</v>
      </c>
      <c r="AM55">
        <v>2293.0700000000002</v>
      </c>
      <c r="AN55">
        <f t="shared" si="13"/>
        <v>2293.0675000000006</v>
      </c>
      <c r="AO55">
        <f t="shared" si="14"/>
        <v>-2838.68</v>
      </c>
      <c r="AP55" t="s">
        <v>34</v>
      </c>
      <c r="AQ55" t="str">
        <f t="shared" si="15"/>
        <v>Paid</v>
      </c>
      <c r="AR55" t="s">
        <v>35</v>
      </c>
      <c r="AS55" t="str">
        <f t="shared" si="16"/>
        <v>Completed</v>
      </c>
      <c r="AT55" t="str">
        <f t="shared" si="17"/>
        <v>Clean</v>
      </c>
    </row>
    <row r="56" spans="1:46">
      <c r="A56" t="s">
        <v>373</v>
      </c>
      <c r="B56">
        <f>COUNTIF($D$2:D56,D56)</f>
        <v>1</v>
      </c>
      <c r="C56" t="str">
        <f>IF(COUNTIF($A:$A,A56)=1,
"Unique",
IF(COUNTIFS($A:$A,A56,$N:$N,N56,$AF:$AF,AF56,$AJ:$AJ,AJ56)&gt;1,
"Exact Duplicate",
"Conflicting Duplicate"))</f>
        <v>Unique</v>
      </c>
      <c r="D56" t="s">
        <v>374</v>
      </c>
      <c r="E56" t="s">
        <v>375</v>
      </c>
      <c r="F56" s="2">
        <v>45807</v>
      </c>
      <c r="G56" s="3">
        <v>45694</v>
      </c>
      <c r="H56" s="5" t="str">
        <f t="shared" si="0"/>
        <v>May</v>
      </c>
      <c r="I56" s="5">
        <f t="shared" si="1"/>
        <v>2025</v>
      </c>
      <c r="J56" t="str">
        <f>IF(F56="","Missing Date",
IF(ISNUMBER(F56),"Valid","Invalid Date"))</f>
        <v>Valid</v>
      </c>
      <c r="K56" t="str">
        <f t="shared" si="2"/>
        <v>Valid</v>
      </c>
      <c r="L56">
        <f>G56-F56</f>
        <v>-113</v>
      </c>
      <c r="M56" t="s">
        <v>376</v>
      </c>
      <c r="N56" t="s">
        <v>61</v>
      </c>
      <c r="O56" t="str">
        <f t="shared" si="3"/>
        <v>Arjun Bose</v>
      </c>
      <c r="P56" t="s">
        <v>108</v>
      </c>
      <c r="Q56" t="str">
        <f t="shared" si="4"/>
        <v>Corporate</v>
      </c>
      <c r="R56" t="s">
        <v>62</v>
      </c>
      <c r="S56" t="str">
        <f t="shared" si="5"/>
        <v>South</v>
      </c>
      <c r="T56" t="s">
        <v>339</v>
      </c>
      <c r="U56" t="str">
        <f t="shared" si="6"/>
        <v>Tamil Nadu</v>
      </c>
      <c r="V56" t="s">
        <v>340</v>
      </c>
      <c r="W56" t="str">
        <f t="shared" si="7"/>
        <v>Chennai</v>
      </c>
      <c r="X56" t="s">
        <v>30</v>
      </c>
      <c r="Y56" t="str">
        <f t="shared" si="8"/>
        <v>Office Supplies</v>
      </c>
      <c r="Z56" t="s">
        <v>109</v>
      </c>
      <c r="AA56" t="str">
        <f t="shared" si="9"/>
        <v>Labels</v>
      </c>
      <c r="AB56" t="s">
        <v>377</v>
      </c>
      <c r="AC56" t="s">
        <v>48</v>
      </c>
      <c r="AD56" t="str">
        <f t="shared" si="10"/>
        <v>Same Day</v>
      </c>
      <c r="AE56">
        <v>8</v>
      </c>
      <c r="AF56">
        <v>474.37</v>
      </c>
      <c r="AG56">
        <v>0.1</v>
      </c>
      <c r="AH56">
        <v>0.1</v>
      </c>
      <c r="AI56" t="str">
        <f t="shared" si="11"/>
        <v>Valid</v>
      </c>
      <c r="AJ56">
        <v>3415.46</v>
      </c>
      <c r="AK56">
        <f t="shared" si="12"/>
        <v>3415.4639999999999</v>
      </c>
      <c r="AL56">
        <v>1993.23</v>
      </c>
      <c r="AM56">
        <v>1422.23</v>
      </c>
      <c r="AN56">
        <f t="shared" si="13"/>
        <v>1422.2339999999999</v>
      </c>
      <c r="AO56">
        <f t="shared" si="14"/>
        <v>-1993.23</v>
      </c>
      <c r="AP56" t="s">
        <v>200</v>
      </c>
      <c r="AQ56" t="str">
        <f t="shared" si="15"/>
        <v>Failed</v>
      </c>
      <c r="AR56" t="s">
        <v>78</v>
      </c>
      <c r="AS56" t="str">
        <f t="shared" si="16"/>
        <v>Cancelled</v>
      </c>
      <c r="AT56" t="str">
        <f t="shared" si="17"/>
        <v>Clean</v>
      </c>
    </row>
    <row r="57" spans="1:46">
      <c r="A57" t="s">
        <v>378</v>
      </c>
      <c r="B57">
        <f>COUNTIF($D$2:D57,D57)</f>
        <v>1</v>
      </c>
      <c r="C57" t="str">
        <f>IF(COUNTIF($A:$A,A57)=1,
"Unique",
IF(COUNTIFS($A:$A,A57,$N:$N,N57,$AF:$AF,AF57,$AJ:$AJ,AJ57)&gt;1,
"Exact Duplicate",
"Conflicting Duplicate"))</f>
        <v>Unique</v>
      </c>
      <c r="D57" t="s">
        <v>379</v>
      </c>
      <c r="E57" t="s">
        <v>380</v>
      </c>
      <c r="F57" s="3">
        <v>45664</v>
      </c>
      <c r="G57" s="3">
        <v>45723</v>
      </c>
      <c r="H57" s="5" t="str">
        <f t="shared" si="0"/>
        <v>January</v>
      </c>
      <c r="I57" s="5">
        <f t="shared" si="1"/>
        <v>2025</v>
      </c>
      <c r="J57" t="str">
        <f>IF(F57="","Missing Date",
IF(ISNUMBER(F57),"Valid","Invalid Date"))</f>
        <v>Valid</v>
      </c>
      <c r="K57" t="str">
        <f t="shared" si="2"/>
        <v>Valid</v>
      </c>
      <c r="L57">
        <f>G57-F57</f>
        <v>59</v>
      </c>
      <c r="M57" t="s">
        <v>381</v>
      </c>
      <c r="N57" t="s">
        <v>40</v>
      </c>
      <c r="O57" t="str">
        <f t="shared" si="3"/>
        <v>Mira Das</v>
      </c>
      <c r="P57" t="s">
        <v>41</v>
      </c>
      <c r="Q57" t="str">
        <f t="shared" si="4"/>
        <v>Small Business</v>
      </c>
      <c r="R57" t="s">
        <v>62</v>
      </c>
      <c r="S57" t="str">
        <f t="shared" si="5"/>
        <v>South</v>
      </c>
      <c r="T57" t="s">
        <v>100</v>
      </c>
      <c r="U57" t="str">
        <f t="shared" si="6"/>
        <v>Andhra Pradesh</v>
      </c>
      <c r="V57" t="s">
        <v>101</v>
      </c>
      <c r="W57" t="str">
        <f t="shared" si="7"/>
        <v>Vijayawada</v>
      </c>
      <c r="X57" t="s">
        <v>86</v>
      </c>
      <c r="Y57" t="str">
        <f t="shared" si="8"/>
        <v>Technology</v>
      </c>
      <c r="Z57" t="s">
        <v>382</v>
      </c>
      <c r="AA57" t="str">
        <f t="shared" si="9"/>
        <v>Machines</v>
      </c>
      <c r="AB57" t="s">
        <v>383</v>
      </c>
      <c r="AC57" t="s">
        <v>48</v>
      </c>
      <c r="AD57" t="str">
        <f t="shared" si="10"/>
        <v>Same Day</v>
      </c>
      <c r="AE57">
        <v>3</v>
      </c>
      <c r="AF57">
        <v>1516.24</v>
      </c>
      <c r="AG57">
        <v>0.25</v>
      </c>
      <c r="AH57">
        <v>0.25</v>
      </c>
      <c r="AI57" t="str">
        <f t="shared" si="11"/>
        <v>Valid</v>
      </c>
      <c r="AJ57">
        <v>3411.54</v>
      </c>
      <c r="AK57">
        <f t="shared" si="12"/>
        <v>3411.54</v>
      </c>
      <c r="AL57">
        <v>2803.13</v>
      </c>
      <c r="AM57">
        <v>608.41</v>
      </c>
      <c r="AN57">
        <f t="shared" si="13"/>
        <v>608.40999999999985</v>
      </c>
      <c r="AO57">
        <f t="shared" si="14"/>
        <v>-2803.13</v>
      </c>
      <c r="AP57" t="s">
        <v>34</v>
      </c>
      <c r="AQ57" t="str">
        <f t="shared" si="15"/>
        <v>Paid</v>
      </c>
      <c r="AR57" t="s">
        <v>35</v>
      </c>
      <c r="AS57" t="str">
        <f t="shared" si="16"/>
        <v>Completed</v>
      </c>
      <c r="AT57" t="str">
        <f t="shared" si="17"/>
        <v>Clean</v>
      </c>
    </row>
    <row r="58" spans="1:46">
      <c r="A58" t="s">
        <v>384</v>
      </c>
      <c r="B58">
        <f>COUNTIF($D$2:D58,D58)</f>
        <v>1</v>
      </c>
      <c r="C58" t="str">
        <f>IF(COUNTIF($A:$A,A58)=1,
"Unique",
IF(COUNTIFS($A:$A,A58,$N:$N,N58,$AF:$AF,AF58,$AJ:$AJ,AJ58)&gt;1,
"Exact Duplicate",
"Conflicting Duplicate"))</f>
        <v>Unique</v>
      </c>
      <c r="D58" t="s">
        <v>385</v>
      </c>
      <c r="E58" t="s">
        <v>386</v>
      </c>
      <c r="F58" s="3">
        <v>45778</v>
      </c>
      <c r="G58" s="3">
        <v>45809</v>
      </c>
      <c r="H58" s="5" t="str">
        <f t="shared" si="0"/>
        <v>May</v>
      </c>
      <c r="I58" s="5">
        <f t="shared" si="1"/>
        <v>2025</v>
      </c>
      <c r="J58" t="str">
        <f>IF(F58="","Missing Date",
IF(ISNUMBER(F58),"Valid","Invalid Date"))</f>
        <v>Valid</v>
      </c>
      <c r="K58" t="str">
        <f t="shared" si="2"/>
        <v>Valid</v>
      </c>
      <c r="L58">
        <f>G58-F58</f>
        <v>31</v>
      </c>
      <c r="M58" t="s">
        <v>387</v>
      </c>
      <c r="N58" t="s">
        <v>25</v>
      </c>
      <c r="O58" t="str">
        <f t="shared" si="3"/>
        <v>Karan Malhotra</v>
      </c>
      <c r="P58" t="s">
        <v>26</v>
      </c>
      <c r="Q58" t="str">
        <f t="shared" si="4"/>
        <v>Consumer</v>
      </c>
      <c r="R58" t="s">
        <v>62</v>
      </c>
      <c r="S58" t="str">
        <f t="shared" si="5"/>
        <v>South</v>
      </c>
      <c r="T58" t="s">
        <v>229</v>
      </c>
      <c r="U58" t="str">
        <f t="shared" si="6"/>
        <v>Karnataka</v>
      </c>
      <c r="V58" t="s">
        <v>230</v>
      </c>
      <c r="W58" t="str">
        <f t="shared" si="7"/>
        <v>Bengaluru</v>
      </c>
      <c r="X58" t="s">
        <v>30</v>
      </c>
      <c r="Y58" t="str">
        <f t="shared" si="8"/>
        <v>Office Supplies</v>
      </c>
      <c r="Z58" t="s">
        <v>198</v>
      </c>
      <c r="AA58" t="str">
        <f t="shared" si="9"/>
        <v>Binders</v>
      </c>
      <c r="AB58" t="s">
        <v>388</v>
      </c>
      <c r="AC58" t="s">
        <v>33</v>
      </c>
      <c r="AD58" t="str">
        <f t="shared" si="10"/>
        <v>Second Class</v>
      </c>
      <c r="AE58">
        <v>3</v>
      </c>
      <c r="AF58">
        <v>3155.61</v>
      </c>
      <c r="AG58">
        <v>0</v>
      </c>
      <c r="AH58">
        <v>0</v>
      </c>
      <c r="AI58" t="str">
        <f t="shared" si="11"/>
        <v>Valid</v>
      </c>
      <c r="AJ58">
        <v>9466.83</v>
      </c>
      <c r="AK58">
        <f t="shared" si="12"/>
        <v>9466.83</v>
      </c>
      <c r="AL58">
        <v>6557.83</v>
      </c>
      <c r="AM58">
        <v>2909</v>
      </c>
      <c r="AN58">
        <f t="shared" si="13"/>
        <v>2909</v>
      </c>
      <c r="AO58">
        <f t="shared" si="14"/>
        <v>-6557.83</v>
      </c>
      <c r="AP58" t="s">
        <v>124</v>
      </c>
      <c r="AQ58" t="str">
        <f t="shared" si="15"/>
        <v>Refunded</v>
      </c>
      <c r="AR58" t="s">
        <v>78</v>
      </c>
      <c r="AS58" t="str">
        <f t="shared" si="16"/>
        <v>Cancelled</v>
      </c>
      <c r="AT58" t="str">
        <f t="shared" si="17"/>
        <v>Clean</v>
      </c>
    </row>
    <row r="59" spans="1:46">
      <c r="A59" t="s">
        <v>389</v>
      </c>
      <c r="B59">
        <f>COUNTIF($D$2:D59,D59)</f>
        <v>1</v>
      </c>
      <c r="C59" t="str">
        <f>IF(COUNTIF($A:$A,A59)=1,
"Unique",
IF(COUNTIFS($A:$A,A59,$N:$N,N59,$AF:$AF,AF59,$AJ:$AJ,AJ59)&gt;1,
"Exact Duplicate",
"Conflicting Duplicate"))</f>
        <v>Unique</v>
      </c>
      <c r="D59" t="s">
        <v>390</v>
      </c>
      <c r="E59" t="s">
        <v>391</v>
      </c>
      <c r="F59" s="3">
        <v>45475</v>
      </c>
      <c r="G59" s="2">
        <v>45337</v>
      </c>
      <c r="H59" s="5" t="str">
        <f t="shared" si="0"/>
        <v>July</v>
      </c>
      <c r="I59" s="5">
        <f t="shared" si="1"/>
        <v>2024</v>
      </c>
      <c r="J59" t="str">
        <f>IF(F59="","Missing Date",
IF(ISNUMBER(F59),"Valid","Invalid Date"))</f>
        <v>Valid</v>
      </c>
      <c r="K59" t="str">
        <f t="shared" si="2"/>
        <v>Valid</v>
      </c>
      <c r="L59">
        <f>G59-F59</f>
        <v>-138</v>
      </c>
      <c r="M59" t="s">
        <v>392</v>
      </c>
      <c r="N59" t="s">
        <v>142</v>
      </c>
      <c r="O59" t="str">
        <f t="shared" si="3"/>
        <v>Priya Menon</v>
      </c>
      <c r="P59" t="s">
        <v>26</v>
      </c>
      <c r="Q59" t="str">
        <f t="shared" si="4"/>
        <v>Consumer</v>
      </c>
      <c r="R59" t="s">
        <v>73</v>
      </c>
      <c r="S59" t="str">
        <f t="shared" si="5"/>
        <v>West</v>
      </c>
      <c r="T59" t="s">
        <v>249</v>
      </c>
      <c r="U59" t="str">
        <f t="shared" si="6"/>
        <v>Goa</v>
      </c>
      <c r="V59" t="s">
        <v>250</v>
      </c>
      <c r="W59" t="str">
        <f t="shared" si="7"/>
        <v>Panaji</v>
      </c>
      <c r="X59" t="s">
        <v>45</v>
      </c>
      <c r="Y59" t="str">
        <f t="shared" si="8"/>
        <v>Furniture</v>
      </c>
      <c r="Z59" t="s">
        <v>76</v>
      </c>
      <c r="AA59" t="str">
        <f t="shared" si="9"/>
        <v>Chairs</v>
      </c>
      <c r="AB59" t="s">
        <v>393</v>
      </c>
      <c r="AC59" t="s">
        <v>48</v>
      </c>
      <c r="AD59" t="str">
        <f t="shared" si="10"/>
        <v>Same Day</v>
      </c>
      <c r="AE59">
        <v>5</v>
      </c>
      <c r="AF59">
        <v>255.87</v>
      </c>
      <c r="AG59">
        <v>0</v>
      </c>
      <c r="AH59">
        <v>0</v>
      </c>
      <c r="AI59" t="str">
        <f t="shared" si="11"/>
        <v>Valid</v>
      </c>
      <c r="AJ59">
        <v>1279.3499999999999</v>
      </c>
      <c r="AK59">
        <f t="shared" si="12"/>
        <v>1279.3499999999999</v>
      </c>
      <c r="AL59">
        <v>1091.54</v>
      </c>
      <c r="AM59">
        <v>187.81</v>
      </c>
      <c r="AN59">
        <f t="shared" si="13"/>
        <v>187.80999999999995</v>
      </c>
      <c r="AO59">
        <f t="shared" si="14"/>
        <v>-1091.54</v>
      </c>
      <c r="AP59" t="s">
        <v>34</v>
      </c>
      <c r="AQ59" t="str">
        <f t="shared" si="15"/>
        <v>Paid</v>
      </c>
      <c r="AR59" t="s">
        <v>35</v>
      </c>
      <c r="AS59" t="str">
        <f t="shared" si="16"/>
        <v>Completed</v>
      </c>
      <c r="AT59" t="str">
        <f t="shared" si="17"/>
        <v>Clean</v>
      </c>
    </row>
    <row r="60" spans="1:46">
      <c r="A60" t="s">
        <v>394</v>
      </c>
      <c r="B60">
        <f>COUNTIF($D$2:D60,D60)</f>
        <v>1</v>
      </c>
      <c r="C60" t="str">
        <f>IF(COUNTIF($A:$A,A60)=1,
"Unique",
IF(COUNTIFS($A:$A,A60,$N:$N,N60,$AF:$AF,AF60,$AJ:$AJ,AJ60)&gt;1,
"Exact Duplicate",
"Conflicting Duplicate"))</f>
        <v>Unique</v>
      </c>
      <c r="D60" t="s">
        <v>395</v>
      </c>
      <c r="E60" t="s">
        <v>396</v>
      </c>
      <c r="F60" s="3">
        <v>45300</v>
      </c>
      <c r="G60" s="3">
        <v>45482</v>
      </c>
      <c r="H60" s="5" t="str">
        <f t="shared" si="0"/>
        <v>January</v>
      </c>
      <c r="I60" s="5">
        <f t="shared" si="1"/>
        <v>2024</v>
      </c>
      <c r="J60" t="str">
        <f>IF(F60="","Missing Date",
IF(ISNUMBER(F60),"Valid","Invalid Date"))</f>
        <v>Valid</v>
      </c>
      <c r="K60" t="str">
        <f t="shared" si="2"/>
        <v>Valid</v>
      </c>
      <c r="L60">
        <f>G60-F60</f>
        <v>182</v>
      </c>
      <c r="M60" t="s">
        <v>397</v>
      </c>
      <c r="N60" t="s">
        <v>53</v>
      </c>
      <c r="O60" t="str">
        <f t="shared" si="3"/>
        <v>Isha Nair</v>
      </c>
      <c r="P60" t="s">
        <v>115</v>
      </c>
      <c r="Q60" t="str">
        <f t="shared" si="4"/>
        <v>Home Office</v>
      </c>
      <c r="R60" t="s">
        <v>27</v>
      </c>
      <c r="S60" t="str">
        <f t="shared" si="5"/>
        <v>North</v>
      </c>
      <c r="T60" t="s">
        <v>28</v>
      </c>
      <c r="U60" t="str">
        <f t="shared" si="6"/>
        <v>Rajasthan</v>
      </c>
      <c r="V60" t="s">
        <v>29</v>
      </c>
      <c r="W60" t="str">
        <f t="shared" si="7"/>
        <v>Jaipur</v>
      </c>
      <c r="X60" t="s">
        <v>30</v>
      </c>
      <c r="Y60" t="str">
        <f t="shared" si="8"/>
        <v>Office Supplies</v>
      </c>
      <c r="Z60" t="s">
        <v>156</v>
      </c>
      <c r="AA60" t="str">
        <f t="shared" si="9"/>
        <v>Storage</v>
      </c>
      <c r="AB60" t="s">
        <v>398</v>
      </c>
      <c r="AC60" t="s">
        <v>4104</v>
      </c>
      <c r="AD60" t="str">
        <f t="shared" si="10"/>
        <v>Unknown</v>
      </c>
      <c r="AE60">
        <v>9</v>
      </c>
      <c r="AF60">
        <v>1389.48</v>
      </c>
      <c r="AG60">
        <v>0.1</v>
      </c>
      <c r="AH60">
        <v>0.1</v>
      </c>
      <c r="AI60" t="str">
        <f t="shared" si="11"/>
        <v>Valid</v>
      </c>
      <c r="AJ60">
        <v>11254.79</v>
      </c>
      <c r="AK60">
        <f t="shared" si="12"/>
        <v>11254.788</v>
      </c>
      <c r="AL60">
        <v>6578.06</v>
      </c>
      <c r="AM60">
        <v>4676.7299999999996</v>
      </c>
      <c r="AN60">
        <f t="shared" si="13"/>
        <v>4676.7280000000001</v>
      </c>
      <c r="AO60">
        <f t="shared" si="14"/>
        <v>-6578.06</v>
      </c>
      <c r="AP60" t="s">
        <v>137</v>
      </c>
      <c r="AQ60" t="str">
        <f t="shared" si="15"/>
        <v>Pending</v>
      </c>
      <c r="AR60" t="s">
        <v>125</v>
      </c>
      <c r="AS60" t="str">
        <f t="shared" si="16"/>
        <v>Returned</v>
      </c>
      <c r="AT60" t="str">
        <f t="shared" si="17"/>
        <v>Clean</v>
      </c>
    </row>
    <row r="61" spans="1:46">
      <c r="A61" t="s">
        <v>399</v>
      </c>
      <c r="B61">
        <f>COUNTIF($D$2:D61,D61)</f>
        <v>1</v>
      </c>
      <c r="C61" t="str">
        <f>IF(COUNTIF($A:$A,A61)=1,
"Unique",
IF(COUNTIFS($A:$A,A61,$N:$N,N61,$AF:$AF,AF61,$AJ:$AJ,AJ61)&gt;1,
"Exact Duplicate",
"Conflicting Duplicate"))</f>
        <v>Unique</v>
      </c>
      <c r="D61" t="s">
        <v>400</v>
      </c>
      <c r="E61" t="s">
        <v>401</v>
      </c>
      <c r="F61" s="3">
        <v>45493</v>
      </c>
      <c r="G61" s="2">
        <v>45498</v>
      </c>
      <c r="H61" s="5" t="str">
        <f t="shared" si="0"/>
        <v>July</v>
      </c>
      <c r="I61" s="5">
        <f t="shared" si="1"/>
        <v>2024</v>
      </c>
      <c r="J61" t="str">
        <f>IF(F61="","Missing Date",
IF(ISNUMBER(F61),"Valid","Invalid Date"))</f>
        <v>Valid</v>
      </c>
      <c r="K61" t="str">
        <f t="shared" si="2"/>
        <v>Valid</v>
      </c>
      <c r="L61">
        <f>G61-F61</f>
        <v>5</v>
      </c>
      <c r="M61" t="s">
        <v>402</v>
      </c>
      <c r="N61" t="s">
        <v>142</v>
      </c>
      <c r="O61" t="str">
        <f t="shared" si="3"/>
        <v>Priya Menon</v>
      </c>
      <c r="P61" t="s">
        <v>108</v>
      </c>
      <c r="Q61" t="str">
        <f t="shared" si="4"/>
        <v>Corporate</v>
      </c>
      <c r="R61" t="s">
        <v>42</v>
      </c>
      <c r="S61" t="str">
        <f t="shared" si="5"/>
        <v>East</v>
      </c>
      <c r="T61" t="s">
        <v>216</v>
      </c>
      <c r="U61" t="str">
        <f t="shared" si="6"/>
        <v>Assam</v>
      </c>
      <c r="V61" t="s">
        <v>217</v>
      </c>
      <c r="W61" t="str">
        <f t="shared" si="7"/>
        <v>Guwahati</v>
      </c>
      <c r="X61" t="s">
        <v>30</v>
      </c>
      <c r="Y61" t="str">
        <f t="shared" si="8"/>
        <v>Office Supplies</v>
      </c>
      <c r="Z61" t="s">
        <v>109</v>
      </c>
      <c r="AA61" t="str">
        <f t="shared" si="9"/>
        <v>Labels</v>
      </c>
      <c r="AB61" t="s">
        <v>403</v>
      </c>
      <c r="AC61" t="s">
        <v>48</v>
      </c>
      <c r="AD61" t="str">
        <f t="shared" si="10"/>
        <v>Same Day</v>
      </c>
      <c r="AE61">
        <v>5</v>
      </c>
      <c r="AF61">
        <v>4133.8500000000004</v>
      </c>
      <c r="AG61">
        <v>0.2</v>
      </c>
      <c r="AH61">
        <v>0.2</v>
      </c>
      <c r="AI61" t="str">
        <f t="shared" si="11"/>
        <v>Valid</v>
      </c>
      <c r="AJ61">
        <v>16535.400000000001</v>
      </c>
      <c r="AK61">
        <f t="shared" si="12"/>
        <v>16535.400000000001</v>
      </c>
      <c r="AL61">
        <v>12990.21</v>
      </c>
      <c r="AM61">
        <v>3545.19</v>
      </c>
      <c r="AN61">
        <f t="shared" si="13"/>
        <v>3545.1900000000023</v>
      </c>
      <c r="AO61">
        <f t="shared" si="14"/>
        <v>-12990.21</v>
      </c>
      <c r="AP61" t="s">
        <v>34</v>
      </c>
      <c r="AQ61" t="str">
        <f t="shared" si="15"/>
        <v>Paid</v>
      </c>
      <c r="AR61" t="s">
        <v>78</v>
      </c>
      <c r="AS61" t="str">
        <f t="shared" si="16"/>
        <v>Cancelled</v>
      </c>
      <c r="AT61" t="str">
        <f t="shared" si="17"/>
        <v>Clean</v>
      </c>
    </row>
    <row r="62" spans="1:46">
      <c r="A62" t="s">
        <v>404</v>
      </c>
      <c r="B62">
        <f>COUNTIF($D$2:D62,D62)</f>
        <v>1</v>
      </c>
      <c r="C62" t="str">
        <f>IF(COUNTIF($A:$A,A62)=1,
"Unique",
IF(COUNTIFS($A:$A,A62,$N:$N,N62,$AF:$AF,AF62,$AJ:$AJ,AJ62)&gt;1,
"Exact Duplicate",
"Conflicting Duplicate"))</f>
        <v>Unique</v>
      </c>
      <c r="D62" t="s">
        <v>405</v>
      </c>
      <c r="E62" t="s">
        <v>406</v>
      </c>
      <c r="F62" s="3">
        <v>45486</v>
      </c>
      <c r="G62" s="3">
        <v>45492</v>
      </c>
      <c r="H62" s="5" t="str">
        <f t="shared" si="0"/>
        <v>July</v>
      </c>
      <c r="I62" s="5">
        <f t="shared" si="1"/>
        <v>2024</v>
      </c>
      <c r="J62" t="str">
        <f>IF(F62="","Missing Date",
IF(ISNUMBER(F62),"Valid","Invalid Date"))</f>
        <v>Valid</v>
      </c>
      <c r="K62" t="str">
        <f t="shared" si="2"/>
        <v>Valid</v>
      </c>
      <c r="L62">
        <f>G62-F62</f>
        <v>6</v>
      </c>
      <c r="M62" t="s">
        <v>407</v>
      </c>
      <c r="N62" t="s">
        <v>72</v>
      </c>
      <c r="O62" t="str">
        <f t="shared" si="3"/>
        <v>Ananya Rao</v>
      </c>
      <c r="P62" t="s">
        <v>108</v>
      </c>
      <c r="Q62" t="str">
        <f t="shared" si="4"/>
        <v>Corporate</v>
      </c>
      <c r="R62" t="s">
        <v>42</v>
      </c>
      <c r="S62" t="str">
        <f t="shared" si="5"/>
        <v>East</v>
      </c>
      <c r="T62" t="s">
        <v>216</v>
      </c>
      <c r="U62" t="str">
        <f t="shared" si="6"/>
        <v>Assam</v>
      </c>
      <c r="V62" t="s">
        <v>217</v>
      </c>
      <c r="W62" t="str">
        <f t="shared" si="7"/>
        <v>Guwahati</v>
      </c>
      <c r="X62" t="s">
        <v>30</v>
      </c>
      <c r="Y62" t="str">
        <f t="shared" si="8"/>
        <v>Office Supplies</v>
      </c>
      <c r="Z62" t="s">
        <v>109</v>
      </c>
      <c r="AA62" t="str">
        <f t="shared" si="9"/>
        <v>Labels</v>
      </c>
      <c r="AB62" t="s">
        <v>408</v>
      </c>
      <c r="AC62" t="s">
        <v>48</v>
      </c>
      <c r="AD62" t="str">
        <f t="shared" si="10"/>
        <v>Same Day</v>
      </c>
      <c r="AE62">
        <v>3</v>
      </c>
      <c r="AF62">
        <v>275.76</v>
      </c>
      <c r="AG62">
        <v>0.2</v>
      </c>
      <c r="AH62">
        <v>0.2</v>
      </c>
      <c r="AI62" t="str">
        <f t="shared" si="11"/>
        <v>Valid</v>
      </c>
      <c r="AJ62">
        <v>661.82</v>
      </c>
      <c r="AK62">
        <f t="shared" si="12"/>
        <v>661.82400000000007</v>
      </c>
      <c r="AL62">
        <v>481.47</v>
      </c>
      <c r="AM62">
        <v>180.35</v>
      </c>
      <c r="AN62">
        <f t="shared" si="13"/>
        <v>180.35400000000004</v>
      </c>
      <c r="AO62">
        <f t="shared" si="14"/>
        <v>-481.47</v>
      </c>
      <c r="AP62" t="s">
        <v>124</v>
      </c>
      <c r="AQ62" t="str">
        <f t="shared" si="15"/>
        <v>Refunded</v>
      </c>
      <c r="AR62" t="s">
        <v>78</v>
      </c>
      <c r="AS62" t="str">
        <f t="shared" si="16"/>
        <v>Cancelled</v>
      </c>
      <c r="AT62" t="str">
        <f t="shared" si="17"/>
        <v>Clean</v>
      </c>
    </row>
    <row r="63" spans="1:46">
      <c r="A63" t="s">
        <v>409</v>
      </c>
      <c r="B63">
        <f>COUNTIF($D$2:D63,D63)</f>
        <v>1</v>
      </c>
      <c r="C63" t="str">
        <f>IF(COUNTIF($A:$A,A63)=1,
"Unique",
IF(COUNTIFS($A:$A,A63,$N:$N,N63,$AF:$AF,AF63,$AJ:$AJ,AJ63)&gt;1,
"Exact Duplicate",
"Conflicting Duplicate"))</f>
        <v>Unique</v>
      </c>
      <c r="D63" t="s">
        <v>410</v>
      </c>
      <c r="E63" t="s">
        <v>411</v>
      </c>
      <c r="F63" s="2">
        <v>45398</v>
      </c>
      <c r="G63" s="3">
        <v>45398</v>
      </c>
      <c r="H63" s="5" t="str">
        <f t="shared" si="0"/>
        <v>April</v>
      </c>
      <c r="I63" s="5">
        <f t="shared" si="1"/>
        <v>2024</v>
      </c>
      <c r="J63" t="str">
        <f>IF(F63="","Missing Date",
IF(ISNUMBER(F63),"Valid","Invalid Date"))</f>
        <v>Valid</v>
      </c>
      <c r="K63" t="str">
        <f t="shared" si="2"/>
        <v>Valid</v>
      </c>
      <c r="L63">
        <f>G63-F63</f>
        <v>0</v>
      </c>
      <c r="M63" t="s">
        <v>412</v>
      </c>
      <c r="N63" t="s">
        <v>83</v>
      </c>
      <c r="O63" t="str">
        <f t="shared" si="3"/>
        <v>Vikram Iyer</v>
      </c>
      <c r="P63" t="s">
        <v>115</v>
      </c>
      <c r="Q63" t="str">
        <f t="shared" si="4"/>
        <v>Home Office</v>
      </c>
      <c r="R63" t="s">
        <v>42</v>
      </c>
      <c r="S63" t="str">
        <f t="shared" si="5"/>
        <v>East</v>
      </c>
      <c r="T63" t="s">
        <v>186</v>
      </c>
      <c r="U63" t="str">
        <f t="shared" si="6"/>
        <v>Bihar</v>
      </c>
      <c r="V63" t="s">
        <v>187</v>
      </c>
      <c r="W63" t="str">
        <f t="shared" si="7"/>
        <v>Patna</v>
      </c>
      <c r="X63" t="s">
        <v>45</v>
      </c>
      <c r="Y63" t="str">
        <f t="shared" si="8"/>
        <v>Furniture</v>
      </c>
      <c r="Z63" t="s">
        <v>204</v>
      </c>
      <c r="AA63" t="str">
        <f t="shared" si="9"/>
        <v>Bookcases</v>
      </c>
      <c r="AB63" t="s">
        <v>413</v>
      </c>
      <c r="AC63" t="s">
        <v>67</v>
      </c>
      <c r="AD63" t="str">
        <f t="shared" si="10"/>
        <v>Standard Class</v>
      </c>
      <c r="AE63">
        <v>1</v>
      </c>
      <c r="AF63">
        <v>949.59</v>
      </c>
      <c r="AG63">
        <v>0</v>
      </c>
      <c r="AH63">
        <v>0</v>
      </c>
      <c r="AI63" t="str">
        <f t="shared" si="11"/>
        <v>Valid</v>
      </c>
      <c r="AJ63">
        <v>949.59</v>
      </c>
      <c r="AK63">
        <f t="shared" si="12"/>
        <v>949.59</v>
      </c>
      <c r="AL63">
        <v>751.25</v>
      </c>
      <c r="AM63">
        <v>198.34</v>
      </c>
      <c r="AN63">
        <f t="shared" si="13"/>
        <v>198.34000000000003</v>
      </c>
      <c r="AO63">
        <f t="shared" si="14"/>
        <v>-751.25</v>
      </c>
      <c r="AP63" t="s">
        <v>34</v>
      </c>
      <c r="AQ63" t="str">
        <f t="shared" si="15"/>
        <v>Paid</v>
      </c>
      <c r="AR63" t="s">
        <v>35</v>
      </c>
      <c r="AS63" t="str">
        <f t="shared" si="16"/>
        <v>Completed</v>
      </c>
      <c r="AT63" t="str">
        <f t="shared" si="17"/>
        <v>Clean</v>
      </c>
    </row>
    <row r="64" spans="1:46">
      <c r="A64" t="s">
        <v>414</v>
      </c>
      <c r="B64">
        <f>COUNTIF($D$2:D64,D64)</f>
        <v>1</v>
      </c>
      <c r="C64" t="str">
        <f>IF(COUNTIF($A:$A,A64)=1,
"Unique",
IF(COUNTIFS($A:$A,A64,$N:$N,N64,$AF:$AF,AF64,$AJ:$AJ,AJ64)&gt;1,
"Exact Duplicate",
"Conflicting Duplicate"))</f>
        <v>Unique</v>
      </c>
      <c r="D64" t="s">
        <v>415</v>
      </c>
      <c r="E64" t="s">
        <v>416</v>
      </c>
      <c r="F64" s="2">
        <v>45595</v>
      </c>
      <c r="G64" s="3">
        <v>45333</v>
      </c>
      <c r="H64" s="5" t="str">
        <f t="shared" si="0"/>
        <v>October</v>
      </c>
      <c r="I64" s="5">
        <f t="shared" si="1"/>
        <v>2024</v>
      </c>
      <c r="J64" t="str">
        <f>IF(F64="","Missing Date",
IF(ISNUMBER(F64),"Valid","Invalid Date"))</f>
        <v>Valid</v>
      </c>
      <c r="K64" t="str">
        <f t="shared" si="2"/>
        <v>Valid</v>
      </c>
      <c r="L64">
        <f>G64-F64</f>
        <v>-262</v>
      </c>
      <c r="M64" t="s">
        <v>417</v>
      </c>
      <c r="N64" t="s">
        <v>168</v>
      </c>
      <c r="O64" t="str">
        <f t="shared" si="3"/>
        <v>Sneha Kapoor</v>
      </c>
      <c r="P64" t="s">
        <v>115</v>
      </c>
      <c r="Q64" t="str">
        <f t="shared" si="4"/>
        <v>Home Office</v>
      </c>
      <c r="R64" t="s">
        <v>27</v>
      </c>
      <c r="S64" t="str">
        <f t="shared" si="5"/>
        <v>North</v>
      </c>
      <c r="T64" t="s">
        <v>28</v>
      </c>
      <c r="U64" t="str">
        <f t="shared" si="6"/>
        <v>Rajasthan</v>
      </c>
      <c r="V64" t="s">
        <v>29</v>
      </c>
      <c r="W64" t="str">
        <f t="shared" si="7"/>
        <v>Jaipur</v>
      </c>
      <c r="X64" t="s">
        <v>86</v>
      </c>
      <c r="Y64" t="str">
        <f t="shared" si="8"/>
        <v>Technology</v>
      </c>
      <c r="Z64" t="s">
        <v>223</v>
      </c>
      <c r="AA64" t="str">
        <f t="shared" si="9"/>
        <v>Phones</v>
      </c>
      <c r="AB64" t="s">
        <v>418</v>
      </c>
      <c r="AC64" t="s">
        <v>67</v>
      </c>
      <c r="AD64" t="str">
        <f t="shared" si="10"/>
        <v>Standard Class</v>
      </c>
      <c r="AE64">
        <v>9</v>
      </c>
      <c r="AF64">
        <v>3042.29</v>
      </c>
      <c r="AG64">
        <v>0.2</v>
      </c>
      <c r="AH64">
        <v>0.2</v>
      </c>
      <c r="AI64" t="str">
        <f t="shared" si="11"/>
        <v>Valid</v>
      </c>
      <c r="AJ64">
        <v>21904.49</v>
      </c>
      <c r="AK64">
        <f t="shared" si="12"/>
        <v>21904.488000000001</v>
      </c>
      <c r="AL64">
        <v>13570.55</v>
      </c>
      <c r="AM64">
        <v>8333.94</v>
      </c>
      <c r="AN64">
        <f t="shared" si="13"/>
        <v>8333.9380000000019</v>
      </c>
      <c r="AO64">
        <f t="shared" si="14"/>
        <v>-13570.55</v>
      </c>
      <c r="AP64" t="s">
        <v>34</v>
      </c>
      <c r="AQ64" t="str">
        <f t="shared" si="15"/>
        <v>Paid</v>
      </c>
      <c r="AR64" t="s">
        <v>35</v>
      </c>
      <c r="AS64" t="str">
        <f t="shared" si="16"/>
        <v>Completed</v>
      </c>
      <c r="AT64" t="str">
        <f t="shared" si="17"/>
        <v>Clean</v>
      </c>
    </row>
    <row r="65" spans="1:46">
      <c r="A65" t="s">
        <v>419</v>
      </c>
      <c r="B65">
        <f>COUNTIF($D$2:D65,D65)</f>
        <v>1</v>
      </c>
      <c r="C65" t="str">
        <f>IF(COUNTIF($A:$A,A65)=1,
"Unique",
IF(COUNTIFS($A:$A,A65,$N:$N,N65,$AF:$AF,AF65,$AJ:$AJ,AJ65)&gt;1,
"Exact Duplicate",
"Conflicting Duplicate"))</f>
        <v>Unique</v>
      </c>
      <c r="D65" t="s">
        <v>420</v>
      </c>
      <c r="E65" t="s">
        <v>421</v>
      </c>
      <c r="F65" s="3">
        <v>45316</v>
      </c>
      <c r="G65" s="3">
        <v>45293</v>
      </c>
      <c r="H65" s="5" t="str">
        <f t="shared" si="0"/>
        <v>January</v>
      </c>
      <c r="I65" s="5">
        <f t="shared" si="1"/>
        <v>2024</v>
      </c>
      <c r="J65" t="str">
        <f>IF(F65="","Missing Date",
IF(ISNUMBER(F65),"Valid","Invalid Date"))</f>
        <v>Valid</v>
      </c>
      <c r="K65" t="str">
        <f t="shared" si="2"/>
        <v>Valid</v>
      </c>
      <c r="L65">
        <f>G65-F65</f>
        <v>-23</v>
      </c>
      <c r="M65" t="s">
        <v>422</v>
      </c>
      <c r="N65" t="s">
        <v>168</v>
      </c>
      <c r="O65" t="str">
        <f t="shared" si="3"/>
        <v>Sneha Kapoor</v>
      </c>
      <c r="P65" t="s">
        <v>115</v>
      </c>
      <c r="Q65" t="str">
        <f t="shared" si="4"/>
        <v>Home Office</v>
      </c>
      <c r="R65" t="s">
        <v>27</v>
      </c>
      <c r="S65" t="str">
        <f t="shared" si="5"/>
        <v>North</v>
      </c>
      <c r="T65" t="s">
        <v>323</v>
      </c>
      <c r="U65" t="str">
        <f t="shared" si="6"/>
        <v>Haryana</v>
      </c>
      <c r="V65" t="s">
        <v>324</v>
      </c>
      <c r="W65" t="str">
        <f t="shared" si="7"/>
        <v>Gurugram</v>
      </c>
      <c r="X65" t="s">
        <v>30</v>
      </c>
      <c r="Y65" t="str">
        <f t="shared" si="8"/>
        <v>Office Supplies</v>
      </c>
      <c r="Z65" t="s">
        <v>198</v>
      </c>
      <c r="AA65" t="str">
        <f t="shared" si="9"/>
        <v>Binders</v>
      </c>
      <c r="AB65" t="s">
        <v>423</v>
      </c>
      <c r="AC65" t="s">
        <v>48</v>
      </c>
      <c r="AD65" t="str">
        <f t="shared" si="10"/>
        <v>Same Day</v>
      </c>
      <c r="AE65">
        <v>2</v>
      </c>
      <c r="AF65">
        <v>2832.77</v>
      </c>
      <c r="AG65">
        <v>0.15</v>
      </c>
      <c r="AH65">
        <v>0.15</v>
      </c>
      <c r="AI65" t="str">
        <f t="shared" si="11"/>
        <v>Valid</v>
      </c>
      <c r="AJ65">
        <v>4815.71</v>
      </c>
      <c r="AK65">
        <f t="shared" si="12"/>
        <v>4815.7089999999998</v>
      </c>
      <c r="AL65">
        <v>3027.75</v>
      </c>
      <c r="AM65">
        <v>1917.47</v>
      </c>
      <c r="AN65">
        <f t="shared" si="13"/>
        <v>1787.9589999999998</v>
      </c>
      <c r="AO65">
        <f t="shared" si="14"/>
        <v>-3027.75</v>
      </c>
      <c r="AP65" t="s">
        <v>34</v>
      </c>
      <c r="AQ65" t="str">
        <f t="shared" si="15"/>
        <v>Paid</v>
      </c>
      <c r="AR65" t="s">
        <v>35</v>
      </c>
      <c r="AS65" t="str">
        <f t="shared" si="16"/>
        <v>Completed</v>
      </c>
      <c r="AT65" t="str">
        <f t="shared" si="17"/>
        <v>Clean</v>
      </c>
    </row>
    <row r="66" spans="1:46">
      <c r="A66" t="s">
        <v>424</v>
      </c>
      <c r="B66">
        <f>COUNTIF($D$2:D66,D66)</f>
        <v>1</v>
      </c>
      <c r="C66" t="str">
        <f>IF(COUNTIF($A:$A,A66)=1,
"Unique",
IF(COUNTIFS($A:$A,A66,$N:$N,N66,$AF:$AF,AF66,$AJ:$AJ,AJ66)&gt;1,
"Exact Duplicate",
"Conflicting Duplicate"))</f>
        <v>Unique</v>
      </c>
      <c r="D66" t="s">
        <v>425</v>
      </c>
      <c r="E66" t="s">
        <v>426</v>
      </c>
      <c r="F66" s="3">
        <v>45649</v>
      </c>
      <c r="G66" s="3">
        <v>45655</v>
      </c>
      <c r="H66" s="5" t="str">
        <f t="shared" si="0"/>
        <v>December</v>
      </c>
      <c r="I66" s="5">
        <f t="shared" si="1"/>
        <v>2024</v>
      </c>
      <c r="J66" t="str">
        <f>IF(F66="","Missing Date",
IF(ISNUMBER(F66),"Valid","Invalid Date"))</f>
        <v>Valid</v>
      </c>
      <c r="K66" t="str">
        <f t="shared" si="2"/>
        <v>Valid</v>
      </c>
      <c r="L66">
        <f>G66-F66</f>
        <v>6</v>
      </c>
      <c r="M66" t="s">
        <v>427</v>
      </c>
      <c r="N66" t="s">
        <v>162</v>
      </c>
      <c r="O66" t="str">
        <f t="shared" si="3"/>
        <v>Aarav Sharma</v>
      </c>
      <c r="P66" t="s">
        <v>108</v>
      </c>
      <c r="Q66" t="str">
        <f t="shared" si="4"/>
        <v>Corporate</v>
      </c>
      <c r="R66" t="s">
        <v>42</v>
      </c>
      <c r="S66" t="str">
        <f t="shared" si="5"/>
        <v>East</v>
      </c>
      <c r="T66" t="s">
        <v>311</v>
      </c>
      <c r="U66" t="str">
        <f t="shared" si="6"/>
        <v>Jharkhand</v>
      </c>
      <c r="V66" t="s">
        <v>312</v>
      </c>
      <c r="W66" t="str">
        <f t="shared" si="7"/>
        <v>Ranchi</v>
      </c>
      <c r="X66" t="s">
        <v>30</v>
      </c>
      <c r="Y66" t="str">
        <f t="shared" si="8"/>
        <v>Office Supplies</v>
      </c>
      <c r="Z66" t="s">
        <v>31</v>
      </c>
      <c r="AA66" t="str">
        <f t="shared" si="9"/>
        <v>Paper</v>
      </c>
      <c r="AB66" t="s">
        <v>428</v>
      </c>
      <c r="AC66" t="s">
        <v>56</v>
      </c>
      <c r="AD66" t="str">
        <f t="shared" si="10"/>
        <v>First Class</v>
      </c>
      <c r="AE66">
        <v>7</v>
      </c>
      <c r="AF66">
        <v>447.84</v>
      </c>
      <c r="AG66">
        <v>0</v>
      </c>
      <c r="AH66">
        <v>0</v>
      </c>
      <c r="AI66" t="str">
        <f t="shared" si="11"/>
        <v>Valid</v>
      </c>
      <c r="AJ66">
        <v>3134.88</v>
      </c>
      <c r="AK66">
        <f t="shared" si="12"/>
        <v>3134.8799999999997</v>
      </c>
      <c r="AL66">
        <v>2367.63</v>
      </c>
      <c r="AM66">
        <v>767.25</v>
      </c>
      <c r="AN66">
        <f t="shared" si="13"/>
        <v>767.24999999999955</v>
      </c>
      <c r="AO66">
        <f t="shared" si="14"/>
        <v>-2367.63</v>
      </c>
      <c r="AP66" t="s">
        <v>124</v>
      </c>
      <c r="AQ66" t="str">
        <f t="shared" si="15"/>
        <v>Refunded</v>
      </c>
      <c r="AR66" t="s">
        <v>125</v>
      </c>
      <c r="AS66" t="str">
        <f t="shared" si="16"/>
        <v>Returned</v>
      </c>
      <c r="AT66" t="str">
        <f t="shared" si="17"/>
        <v>Clean</v>
      </c>
    </row>
    <row r="67" spans="1:46">
      <c r="A67" t="s">
        <v>429</v>
      </c>
      <c r="B67">
        <f>COUNTIF($D$2:D67,D67)</f>
        <v>1</v>
      </c>
      <c r="C67" t="str">
        <f>IF(COUNTIF($A:$A,A67)=1,
"Unique",
IF(COUNTIFS($A:$A,A67,$N:$N,N67,$AF:$AF,AF67,$AJ:$AJ,AJ67)&gt;1,
"Exact Duplicate",
"Conflicting Duplicate"))</f>
        <v>Unique</v>
      </c>
      <c r="D67" t="s">
        <v>430</v>
      </c>
      <c r="E67" t="s">
        <v>431</v>
      </c>
      <c r="F67" s="2">
        <v>45404</v>
      </c>
      <c r="G67" s="3">
        <v>45409</v>
      </c>
      <c r="H67" s="5" t="str">
        <f t="shared" ref="H67:H130" si="18">TEXT(DATE(2024,MONTH(F67),1),"MMMM")</f>
        <v>April</v>
      </c>
      <c r="I67" s="5">
        <f t="shared" ref="I67:I130" si="19">YEAR(F67)</f>
        <v>2024</v>
      </c>
      <c r="J67" t="str">
        <f>IF(F67="","Missing Date",
IF(ISNUMBER(F67),"Valid","Invalid Date"))</f>
        <v>Valid</v>
      </c>
      <c r="K67" t="str">
        <f t="shared" ref="K67:K130" si="20">IF(G67="","Missing Date",
IF(ISNUMBER(G67),"Valid","Invalid Date"))</f>
        <v>Valid</v>
      </c>
      <c r="L67">
        <f>G67-F67</f>
        <v>5</v>
      </c>
      <c r="M67" t="s">
        <v>432</v>
      </c>
      <c r="N67" t="s">
        <v>40</v>
      </c>
      <c r="O67" t="str">
        <f t="shared" ref="O67:O130" si="21">TRIM(PROPER(CLEAN(N67)))</f>
        <v>Mira Das</v>
      </c>
      <c r="P67" t="s">
        <v>115</v>
      </c>
      <c r="Q67" t="str">
        <f t="shared" ref="Q67:Q130" si="22">TRIM(PROPER(CLEAN(P67)))</f>
        <v>Home Office</v>
      </c>
      <c r="R67" t="s">
        <v>73</v>
      </c>
      <c r="S67" t="str">
        <f t="shared" ref="S67:S130" si="23">TRIM(PROPER(CLEAN(R67)))</f>
        <v>West</v>
      </c>
      <c r="T67" t="s">
        <v>74</v>
      </c>
      <c r="U67" t="str">
        <f t="shared" ref="U67:U130" si="24">TRIM(PROPER(CLEAN(T67)))</f>
        <v>Maharashtra</v>
      </c>
      <c r="V67" t="s">
        <v>75</v>
      </c>
      <c r="W67" t="str">
        <f t="shared" ref="W67:W130" si="25">TRIM(PROPER(CLEAN(V67)))</f>
        <v>Mumbai</v>
      </c>
      <c r="X67" t="s">
        <v>30</v>
      </c>
      <c r="Y67" t="str">
        <f t="shared" ref="Y67:Y130" si="26">TRIM(PROPER(CLEAN(X67)))</f>
        <v>Office Supplies</v>
      </c>
      <c r="Z67" t="s">
        <v>31</v>
      </c>
      <c r="AA67" t="str">
        <f t="shared" ref="AA67:AA130" si="27">TRIM(PROPER(CLEAN(Z67)))</f>
        <v>Paper</v>
      </c>
      <c r="AB67" t="s">
        <v>433</v>
      </c>
      <c r="AC67" t="s">
        <v>33</v>
      </c>
      <c r="AD67" t="str">
        <f t="shared" ref="AD67:AD130" si="28">TRIM(PROPER(CLEAN(AC67)))</f>
        <v>Second Class</v>
      </c>
      <c r="AE67">
        <v>1</v>
      </c>
      <c r="AF67">
        <v>4280.1899999999996</v>
      </c>
      <c r="AG67">
        <v>0.05</v>
      </c>
      <c r="AH67">
        <v>0.05</v>
      </c>
      <c r="AI67" t="str">
        <f t="shared" ref="AI67:AI130" si="29">IF(AG67="","Missing Discount",IF(AG67&lt;0,"Invalid - Negative Discount",IF(AG67&gt;1,"Invalid - Above Range","Valid")))</f>
        <v>Valid</v>
      </c>
      <c r="AJ67">
        <v>4066.18</v>
      </c>
      <c r="AK67">
        <f t="shared" ref="AK67:AK130" si="30">AE67*AF67*(1-AH67)</f>
        <v>4066.1804999999995</v>
      </c>
      <c r="AL67">
        <v>2628.92</v>
      </c>
      <c r="AM67">
        <v>1437.26</v>
      </c>
      <c r="AN67">
        <f t="shared" ref="AN67:AN130" si="31">AK67-AL67</f>
        <v>1437.2604999999994</v>
      </c>
      <c r="AO67">
        <f t="shared" ref="AO67:AO130" si="32">AN67-AK67</f>
        <v>-2628.92</v>
      </c>
      <c r="AP67" t="s">
        <v>34</v>
      </c>
      <c r="AQ67" t="str">
        <f t="shared" ref="AQ67:AQ130" si="33">TRIM(PROPER(CLEAN(AP67)))</f>
        <v>Paid</v>
      </c>
      <c r="AR67" t="s">
        <v>35</v>
      </c>
      <c r="AS67" t="str">
        <f t="shared" ref="AS67:AS130" si="34">TRIM(PROPER(CLEAN(AR67)))</f>
        <v>Completed</v>
      </c>
      <c r="AT67" t="str">
        <f t="shared" ref="AT67:AT130" si="35">IF(OR(AH67="Unknown",AJ67="Unknown",AM67="Unknown",A67="Unknown"),"Needs Review","Clean")</f>
        <v>Clean</v>
      </c>
    </row>
    <row r="68" spans="1:46">
      <c r="A68" t="s">
        <v>434</v>
      </c>
      <c r="B68">
        <f>COUNTIF($D$2:D68,D68)</f>
        <v>1</v>
      </c>
      <c r="C68" t="str">
        <f>IF(COUNTIF($A:$A,A68)=1,
"Unique",
IF(COUNTIFS($A:$A,A68,$N:$N,N68,$AF:$AF,AF68,$AJ:$AJ,AJ68)&gt;1,
"Exact Duplicate",
"Conflicting Duplicate"))</f>
        <v>Unique</v>
      </c>
      <c r="D68" t="s">
        <v>435</v>
      </c>
      <c r="E68" t="s">
        <v>436</v>
      </c>
      <c r="F68" s="3">
        <v>45897</v>
      </c>
      <c r="G68" s="2">
        <v>45666</v>
      </c>
      <c r="H68" s="5" t="str">
        <f t="shared" si="18"/>
        <v>August</v>
      </c>
      <c r="I68" s="5">
        <f t="shared" si="19"/>
        <v>2025</v>
      </c>
      <c r="J68" t="str">
        <f>IF(F68="","Missing Date",
IF(ISNUMBER(F68),"Valid","Invalid Date"))</f>
        <v>Valid</v>
      </c>
      <c r="K68" t="str">
        <f t="shared" si="20"/>
        <v>Valid</v>
      </c>
      <c r="L68">
        <f>G68-F68</f>
        <v>-231</v>
      </c>
      <c r="M68" t="s">
        <v>437</v>
      </c>
      <c r="N68" t="s">
        <v>25</v>
      </c>
      <c r="O68" t="str">
        <f t="shared" si="21"/>
        <v>Karan Malhotra</v>
      </c>
      <c r="P68" t="s">
        <v>41</v>
      </c>
      <c r="Q68" t="str">
        <f t="shared" si="22"/>
        <v>Small Business</v>
      </c>
      <c r="R68" t="s">
        <v>62</v>
      </c>
      <c r="S68" t="str">
        <f t="shared" si="23"/>
        <v>South</v>
      </c>
      <c r="T68" t="s">
        <v>339</v>
      </c>
      <c r="U68" t="str">
        <f t="shared" si="24"/>
        <v>Tamil Nadu</v>
      </c>
      <c r="V68" t="s">
        <v>340</v>
      </c>
      <c r="W68" t="str">
        <f t="shared" si="25"/>
        <v>Chennai</v>
      </c>
      <c r="X68" t="s">
        <v>86</v>
      </c>
      <c r="Y68" t="str">
        <f t="shared" si="26"/>
        <v>Technology</v>
      </c>
      <c r="Z68" t="s">
        <v>87</v>
      </c>
      <c r="AA68" t="str">
        <f t="shared" si="27"/>
        <v>Accessories</v>
      </c>
      <c r="AB68" t="s">
        <v>438</v>
      </c>
      <c r="AC68" t="s">
        <v>48</v>
      </c>
      <c r="AD68" t="str">
        <f t="shared" si="28"/>
        <v>Same Day</v>
      </c>
      <c r="AE68">
        <v>7</v>
      </c>
      <c r="AF68">
        <v>1057.46</v>
      </c>
      <c r="AG68">
        <v>0.05</v>
      </c>
      <c r="AH68">
        <v>0.05</v>
      </c>
      <c r="AI68" t="str">
        <f t="shared" si="29"/>
        <v>Valid</v>
      </c>
      <c r="AJ68">
        <v>7032.11</v>
      </c>
      <c r="AK68">
        <f t="shared" si="30"/>
        <v>7032.1089999999995</v>
      </c>
      <c r="AL68">
        <v>4610.34</v>
      </c>
      <c r="AM68">
        <v>2421.77</v>
      </c>
      <c r="AN68">
        <f t="shared" si="31"/>
        <v>2421.7689999999993</v>
      </c>
      <c r="AO68">
        <f t="shared" si="32"/>
        <v>-4610.34</v>
      </c>
      <c r="AP68" t="s">
        <v>34</v>
      </c>
      <c r="AQ68" t="str">
        <f t="shared" si="33"/>
        <v>Paid</v>
      </c>
      <c r="AR68" t="s">
        <v>35</v>
      </c>
      <c r="AS68" t="str">
        <f t="shared" si="34"/>
        <v>Completed</v>
      </c>
      <c r="AT68" t="str">
        <f t="shared" si="35"/>
        <v>Clean</v>
      </c>
    </row>
    <row r="69" spans="1:46">
      <c r="A69" t="s">
        <v>439</v>
      </c>
      <c r="B69">
        <f>COUNTIF($D$2:D69,D69)</f>
        <v>1</v>
      </c>
      <c r="C69" t="str">
        <f>IF(COUNTIF($A:$A,A69)=1,
"Unique",
IF(COUNTIFS($A:$A,A69,$N:$N,N69,$AF:$AF,AF69,$AJ:$AJ,AJ69)&gt;1,
"Exact Duplicate",
"Conflicting Duplicate"))</f>
        <v>Unique</v>
      </c>
      <c r="D69" t="s">
        <v>440</v>
      </c>
      <c r="E69" t="s">
        <v>441</v>
      </c>
      <c r="F69" s="2">
        <v>45718</v>
      </c>
      <c r="G69" s="3">
        <v>45840</v>
      </c>
      <c r="H69" s="5" t="str">
        <f t="shared" si="18"/>
        <v>March</v>
      </c>
      <c r="I69" s="5">
        <f t="shared" si="19"/>
        <v>2025</v>
      </c>
      <c r="J69" t="str">
        <f>IF(F69="","Missing Date",
IF(ISNUMBER(F69),"Valid","Invalid Date"))</f>
        <v>Valid</v>
      </c>
      <c r="K69" t="str">
        <f t="shared" si="20"/>
        <v>Valid</v>
      </c>
      <c r="L69">
        <f>G69-F69</f>
        <v>122</v>
      </c>
      <c r="M69" t="s">
        <v>442</v>
      </c>
      <c r="N69" t="s">
        <v>366</v>
      </c>
      <c r="O69" t="str">
        <f t="shared" si="21"/>
        <v>Kabir Singh</v>
      </c>
      <c r="P69" t="s">
        <v>26</v>
      </c>
      <c r="Q69" t="str">
        <f t="shared" si="22"/>
        <v>Consumer</v>
      </c>
      <c r="R69" t="s">
        <v>27</v>
      </c>
      <c r="S69" t="str">
        <f t="shared" si="23"/>
        <v>North</v>
      </c>
      <c r="T69" t="s">
        <v>323</v>
      </c>
      <c r="U69" t="str">
        <f t="shared" si="24"/>
        <v>Haryana</v>
      </c>
      <c r="V69" t="s">
        <v>324</v>
      </c>
      <c r="W69" t="str">
        <f t="shared" si="25"/>
        <v>Gurugram</v>
      </c>
      <c r="X69" t="s">
        <v>30</v>
      </c>
      <c r="Y69" t="str">
        <f t="shared" si="26"/>
        <v>Office Supplies</v>
      </c>
      <c r="Z69" t="s">
        <v>31</v>
      </c>
      <c r="AA69" t="str">
        <f t="shared" si="27"/>
        <v>Paper</v>
      </c>
      <c r="AB69" t="s">
        <v>443</v>
      </c>
      <c r="AC69" t="s">
        <v>56</v>
      </c>
      <c r="AD69" t="str">
        <f t="shared" si="28"/>
        <v>First Class</v>
      </c>
      <c r="AE69">
        <v>7</v>
      </c>
      <c r="AF69">
        <v>3609.34</v>
      </c>
      <c r="AG69">
        <v>0.05</v>
      </c>
      <c r="AH69">
        <v>0.05</v>
      </c>
      <c r="AI69" t="str">
        <f t="shared" si="29"/>
        <v>Valid</v>
      </c>
      <c r="AJ69">
        <v>24002.11</v>
      </c>
      <c r="AK69">
        <f t="shared" si="30"/>
        <v>24002.111000000001</v>
      </c>
      <c r="AL69">
        <v>18707.57</v>
      </c>
      <c r="AM69">
        <v>5294.54</v>
      </c>
      <c r="AN69">
        <f t="shared" si="31"/>
        <v>5294.5410000000011</v>
      </c>
      <c r="AO69">
        <f t="shared" si="32"/>
        <v>-18707.57</v>
      </c>
      <c r="AP69" t="s">
        <v>34</v>
      </c>
      <c r="AQ69" t="str">
        <f t="shared" si="33"/>
        <v>Paid</v>
      </c>
      <c r="AR69" t="s">
        <v>35</v>
      </c>
      <c r="AS69" t="str">
        <f t="shared" si="34"/>
        <v>Completed</v>
      </c>
      <c r="AT69" t="str">
        <f t="shared" si="35"/>
        <v>Clean</v>
      </c>
    </row>
    <row r="70" spans="1:46">
      <c r="A70" t="s">
        <v>444</v>
      </c>
      <c r="B70">
        <f>COUNTIF($D$2:D70,D70)</f>
        <v>3</v>
      </c>
      <c r="C70" t="str">
        <f>IF(COUNTIF($A:$A,A70)=1,
"Unique",
IF(COUNTIFS($A:$A,A70,$N:$N,N70,$AF:$AF,AF70,$AJ:$AJ,AJ70)&gt;1,
"Exact Duplicate",
"Conflicting Duplicate"))</f>
        <v>Unique</v>
      </c>
      <c r="D70" t="s">
        <v>105</v>
      </c>
      <c r="E70" t="s">
        <v>445</v>
      </c>
      <c r="F70" s="3">
        <v>45606</v>
      </c>
      <c r="G70" s="2">
        <v>45609</v>
      </c>
      <c r="H70" s="5" t="str">
        <f t="shared" si="18"/>
        <v>November</v>
      </c>
      <c r="I70" s="5">
        <f t="shared" si="19"/>
        <v>2024</v>
      </c>
      <c r="J70" t="str">
        <f>IF(F70="","Missing Date",
IF(ISNUMBER(F70),"Valid","Invalid Date"))</f>
        <v>Valid</v>
      </c>
      <c r="K70" t="str">
        <f t="shared" si="20"/>
        <v>Valid</v>
      </c>
      <c r="L70">
        <f>G70-F70</f>
        <v>3</v>
      </c>
      <c r="M70" t="s">
        <v>446</v>
      </c>
      <c r="N70" t="s">
        <v>53</v>
      </c>
      <c r="O70" t="str">
        <f t="shared" si="21"/>
        <v>Isha Nair</v>
      </c>
      <c r="P70" t="s">
        <v>108</v>
      </c>
      <c r="Q70" t="str">
        <f t="shared" si="22"/>
        <v>Corporate</v>
      </c>
      <c r="R70" t="s">
        <v>42</v>
      </c>
      <c r="S70" t="str">
        <f t="shared" si="23"/>
        <v>East</v>
      </c>
      <c r="T70" t="s">
        <v>311</v>
      </c>
      <c r="U70" t="str">
        <f t="shared" si="24"/>
        <v>Jharkhand</v>
      </c>
      <c r="V70" t="s">
        <v>312</v>
      </c>
      <c r="W70" t="str">
        <f t="shared" si="25"/>
        <v>Ranchi</v>
      </c>
      <c r="X70" t="s">
        <v>30</v>
      </c>
      <c r="Y70" t="str">
        <f t="shared" si="26"/>
        <v>Office Supplies</v>
      </c>
      <c r="Z70" t="s">
        <v>156</v>
      </c>
      <c r="AA70" t="str">
        <f t="shared" si="27"/>
        <v>Storage</v>
      </c>
      <c r="AB70" t="s">
        <v>447</v>
      </c>
      <c r="AC70" t="s">
        <v>33</v>
      </c>
      <c r="AD70" t="str">
        <f t="shared" si="28"/>
        <v>Second Class</v>
      </c>
      <c r="AE70">
        <v>9</v>
      </c>
      <c r="AF70">
        <v>2211.12</v>
      </c>
      <c r="AG70">
        <v>0</v>
      </c>
      <c r="AH70">
        <v>0</v>
      </c>
      <c r="AI70" t="str">
        <f t="shared" si="29"/>
        <v>Valid</v>
      </c>
      <c r="AJ70">
        <v>19900.080000000002</v>
      </c>
      <c r="AK70">
        <f t="shared" si="30"/>
        <v>19900.079999999998</v>
      </c>
      <c r="AL70">
        <v>10962.66</v>
      </c>
      <c r="AM70">
        <v>8937.42</v>
      </c>
      <c r="AN70">
        <f t="shared" si="31"/>
        <v>8937.4199999999983</v>
      </c>
      <c r="AO70">
        <f t="shared" si="32"/>
        <v>-10962.66</v>
      </c>
      <c r="AP70" t="s">
        <v>200</v>
      </c>
      <c r="AQ70" t="str">
        <f t="shared" si="33"/>
        <v>Failed</v>
      </c>
      <c r="AR70" t="s">
        <v>125</v>
      </c>
      <c r="AS70" t="str">
        <f t="shared" si="34"/>
        <v>Returned</v>
      </c>
      <c r="AT70" t="str">
        <f t="shared" si="35"/>
        <v>Clean</v>
      </c>
    </row>
    <row r="71" spans="1:46">
      <c r="A71" t="s">
        <v>448</v>
      </c>
      <c r="B71">
        <f>COUNTIF($D$2:D71,D71)</f>
        <v>1</v>
      </c>
      <c r="C71" t="str">
        <f>IF(COUNTIF($A:$A,A71)=1,
"Unique",
IF(COUNTIFS($A:$A,A71,$N:$N,N71,$AF:$AF,AF71,$AJ:$AJ,AJ71)&gt;1,
"Exact Duplicate",
"Conflicting Duplicate"))</f>
        <v>Unique</v>
      </c>
      <c r="D71" t="s">
        <v>449</v>
      </c>
      <c r="E71" t="s">
        <v>450</v>
      </c>
      <c r="F71" s="2">
        <v>45539</v>
      </c>
      <c r="G71" s="3">
        <v>45396</v>
      </c>
      <c r="H71" s="5" t="str">
        <f t="shared" si="18"/>
        <v>September</v>
      </c>
      <c r="I71" s="5">
        <f t="shared" si="19"/>
        <v>2024</v>
      </c>
      <c r="J71" t="str">
        <f>IF(F71="","Missing Date",
IF(ISNUMBER(F71),"Valid","Invalid Date"))</f>
        <v>Valid</v>
      </c>
      <c r="K71" t="str">
        <f t="shared" si="20"/>
        <v>Valid</v>
      </c>
      <c r="L71">
        <f>G71-F71</f>
        <v>-143</v>
      </c>
      <c r="M71" t="s">
        <v>451</v>
      </c>
      <c r="N71" t="s">
        <v>93</v>
      </c>
      <c r="O71" t="str">
        <f t="shared" si="21"/>
        <v>Neha Gupta</v>
      </c>
      <c r="P71" t="s">
        <v>41</v>
      </c>
      <c r="Q71" t="str">
        <f t="shared" si="22"/>
        <v>Small Business</v>
      </c>
      <c r="R71" t="s">
        <v>73</v>
      </c>
      <c r="S71" t="str">
        <f t="shared" si="23"/>
        <v>West</v>
      </c>
      <c r="T71" t="s">
        <v>235</v>
      </c>
      <c r="U71" t="str">
        <f t="shared" si="24"/>
        <v>Gujarat</v>
      </c>
      <c r="V71" t="s">
        <v>236</v>
      </c>
      <c r="W71" t="str">
        <f t="shared" si="25"/>
        <v>Ahmedabad</v>
      </c>
      <c r="X71" t="s">
        <v>86</v>
      </c>
      <c r="Y71" t="str">
        <f t="shared" si="26"/>
        <v>Technology</v>
      </c>
      <c r="Z71" t="s">
        <v>382</v>
      </c>
      <c r="AA71" t="str">
        <f t="shared" si="27"/>
        <v>Machines</v>
      </c>
      <c r="AB71" t="s">
        <v>452</v>
      </c>
      <c r="AC71" t="s">
        <v>48</v>
      </c>
      <c r="AD71" t="str">
        <f t="shared" si="28"/>
        <v>Same Day</v>
      </c>
      <c r="AE71">
        <v>7</v>
      </c>
      <c r="AF71">
        <v>3417.09</v>
      </c>
      <c r="AG71">
        <v>0.1</v>
      </c>
      <c r="AH71">
        <v>0.1</v>
      </c>
      <c r="AI71" t="str">
        <f t="shared" si="29"/>
        <v>Valid</v>
      </c>
      <c r="AJ71">
        <v>21527.67</v>
      </c>
      <c r="AK71">
        <f t="shared" si="30"/>
        <v>21527.667000000001</v>
      </c>
      <c r="AL71">
        <v>18287.580000000002</v>
      </c>
      <c r="AM71">
        <v>3240.09</v>
      </c>
      <c r="AN71">
        <f t="shared" si="31"/>
        <v>3240.0869999999995</v>
      </c>
      <c r="AO71">
        <f t="shared" si="32"/>
        <v>-18287.580000000002</v>
      </c>
      <c r="AP71" t="s">
        <v>124</v>
      </c>
      <c r="AQ71" t="str">
        <f t="shared" si="33"/>
        <v>Refunded</v>
      </c>
      <c r="AR71" t="s">
        <v>125</v>
      </c>
      <c r="AS71" t="str">
        <f t="shared" si="34"/>
        <v>Returned</v>
      </c>
      <c r="AT71" t="str">
        <f t="shared" si="35"/>
        <v>Clean</v>
      </c>
    </row>
    <row r="72" spans="1:46">
      <c r="A72" t="s">
        <v>453</v>
      </c>
      <c r="B72">
        <f>COUNTIF($D$2:D72,D72)</f>
        <v>1</v>
      </c>
      <c r="C72" t="str">
        <f>IF(COUNTIF($A:$A,A72)=1,
"Unique",
IF(COUNTIFS($A:$A,A72,$N:$N,N72,$AF:$AF,AF72,$AJ:$AJ,AJ72)&gt;1,
"Exact Duplicate",
"Conflicting Duplicate"))</f>
        <v>Unique</v>
      </c>
      <c r="D72" t="s">
        <v>454</v>
      </c>
      <c r="E72" t="s">
        <v>455</v>
      </c>
      <c r="F72" s="3">
        <v>45891</v>
      </c>
      <c r="G72" s="2">
        <v>45896</v>
      </c>
      <c r="H72" s="5" t="str">
        <f t="shared" si="18"/>
        <v>August</v>
      </c>
      <c r="I72" s="5">
        <f t="shared" si="19"/>
        <v>2025</v>
      </c>
      <c r="J72" t="str">
        <f>IF(F72="","Missing Date",
IF(ISNUMBER(F72),"Valid","Invalid Date"))</f>
        <v>Valid</v>
      </c>
      <c r="K72" t="str">
        <f t="shared" si="20"/>
        <v>Valid</v>
      </c>
      <c r="L72">
        <f>G72-F72</f>
        <v>5</v>
      </c>
      <c r="M72" t="s">
        <v>456</v>
      </c>
      <c r="N72" t="s">
        <v>25</v>
      </c>
      <c r="O72" t="str">
        <f t="shared" si="21"/>
        <v>Karan Malhotra</v>
      </c>
      <c r="P72" t="s">
        <v>108</v>
      </c>
      <c r="Q72" t="str">
        <f t="shared" si="22"/>
        <v>Corporate</v>
      </c>
      <c r="R72" t="s">
        <v>62</v>
      </c>
      <c r="S72" t="str">
        <f t="shared" si="23"/>
        <v>South</v>
      </c>
      <c r="T72" t="s">
        <v>100</v>
      </c>
      <c r="U72" t="str">
        <f t="shared" si="24"/>
        <v>Andhra Pradesh</v>
      </c>
      <c r="V72" t="s">
        <v>101</v>
      </c>
      <c r="W72" t="str">
        <f t="shared" si="25"/>
        <v>Vijayawada</v>
      </c>
      <c r="X72" t="s">
        <v>86</v>
      </c>
      <c r="Y72" t="str">
        <f t="shared" si="26"/>
        <v>Technology</v>
      </c>
      <c r="Z72" t="s">
        <v>223</v>
      </c>
      <c r="AA72" t="str">
        <f t="shared" si="27"/>
        <v>Phones</v>
      </c>
      <c r="AB72" t="s">
        <v>457</v>
      </c>
      <c r="AC72" t="s">
        <v>56</v>
      </c>
      <c r="AD72" t="str">
        <f t="shared" si="28"/>
        <v>First Class</v>
      </c>
      <c r="AE72">
        <v>2</v>
      </c>
      <c r="AF72">
        <v>905.87</v>
      </c>
      <c r="AG72">
        <v>0.15</v>
      </c>
      <c r="AH72">
        <v>0.15</v>
      </c>
      <c r="AI72" t="str">
        <f t="shared" si="29"/>
        <v>Valid</v>
      </c>
      <c r="AJ72">
        <v>1539.98</v>
      </c>
      <c r="AK72">
        <f t="shared" si="30"/>
        <v>1539.979</v>
      </c>
      <c r="AL72">
        <v>1070.2</v>
      </c>
      <c r="AM72">
        <v>469.78</v>
      </c>
      <c r="AN72">
        <f t="shared" si="31"/>
        <v>469.779</v>
      </c>
      <c r="AO72">
        <f t="shared" si="32"/>
        <v>-1070.2</v>
      </c>
      <c r="AP72" t="s">
        <v>34</v>
      </c>
      <c r="AQ72" t="str">
        <f t="shared" si="33"/>
        <v>Paid</v>
      </c>
      <c r="AR72" t="s">
        <v>35</v>
      </c>
      <c r="AS72" t="str">
        <f t="shared" si="34"/>
        <v>Completed</v>
      </c>
      <c r="AT72" t="str">
        <f t="shared" si="35"/>
        <v>Clean</v>
      </c>
    </row>
    <row r="73" spans="1:46">
      <c r="A73" t="s">
        <v>458</v>
      </c>
      <c r="B73">
        <f>COUNTIF($D$2:D73,D73)</f>
        <v>1</v>
      </c>
      <c r="C73" t="str">
        <f>IF(COUNTIF($A:$A,A73)=1,
"Unique",
IF(COUNTIFS($A:$A,A73,$N:$N,N73,$AF:$AF,AF73,$AJ:$AJ,AJ73)&gt;1,
"Exact Duplicate",
"Conflicting Duplicate"))</f>
        <v>Unique</v>
      </c>
      <c r="D73" t="s">
        <v>91</v>
      </c>
      <c r="E73" t="s">
        <v>459</v>
      </c>
      <c r="F73" s="3">
        <v>45763</v>
      </c>
      <c r="G73" s="3">
        <v>45770</v>
      </c>
      <c r="H73" s="5" t="str">
        <f t="shared" si="18"/>
        <v>April</v>
      </c>
      <c r="I73" s="5">
        <f t="shared" si="19"/>
        <v>2025</v>
      </c>
      <c r="J73" t="str">
        <f>IF(F73="","Missing Date",
IF(ISNUMBER(F73),"Valid","Invalid Date"))</f>
        <v>Valid</v>
      </c>
      <c r="K73" t="str">
        <f t="shared" si="20"/>
        <v>Valid</v>
      </c>
      <c r="L73">
        <f>G73-F73</f>
        <v>7</v>
      </c>
      <c r="M73" t="s">
        <v>460</v>
      </c>
      <c r="N73" t="s">
        <v>40</v>
      </c>
      <c r="O73" t="str">
        <f t="shared" si="21"/>
        <v>Mira Das</v>
      </c>
      <c r="P73" t="s">
        <v>41</v>
      </c>
      <c r="Q73" t="str">
        <f t="shared" si="22"/>
        <v>Small Business</v>
      </c>
      <c r="R73" t="s">
        <v>73</v>
      </c>
      <c r="S73" t="str">
        <f t="shared" si="23"/>
        <v>West</v>
      </c>
      <c r="T73" t="s">
        <v>249</v>
      </c>
      <c r="U73" t="str">
        <f t="shared" si="24"/>
        <v>Goa</v>
      </c>
      <c r="V73" t="s">
        <v>250</v>
      </c>
      <c r="W73" t="str">
        <f t="shared" si="25"/>
        <v>Panaji</v>
      </c>
      <c r="X73" t="s">
        <v>86</v>
      </c>
      <c r="Y73" t="str">
        <f t="shared" si="26"/>
        <v>Technology</v>
      </c>
      <c r="Z73" t="s">
        <v>382</v>
      </c>
      <c r="AA73" t="str">
        <f t="shared" si="27"/>
        <v>Machines</v>
      </c>
      <c r="AB73" t="s">
        <v>461</v>
      </c>
      <c r="AC73" t="s">
        <v>67</v>
      </c>
      <c r="AD73" t="str">
        <f t="shared" si="28"/>
        <v>Standard Class</v>
      </c>
      <c r="AE73">
        <v>6</v>
      </c>
      <c r="AF73">
        <v>2027.32</v>
      </c>
      <c r="AG73">
        <v>0.1</v>
      </c>
      <c r="AH73">
        <v>0.1</v>
      </c>
      <c r="AI73" t="str">
        <f t="shared" si="29"/>
        <v>Valid</v>
      </c>
      <c r="AJ73">
        <v>10947.53</v>
      </c>
      <c r="AK73">
        <f t="shared" si="30"/>
        <v>10947.528</v>
      </c>
      <c r="AL73">
        <v>6447.36</v>
      </c>
      <c r="AM73">
        <v>4500.17</v>
      </c>
      <c r="AN73">
        <f t="shared" si="31"/>
        <v>4500.1680000000006</v>
      </c>
      <c r="AO73">
        <f t="shared" si="32"/>
        <v>-6447.36</v>
      </c>
      <c r="AP73" t="s">
        <v>34</v>
      </c>
      <c r="AQ73" t="str">
        <f t="shared" si="33"/>
        <v>Paid</v>
      </c>
      <c r="AR73" t="s">
        <v>35</v>
      </c>
      <c r="AS73" t="str">
        <f t="shared" si="34"/>
        <v>Completed</v>
      </c>
      <c r="AT73" t="str">
        <f t="shared" si="35"/>
        <v>Clean</v>
      </c>
    </row>
    <row r="74" spans="1:46">
      <c r="A74" t="s">
        <v>462</v>
      </c>
      <c r="B74">
        <f>COUNTIF($D$2:D74,D74)</f>
        <v>1</v>
      </c>
      <c r="C74" t="str">
        <f>IF(COUNTIF($A:$A,A74)=1,
"Unique",
IF(COUNTIFS($A:$A,A74,$N:$N,N74,$AF:$AF,AF74,$AJ:$AJ,AJ74)&gt;1,
"Exact Duplicate",
"Conflicting Duplicate"))</f>
        <v>Unique</v>
      </c>
      <c r="D74" t="s">
        <v>463</v>
      </c>
      <c r="E74" t="s">
        <v>464</v>
      </c>
      <c r="F74" s="3">
        <v>45598</v>
      </c>
      <c r="G74" s="2">
        <v>45475</v>
      </c>
      <c r="H74" s="5" t="str">
        <f t="shared" si="18"/>
        <v>November</v>
      </c>
      <c r="I74" s="5">
        <f t="shared" si="19"/>
        <v>2024</v>
      </c>
      <c r="J74" t="str">
        <f>IF(F74="","Missing Date",
IF(ISNUMBER(F74),"Valid","Invalid Date"))</f>
        <v>Valid</v>
      </c>
      <c r="K74" t="str">
        <f t="shared" si="20"/>
        <v>Valid</v>
      </c>
      <c r="L74">
        <f>G74-F74</f>
        <v>-123</v>
      </c>
      <c r="M74" t="s">
        <v>465</v>
      </c>
      <c r="N74" t="s">
        <v>25</v>
      </c>
      <c r="O74" t="str">
        <f t="shared" si="21"/>
        <v>Karan Malhotra</v>
      </c>
      <c r="P74" t="s">
        <v>115</v>
      </c>
      <c r="Q74" t="str">
        <f t="shared" si="22"/>
        <v>Home Office</v>
      </c>
      <c r="R74" t="s">
        <v>62</v>
      </c>
      <c r="S74" t="str">
        <f t="shared" si="23"/>
        <v>South</v>
      </c>
      <c r="T74" t="s">
        <v>339</v>
      </c>
      <c r="U74" t="str">
        <f t="shared" si="24"/>
        <v>Tamil Nadu</v>
      </c>
      <c r="V74" t="s">
        <v>340</v>
      </c>
      <c r="W74" t="str">
        <f t="shared" si="25"/>
        <v>Chennai</v>
      </c>
      <c r="X74" t="s">
        <v>45</v>
      </c>
      <c r="Y74" t="str">
        <f t="shared" si="26"/>
        <v>Furniture</v>
      </c>
      <c r="Z74" t="s">
        <v>46</v>
      </c>
      <c r="AA74" t="str">
        <f t="shared" si="27"/>
        <v>Tables</v>
      </c>
      <c r="AB74" t="s">
        <v>466</v>
      </c>
      <c r="AC74" t="s">
        <v>56</v>
      </c>
      <c r="AD74" t="str">
        <f t="shared" si="28"/>
        <v>First Class</v>
      </c>
      <c r="AE74">
        <v>7</v>
      </c>
      <c r="AF74">
        <v>2287.4699999999998</v>
      </c>
      <c r="AG74">
        <v>0.15</v>
      </c>
      <c r="AH74">
        <v>0.15</v>
      </c>
      <c r="AI74" t="str">
        <f t="shared" si="29"/>
        <v>Valid</v>
      </c>
      <c r="AJ74">
        <v>13610.45</v>
      </c>
      <c r="AK74">
        <f t="shared" si="30"/>
        <v>13610.446499999998</v>
      </c>
      <c r="AL74">
        <v>10039.049999999999</v>
      </c>
      <c r="AM74">
        <v>3571.4</v>
      </c>
      <c r="AN74">
        <f t="shared" si="31"/>
        <v>3571.3964999999989</v>
      </c>
      <c r="AO74">
        <f t="shared" si="32"/>
        <v>-10039.049999999999</v>
      </c>
      <c r="AP74" t="s">
        <v>34</v>
      </c>
      <c r="AQ74" t="str">
        <f t="shared" si="33"/>
        <v>Paid</v>
      </c>
      <c r="AR74" t="s">
        <v>35</v>
      </c>
      <c r="AS74" t="str">
        <f t="shared" si="34"/>
        <v>Completed</v>
      </c>
      <c r="AT74" t="str">
        <f t="shared" si="35"/>
        <v>Clean</v>
      </c>
    </row>
    <row r="75" spans="1:46">
      <c r="A75" t="s">
        <v>467</v>
      </c>
      <c r="B75">
        <f>COUNTIF($D$2:D75,D75)</f>
        <v>1</v>
      </c>
      <c r="C75" t="str">
        <f>IF(COUNTIF($A:$A,A75)=1,
"Unique",
IF(COUNTIFS($A:$A,A75,$N:$N,N75,$AF:$AF,AF75,$AJ:$AJ,AJ75)&gt;1,
"Exact Duplicate",
"Conflicting Duplicate"))</f>
        <v>Unique</v>
      </c>
      <c r="D75" t="s">
        <v>468</v>
      </c>
      <c r="E75" t="s">
        <v>469</v>
      </c>
      <c r="F75" s="3">
        <v>45745</v>
      </c>
      <c r="G75" s="3">
        <v>45750</v>
      </c>
      <c r="H75" s="5" t="str">
        <f t="shared" si="18"/>
        <v>March</v>
      </c>
      <c r="I75" s="5">
        <f t="shared" si="19"/>
        <v>2025</v>
      </c>
      <c r="J75" t="str">
        <f>IF(F75="","Missing Date",
IF(ISNUMBER(F75),"Valid","Invalid Date"))</f>
        <v>Valid</v>
      </c>
      <c r="K75" t="str">
        <f t="shared" si="20"/>
        <v>Valid</v>
      </c>
      <c r="L75">
        <f>G75-F75</f>
        <v>5</v>
      </c>
      <c r="M75" t="s">
        <v>470</v>
      </c>
      <c r="N75" t="s">
        <v>168</v>
      </c>
      <c r="O75" t="str">
        <f t="shared" si="21"/>
        <v>Sneha Kapoor</v>
      </c>
      <c r="P75" t="s">
        <v>108</v>
      </c>
      <c r="Q75" t="str">
        <f t="shared" si="22"/>
        <v>Corporate</v>
      </c>
      <c r="R75" t="s">
        <v>42</v>
      </c>
      <c r="S75" t="str">
        <f t="shared" si="23"/>
        <v>East</v>
      </c>
      <c r="T75" t="s">
        <v>121</v>
      </c>
      <c r="U75" t="str">
        <f t="shared" si="24"/>
        <v>West Bengal</v>
      </c>
      <c r="V75" t="s">
        <v>122</v>
      </c>
      <c r="W75" t="str">
        <f t="shared" si="25"/>
        <v>Kolkata</v>
      </c>
      <c r="X75" t="s">
        <v>45</v>
      </c>
      <c r="Y75" t="str">
        <f t="shared" si="26"/>
        <v>Furniture</v>
      </c>
      <c r="Z75" t="s">
        <v>204</v>
      </c>
      <c r="AA75" t="str">
        <f t="shared" si="27"/>
        <v>Bookcases</v>
      </c>
      <c r="AB75" t="s">
        <v>471</v>
      </c>
      <c r="AC75" t="s">
        <v>56</v>
      </c>
      <c r="AD75" t="str">
        <f t="shared" si="28"/>
        <v>First Class</v>
      </c>
      <c r="AE75">
        <v>5</v>
      </c>
      <c r="AF75">
        <v>1425.74</v>
      </c>
      <c r="AG75">
        <v>0</v>
      </c>
      <c r="AH75">
        <v>0</v>
      </c>
      <c r="AI75" t="str">
        <f t="shared" si="29"/>
        <v>Valid</v>
      </c>
      <c r="AJ75">
        <v>7128.7</v>
      </c>
      <c r="AK75">
        <f t="shared" si="30"/>
        <v>7128.7</v>
      </c>
      <c r="AL75">
        <v>4382.1499999999996</v>
      </c>
      <c r="AM75">
        <v>2746.55</v>
      </c>
      <c r="AN75">
        <f t="shared" si="31"/>
        <v>2746.55</v>
      </c>
      <c r="AO75">
        <f t="shared" si="32"/>
        <v>-4382.1499999999996</v>
      </c>
      <c r="AP75" t="s">
        <v>34</v>
      </c>
      <c r="AQ75" t="str">
        <f t="shared" si="33"/>
        <v>Paid</v>
      </c>
      <c r="AR75" t="s">
        <v>35</v>
      </c>
      <c r="AS75" t="str">
        <f t="shared" si="34"/>
        <v>Completed</v>
      </c>
      <c r="AT75" t="str">
        <f t="shared" si="35"/>
        <v>Clean</v>
      </c>
    </row>
    <row r="76" spans="1:46">
      <c r="A76" t="s">
        <v>472</v>
      </c>
      <c r="B76">
        <f>COUNTIF($D$2:D76,D76)</f>
        <v>1</v>
      </c>
      <c r="C76" t="str">
        <f>IF(COUNTIF($A:$A,A76)=1,
"Unique",
IF(COUNTIFS($A:$A,A76,$N:$N,N76,$AF:$AF,AF76,$AJ:$AJ,AJ76)&gt;1,
"Exact Duplicate",
"Conflicting Duplicate"))</f>
        <v>Unique</v>
      </c>
      <c r="D76" t="s">
        <v>473</v>
      </c>
      <c r="E76" t="s">
        <v>474</v>
      </c>
      <c r="F76" s="3">
        <v>45715</v>
      </c>
      <c r="G76" s="3">
        <v>45660</v>
      </c>
      <c r="H76" s="5" t="str">
        <f t="shared" si="18"/>
        <v>February</v>
      </c>
      <c r="I76" s="5">
        <f t="shared" si="19"/>
        <v>2025</v>
      </c>
      <c r="J76" t="str">
        <f>IF(F76="","Missing Date",
IF(ISNUMBER(F76),"Valid","Invalid Date"))</f>
        <v>Valid</v>
      </c>
      <c r="K76" t="str">
        <f t="shared" si="20"/>
        <v>Valid</v>
      </c>
      <c r="L76">
        <f>G76-F76</f>
        <v>-55</v>
      </c>
      <c r="M76" t="s">
        <v>475</v>
      </c>
      <c r="N76" t="s">
        <v>83</v>
      </c>
      <c r="O76" t="str">
        <f t="shared" si="21"/>
        <v>Vikram Iyer</v>
      </c>
      <c r="P76" t="s">
        <v>41</v>
      </c>
      <c r="Q76" t="str">
        <f t="shared" si="22"/>
        <v>Small Business</v>
      </c>
      <c r="R76" t="s">
        <v>42</v>
      </c>
      <c r="S76" t="str">
        <f t="shared" si="23"/>
        <v>East</v>
      </c>
      <c r="T76" t="s">
        <v>121</v>
      </c>
      <c r="U76" t="str">
        <f t="shared" si="24"/>
        <v>West Bengal</v>
      </c>
      <c r="V76" t="s">
        <v>122</v>
      </c>
      <c r="W76" t="str">
        <f t="shared" si="25"/>
        <v>Kolkata</v>
      </c>
      <c r="X76" t="s">
        <v>45</v>
      </c>
      <c r="Y76" t="str">
        <f t="shared" si="26"/>
        <v>Furniture</v>
      </c>
      <c r="Z76" t="s">
        <v>76</v>
      </c>
      <c r="AA76" t="str">
        <f t="shared" si="27"/>
        <v>Chairs</v>
      </c>
      <c r="AB76" t="s">
        <v>476</v>
      </c>
      <c r="AC76" t="s">
        <v>67</v>
      </c>
      <c r="AD76" t="str">
        <f t="shared" si="28"/>
        <v>Standard Class</v>
      </c>
      <c r="AE76">
        <v>6</v>
      </c>
      <c r="AF76">
        <v>551.64</v>
      </c>
      <c r="AG76">
        <v>0</v>
      </c>
      <c r="AH76">
        <v>0</v>
      </c>
      <c r="AI76" t="str">
        <f t="shared" si="29"/>
        <v>Valid</v>
      </c>
      <c r="AJ76">
        <v>3309.84</v>
      </c>
      <c r="AK76">
        <f t="shared" si="30"/>
        <v>3309.84</v>
      </c>
      <c r="AL76">
        <v>2671.08</v>
      </c>
      <c r="AM76">
        <v>638.76</v>
      </c>
      <c r="AN76">
        <f t="shared" si="31"/>
        <v>638.76000000000022</v>
      </c>
      <c r="AO76">
        <f t="shared" si="32"/>
        <v>-2671.08</v>
      </c>
      <c r="AP76" t="s">
        <v>34</v>
      </c>
      <c r="AQ76" t="str">
        <f t="shared" si="33"/>
        <v>Paid</v>
      </c>
      <c r="AR76" t="s">
        <v>35</v>
      </c>
      <c r="AS76" t="str">
        <f t="shared" si="34"/>
        <v>Completed</v>
      </c>
      <c r="AT76" t="str">
        <f t="shared" si="35"/>
        <v>Clean</v>
      </c>
    </row>
    <row r="77" spans="1:46">
      <c r="A77" t="s">
        <v>477</v>
      </c>
      <c r="B77">
        <f>COUNTIF($D$2:D77,D77)</f>
        <v>2</v>
      </c>
      <c r="C77" t="str">
        <f>IF(COUNTIF($A:$A,A77)=1,
"Unique",
IF(COUNTIFS($A:$A,A77,$N:$N,N77,$AF:$AF,AF77,$AJ:$AJ,AJ77)&gt;1,
"Exact Duplicate",
"Conflicting Duplicate"))</f>
        <v>Unique</v>
      </c>
      <c r="D77" t="s">
        <v>478</v>
      </c>
      <c r="E77" t="s">
        <v>479</v>
      </c>
      <c r="F77" s="3">
        <v>45891</v>
      </c>
      <c r="G77" s="3">
        <v>45896</v>
      </c>
      <c r="H77" s="5" t="str">
        <f t="shared" si="18"/>
        <v>August</v>
      </c>
      <c r="I77" s="5">
        <f t="shared" si="19"/>
        <v>2025</v>
      </c>
      <c r="J77" t="str">
        <f>IF(F77="","Missing Date",
IF(ISNUMBER(F77),"Valid","Invalid Date"))</f>
        <v>Valid</v>
      </c>
      <c r="K77" t="str">
        <f t="shared" si="20"/>
        <v>Valid</v>
      </c>
      <c r="L77">
        <f>G77-F77</f>
        <v>5</v>
      </c>
      <c r="M77" t="s">
        <v>480</v>
      </c>
      <c r="N77" t="s">
        <v>142</v>
      </c>
      <c r="O77" t="str">
        <f t="shared" si="21"/>
        <v>Priya Menon</v>
      </c>
      <c r="P77" t="s">
        <v>41</v>
      </c>
      <c r="Q77" t="str">
        <f t="shared" si="22"/>
        <v>Small Business</v>
      </c>
      <c r="R77" t="s">
        <v>42</v>
      </c>
      <c r="S77" t="str">
        <f t="shared" si="23"/>
        <v>East</v>
      </c>
      <c r="T77" t="s">
        <v>43</v>
      </c>
      <c r="U77" t="str">
        <f t="shared" si="24"/>
        <v>Odisha</v>
      </c>
      <c r="V77" t="s">
        <v>44</v>
      </c>
      <c r="W77" t="str">
        <f t="shared" si="25"/>
        <v>Bhubaneswar</v>
      </c>
      <c r="X77" t="s">
        <v>30</v>
      </c>
      <c r="Y77" t="str">
        <f t="shared" si="26"/>
        <v>Office Supplies</v>
      </c>
      <c r="Z77" t="s">
        <v>109</v>
      </c>
      <c r="AA77" t="str">
        <f t="shared" si="27"/>
        <v>Labels</v>
      </c>
      <c r="AB77" t="s">
        <v>481</v>
      </c>
      <c r="AC77" t="s">
        <v>56</v>
      </c>
      <c r="AD77" t="str">
        <f t="shared" si="28"/>
        <v>First Class</v>
      </c>
      <c r="AE77">
        <v>3</v>
      </c>
      <c r="AF77">
        <v>3294.82</v>
      </c>
      <c r="AG77">
        <v>0.2</v>
      </c>
      <c r="AH77">
        <v>0.2</v>
      </c>
      <c r="AI77" t="str">
        <f t="shared" si="29"/>
        <v>Valid</v>
      </c>
      <c r="AJ77">
        <v>7907.57</v>
      </c>
      <c r="AK77">
        <f t="shared" si="30"/>
        <v>7907.5680000000011</v>
      </c>
      <c r="AL77">
        <v>5391.18</v>
      </c>
      <c r="AM77">
        <v>2516.39</v>
      </c>
      <c r="AN77">
        <f t="shared" si="31"/>
        <v>2516.3880000000008</v>
      </c>
      <c r="AO77">
        <f t="shared" si="32"/>
        <v>-5391.18</v>
      </c>
      <c r="AP77" t="s">
        <v>34</v>
      </c>
      <c r="AQ77" t="str">
        <f t="shared" si="33"/>
        <v>Paid</v>
      </c>
      <c r="AR77" t="s">
        <v>35</v>
      </c>
      <c r="AS77" t="str">
        <f t="shared" si="34"/>
        <v>Completed</v>
      </c>
      <c r="AT77" t="str">
        <f t="shared" si="35"/>
        <v>Clean</v>
      </c>
    </row>
    <row r="78" spans="1:46">
      <c r="A78" t="s">
        <v>482</v>
      </c>
      <c r="B78">
        <f>COUNTIF($D$2:D78,D78)</f>
        <v>1</v>
      </c>
      <c r="C78" t="str">
        <f>IF(COUNTIF($A:$A,A78)=1,
"Unique",
IF(COUNTIFS($A:$A,A78,$N:$N,N78,$AF:$AF,AF78,$AJ:$AJ,AJ78)&gt;1,
"Exact Duplicate",
"Conflicting Duplicate"))</f>
        <v>Unique</v>
      </c>
      <c r="D78" t="s">
        <v>483</v>
      </c>
      <c r="E78" t="s">
        <v>484</v>
      </c>
      <c r="F78" s="2">
        <v>45362</v>
      </c>
      <c r="G78" s="3">
        <v>45607</v>
      </c>
      <c r="H78" s="5" t="str">
        <f t="shared" si="18"/>
        <v>March</v>
      </c>
      <c r="I78" s="5">
        <f t="shared" si="19"/>
        <v>2024</v>
      </c>
      <c r="J78" t="str">
        <f>IF(F78="","Missing Date",
IF(ISNUMBER(F78),"Valid","Invalid Date"))</f>
        <v>Valid</v>
      </c>
      <c r="K78" t="str">
        <f t="shared" si="20"/>
        <v>Valid</v>
      </c>
      <c r="L78">
        <f>G78-F78</f>
        <v>245</v>
      </c>
      <c r="M78" t="s">
        <v>485</v>
      </c>
      <c r="N78" t="s">
        <v>72</v>
      </c>
      <c r="O78" t="str">
        <f t="shared" si="21"/>
        <v>Ananya Rao</v>
      </c>
      <c r="P78" t="s">
        <v>108</v>
      </c>
      <c r="Q78" t="str">
        <f t="shared" si="22"/>
        <v>Corporate</v>
      </c>
      <c r="R78" t="s">
        <v>42</v>
      </c>
      <c r="S78" t="str">
        <f t="shared" si="23"/>
        <v>East</v>
      </c>
      <c r="T78" t="s">
        <v>311</v>
      </c>
      <c r="U78" t="str">
        <f t="shared" si="24"/>
        <v>Jharkhand</v>
      </c>
      <c r="V78" t="s">
        <v>312</v>
      </c>
      <c r="W78" t="str">
        <f t="shared" si="25"/>
        <v>Ranchi</v>
      </c>
      <c r="X78" t="s">
        <v>30</v>
      </c>
      <c r="Y78" t="str">
        <f t="shared" si="26"/>
        <v>Office Supplies</v>
      </c>
      <c r="Z78" t="s">
        <v>109</v>
      </c>
      <c r="AA78" t="str">
        <f t="shared" si="27"/>
        <v>Labels</v>
      </c>
      <c r="AB78" t="s">
        <v>486</v>
      </c>
      <c r="AC78" t="s">
        <v>33</v>
      </c>
      <c r="AD78" t="str">
        <f t="shared" si="28"/>
        <v>Second Class</v>
      </c>
      <c r="AE78">
        <v>3</v>
      </c>
      <c r="AF78">
        <v>3406.27</v>
      </c>
      <c r="AG78">
        <v>0</v>
      </c>
      <c r="AH78">
        <v>0</v>
      </c>
      <c r="AI78" t="str">
        <f t="shared" si="29"/>
        <v>Valid</v>
      </c>
      <c r="AJ78">
        <v>10218.81</v>
      </c>
      <c r="AK78">
        <f t="shared" si="30"/>
        <v>10218.81</v>
      </c>
      <c r="AL78">
        <v>7616.97</v>
      </c>
      <c r="AM78">
        <v>2601.84</v>
      </c>
      <c r="AN78">
        <f t="shared" si="31"/>
        <v>2601.8399999999992</v>
      </c>
      <c r="AO78">
        <f t="shared" si="32"/>
        <v>-7616.97</v>
      </c>
      <c r="AP78" t="s">
        <v>34</v>
      </c>
      <c r="AQ78" t="str">
        <f t="shared" si="33"/>
        <v>Paid</v>
      </c>
      <c r="AR78" t="s">
        <v>35</v>
      </c>
      <c r="AS78" t="str">
        <f t="shared" si="34"/>
        <v>Completed</v>
      </c>
      <c r="AT78" t="str">
        <f t="shared" si="35"/>
        <v>Clean</v>
      </c>
    </row>
    <row r="79" spans="1:46">
      <c r="A79" t="s">
        <v>487</v>
      </c>
      <c r="B79">
        <f>COUNTIF($D$2:D79,D79)</f>
        <v>1</v>
      </c>
      <c r="C79" t="str">
        <f>IF(COUNTIF($A:$A,A79)=1,
"Unique",
IF(COUNTIFS($A:$A,A79,$N:$N,N79,$AF:$AF,AF79,$AJ:$AJ,AJ79)&gt;1,
"Exact Duplicate",
"Conflicting Duplicate"))</f>
        <v>Unique</v>
      </c>
      <c r="D79" t="s">
        <v>488</v>
      </c>
      <c r="E79" t="s">
        <v>489</v>
      </c>
      <c r="F79" s="3">
        <v>45846</v>
      </c>
      <c r="G79" s="3">
        <v>45998</v>
      </c>
      <c r="H79" s="5" t="str">
        <f t="shared" si="18"/>
        <v>July</v>
      </c>
      <c r="I79" s="5">
        <f t="shared" si="19"/>
        <v>2025</v>
      </c>
      <c r="J79" t="str">
        <f>IF(F79="","Missing Date",
IF(ISNUMBER(F79),"Valid","Invalid Date"))</f>
        <v>Valid</v>
      </c>
      <c r="K79" t="str">
        <f t="shared" si="20"/>
        <v>Valid</v>
      </c>
      <c r="L79">
        <f>G79-F79</f>
        <v>152</v>
      </c>
      <c r="M79" t="s">
        <v>490</v>
      </c>
      <c r="N79" t="s">
        <v>180</v>
      </c>
      <c r="O79" t="str">
        <f t="shared" si="21"/>
        <v>Rohan Mehta</v>
      </c>
      <c r="P79" t="s">
        <v>115</v>
      </c>
      <c r="Q79" t="str">
        <f t="shared" si="22"/>
        <v>Home Office</v>
      </c>
      <c r="R79" t="s">
        <v>27</v>
      </c>
      <c r="S79" t="str">
        <f t="shared" si="23"/>
        <v>North</v>
      </c>
      <c r="T79" t="s">
        <v>174</v>
      </c>
      <c r="U79" t="str">
        <f t="shared" si="24"/>
        <v>Uttar Pradesh</v>
      </c>
      <c r="V79" t="s">
        <v>175</v>
      </c>
      <c r="W79" t="str">
        <f t="shared" si="25"/>
        <v>Noida</v>
      </c>
      <c r="X79" t="s">
        <v>45</v>
      </c>
      <c r="Y79" t="str">
        <f t="shared" si="26"/>
        <v>Furniture</v>
      </c>
      <c r="Z79" t="s">
        <v>65</v>
      </c>
      <c r="AA79" t="str">
        <f t="shared" si="27"/>
        <v>Furnishings</v>
      </c>
      <c r="AB79" t="s">
        <v>491</v>
      </c>
      <c r="AC79" t="s">
        <v>67</v>
      </c>
      <c r="AD79" t="str">
        <f t="shared" si="28"/>
        <v>Standard Class</v>
      </c>
      <c r="AE79">
        <v>1</v>
      </c>
      <c r="AF79">
        <v>2582.1999999999998</v>
      </c>
      <c r="AG79">
        <v>0.15</v>
      </c>
      <c r="AH79">
        <v>0.15</v>
      </c>
      <c r="AI79" t="str">
        <f t="shared" si="29"/>
        <v>Valid</v>
      </c>
      <c r="AJ79">
        <v>2194.87</v>
      </c>
      <c r="AK79">
        <f t="shared" si="30"/>
        <v>2194.87</v>
      </c>
      <c r="AL79">
        <v>1223.17</v>
      </c>
      <c r="AM79">
        <v>971.7</v>
      </c>
      <c r="AN79">
        <f t="shared" si="31"/>
        <v>971.69999999999982</v>
      </c>
      <c r="AO79">
        <f t="shared" si="32"/>
        <v>-1223.17</v>
      </c>
      <c r="AP79" t="s">
        <v>124</v>
      </c>
      <c r="AQ79" t="str">
        <f t="shared" si="33"/>
        <v>Refunded</v>
      </c>
      <c r="AR79" t="s">
        <v>78</v>
      </c>
      <c r="AS79" t="str">
        <f t="shared" si="34"/>
        <v>Cancelled</v>
      </c>
      <c r="AT79" t="str">
        <f t="shared" si="35"/>
        <v>Clean</v>
      </c>
    </row>
    <row r="80" spans="1:46">
      <c r="A80" t="s">
        <v>492</v>
      </c>
      <c r="B80">
        <f>COUNTIF($D$2:D80,D80)</f>
        <v>1</v>
      </c>
      <c r="C80" t="str">
        <f>IF(COUNTIF($A:$A,A80)=1,
"Unique",
IF(COUNTIFS($A:$A,A80,$N:$N,N80,$AF:$AF,AF80,$AJ:$AJ,AJ80)&gt;1,
"Exact Duplicate",
"Conflicting Duplicate"))</f>
        <v>Unique</v>
      </c>
      <c r="D80" t="s">
        <v>493</v>
      </c>
      <c r="E80" t="s">
        <v>494</v>
      </c>
      <c r="F80" s="3">
        <v>45854</v>
      </c>
      <c r="G80" s="3">
        <v>45859</v>
      </c>
      <c r="H80" s="5" t="str">
        <f t="shared" si="18"/>
        <v>July</v>
      </c>
      <c r="I80" s="5">
        <f t="shared" si="19"/>
        <v>2025</v>
      </c>
      <c r="J80" t="str">
        <f>IF(F80="","Missing Date",
IF(ISNUMBER(F80),"Valid","Invalid Date"))</f>
        <v>Valid</v>
      </c>
      <c r="K80" t="str">
        <f t="shared" si="20"/>
        <v>Valid</v>
      </c>
      <c r="L80">
        <f>G80-F80</f>
        <v>5</v>
      </c>
      <c r="M80" t="s">
        <v>495</v>
      </c>
      <c r="N80" t="s">
        <v>168</v>
      </c>
      <c r="O80" t="str">
        <f t="shared" si="21"/>
        <v>Sneha Kapoor</v>
      </c>
      <c r="P80" t="s">
        <v>108</v>
      </c>
      <c r="Q80" t="str">
        <f t="shared" si="22"/>
        <v>Corporate</v>
      </c>
      <c r="R80" t="s">
        <v>42</v>
      </c>
      <c r="S80" t="str">
        <f t="shared" si="23"/>
        <v>East</v>
      </c>
      <c r="T80" t="s">
        <v>121</v>
      </c>
      <c r="U80" t="str">
        <f t="shared" si="24"/>
        <v>West Bengal</v>
      </c>
      <c r="V80" t="s">
        <v>122</v>
      </c>
      <c r="W80" t="str">
        <f t="shared" si="25"/>
        <v>Kolkata</v>
      </c>
      <c r="X80" t="s">
        <v>45</v>
      </c>
      <c r="Y80" t="str">
        <f t="shared" si="26"/>
        <v>Furniture</v>
      </c>
      <c r="Z80" t="s">
        <v>46</v>
      </c>
      <c r="AA80" t="str">
        <f t="shared" si="27"/>
        <v>Tables</v>
      </c>
      <c r="AB80" t="s">
        <v>496</v>
      </c>
      <c r="AC80" t="s">
        <v>56</v>
      </c>
      <c r="AD80" t="str">
        <f t="shared" si="28"/>
        <v>First Class</v>
      </c>
      <c r="AE80">
        <v>5</v>
      </c>
      <c r="AF80">
        <v>2129.5100000000002</v>
      </c>
      <c r="AG80">
        <v>0.15</v>
      </c>
      <c r="AH80">
        <v>0.15</v>
      </c>
      <c r="AI80" t="str">
        <f t="shared" si="29"/>
        <v>Valid</v>
      </c>
      <c r="AJ80">
        <v>9050.42</v>
      </c>
      <c r="AK80">
        <f t="shared" si="30"/>
        <v>9050.4175000000014</v>
      </c>
      <c r="AL80">
        <v>6778.85</v>
      </c>
      <c r="AM80">
        <v>2271.5700000000002</v>
      </c>
      <c r="AN80">
        <f t="shared" si="31"/>
        <v>2271.567500000001</v>
      </c>
      <c r="AO80">
        <f t="shared" si="32"/>
        <v>-6778.85</v>
      </c>
      <c r="AP80" t="s">
        <v>34</v>
      </c>
      <c r="AQ80" t="str">
        <f t="shared" si="33"/>
        <v>Paid</v>
      </c>
      <c r="AR80" t="s">
        <v>35</v>
      </c>
      <c r="AS80" t="str">
        <f t="shared" si="34"/>
        <v>Completed</v>
      </c>
      <c r="AT80" t="str">
        <f t="shared" si="35"/>
        <v>Clean</v>
      </c>
    </row>
    <row r="81" spans="1:46">
      <c r="A81" t="s">
        <v>497</v>
      </c>
      <c r="B81">
        <f>COUNTIF($D$2:D81,D81)</f>
        <v>1</v>
      </c>
      <c r="C81" t="str">
        <f>IF(COUNTIF($A:$A,A81)=1,
"Unique",
IF(COUNTIFS($A:$A,A81,$N:$N,N81,$AF:$AF,AF81,$AJ:$AJ,AJ81)&gt;1,
"Exact Duplicate",
"Conflicting Duplicate"))</f>
        <v>Unique</v>
      </c>
      <c r="D81" t="s">
        <v>498</v>
      </c>
      <c r="E81" t="s">
        <v>499</v>
      </c>
      <c r="F81" s="3">
        <v>45927</v>
      </c>
      <c r="G81" s="3">
        <v>45726</v>
      </c>
      <c r="H81" s="5" t="str">
        <f t="shared" si="18"/>
        <v>September</v>
      </c>
      <c r="I81" s="5">
        <f t="shared" si="19"/>
        <v>2025</v>
      </c>
      <c r="J81" t="str">
        <f>IF(F81="","Missing Date",
IF(ISNUMBER(F81),"Valid","Invalid Date"))</f>
        <v>Valid</v>
      </c>
      <c r="K81" t="str">
        <f t="shared" si="20"/>
        <v>Valid</v>
      </c>
      <c r="L81">
        <f>G81-F81</f>
        <v>-201</v>
      </c>
      <c r="M81" t="s">
        <v>500</v>
      </c>
      <c r="N81" t="s">
        <v>210</v>
      </c>
      <c r="O81" t="str">
        <f t="shared" si="21"/>
        <v>Diya Patel</v>
      </c>
      <c r="P81" t="s">
        <v>115</v>
      </c>
      <c r="Q81" t="str">
        <f t="shared" si="22"/>
        <v>Home Office</v>
      </c>
      <c r="R81" t="s">
        <v>62</v>
      </c>
      <c r="S81" t="str">
        <f t="shared" si="23"/>
        <v>South</v>
      </c>
      <c r="T81" t="s">
        <v>339</v>
      </c>
      <c r="U81" t="str">
        <f t="shared" si="24"/>
        <v>Tamil Nadu</v>
      </c>
      <c r="V81" t="s">
        <v>340</v>
      </c>
      <c r="W81" t="str">
        <f t="shared" si="25"/>
        <v>Chennai</v>
      </c>
      <c r="X81" t="s">
        <v>45</v>
      </c>
      <c r="Y81" t="str">
        <f t="shared" si="26"/>
        <v>Furniture</v>
      </c>
      <c r="Z81" t="s">
        <v>76</v>
      </c>
      <c r="AA81" t="str">
        <f t="shared" si="27"/>
        <v>Chairs</v>
      </c>
      <c r="AB81" t="s">
        <v>501</v>
      </c>
      <c r="AC81" t="s">
        <v>48</v>
      </c>
      <c r="AD81" t="str">
        <f t="shared" si="28"/>
        <v>Same Day</v>
      </c>
      <c r="AE81">
        <v>9</v>
      </c>
      <c r="AF81">
        <v>4131.5200000000004</v>
      </c>
      <c r="AG81">
        <v>0.1</v>
      </c>
      <c r="AH81">
        <v>0.1</v>
      </c>
      <c r="AI81" t="str">
        <f t="shared" si="29"/>
        <v>Valid</v>
      </c>
      <c r="AJ81">
        <v>33465.31</v>
      </c>
      <c r="AK81">
        <f t="shared" si="30"/>
        <v>33465.312000000005</v>
      </c>
      <c r="AL81">
        <v>24781.26</v>
      </c>
      <c r="AM81">
        <v>8684.0499999999993</v>
      </c>
      <c r="AN81">
        <f t="shared" si="31"/>
        <v>8684.052000000007</v>
      </c>
      <c r="AO81">
        <f t="shared" si="32"/>
        <v>-24781.26</v>
      </c>
      <c r="AP81" t="s">
        <v>34</v>
      </c>
      <c r="AQ81" t="str">
        <f t="shared" si="33"/>
        <v>Paid</v>
      </c>
      <c r="AR81" t="s">
        <v>35</v>
      </c>
      <c r="AS81" t="str">
        <f t="shared" si="34"/>
        <v>Completed</v>
      </c>
      <c r="AT81" t="str">
        <f t="shared" si="35"/>
        <v>Clean</v>
      </c>
    </row>
    <row r="82" spans="1:46">
      <c r="A82" t="s">
        <v>502</v>
      </c>
      <c r="B82">
        <f>COUNTIF($D$2:D82,D82)</f>
        <v>1</v>
      </c>
      <c r="C82" t="str">
        <f>IF(COUNTIF($A:$A,A82)=1,
"Unique",
IF(COUNTIFS($A:$A,A82,$N:$N,N82,$AF:$AF,AF82,$AJ:$AJ,AJ82)&gt;1,
"Exact Duplicate",
"Conflicting Duplicate"))</f>
        <v>Unique</v>
      </c>
      <c r="D82" t="s">
        <v>503</v>
      </c>
      <c r="E82" t="s">
        <v>504</v>
      </c>
      <c r="F82" s="3">
        <v>45573</v>
      </c>
      <c r="G82" s="3">
        <v>45518</v>
      </c>
      <c r="H82" s="5" t="str">
        <f t="shared" si="18"/>
        <v>October</v>
      </c>
      <c r="I82" s="5">
        <f t="shared" si="19"/>
        <v>2024</v>
      </c>
      <c r="J82" t="str">
        <f>IF(F82="","Missing Date",
IF(ISNUMBER(F82),"Valid","Invalid Date"))</f>
        <v>Valid</v>
      </c>
      <c r="K82" t="str">
        <f t="shared" si="20"/>
        <v>Valid</v>
      </c>
      <c r="L82">
        <f>G82-F82</f>
        <v>-55</v>
      </c>
      <c r="M82" t="s">
        <v>505</v>
      </c>
      <c r="N82" t="s">
        <v>162</v>
      </c>
      <c r="O82" t="str">
        <f t="shared" si="21"/>
        <v>Aarav Sharma</v>
      </c>
      <c r="P82" t="s">
        <v>41</v>
      </c>
      <c r="Q82" t="str">
        <f t="shared" si="22"/>
        <v>Small Business</v>
      </c>
      <c r="R82" t="s">
        <v>27</v>
      </c>
      <c r="S82" t="str">
        <f t="shared" si="23"/>
        <v>North</v>
      </c>
      <c r="T82" t="s">
        <v>506</v>
      </c>
      <c r="U82" t="str">
        <f t="shared" si="24"/>
        <v>Delhi</v>
      </c>
      <c r="V82" t="s">
        <v>507</v>
      </c>
      <c r="W82" t="str">
        <f t="shared" si="25"/>
        <v>New Delhi</v>
      </c>
      <c r="X82" t="s">
        <v>30</v>
      </c>
      <c r="Y82" t="str">
        <f t="shared" si="26"/>
        <v>Office Supplies</v>
      </c>
      <c r="Z82" t="s">
        <v>156</v>
      </c>
      <c r="AA82" t="str">
        <f t="shared" si="27"/>
        <v>Storage</v>
      </c>
      <c r="AB82" t="s">
        <v>508</v>
      </c>
      <c r="AC82" t="s">
        <v>33</v>
      </c>
      <c r="AD82" t="str">
        <f t="shared" si="28"/>
        <v>Second Class</v>
      </c>
      <c r="AE82">
        <v>4</v>
      </c>
      <c r="AF82">
        <v>1182.32</v>
      </c>
      <c r="AG82">
        <v>0.1</v>
      </c>
      <c r="AH82">
        <v>0.1</v>
      </c>
      <c r="AI82" t="str">
        <f t="shared" si="29"/>
        <v>Valid</v>
      </c>
      <c r="AJ82">
        <v>4256.3500000000004</v>
      </c>
      <c r="AK82">
        <f t="shared" si="30"/>
        <v>4256.3519999999999</v>
      </c>
      <c r="AL82">
        <v>2495.33</v>
      </c>
      <c r="AM82">
        <v>1761.02</v>
      </c>
      <c r="AN82">
        <f t="shared" si="31"/>
        <v>1761.0219999999999</v>
      </c>
      <c r="AO82">
        <f t="shared" si="32"/>
        <v>-2495.33</v>
      </c>
      <c r="AP82" t="s">
        <v>137</v>
      </c>
      <c r="AQ82" t="str">
        <f t="shared" si="33"/>
        <v>Pending</v>
      </c>
      <c r="AR82" t="s">
        <v>125</v>
      </c>
      <c r="AS82" t="str">
        <f t="shared" si="34"/>
        <v>Returned</v>
      </c>
      <c r="AT82" t="str">
        <f t="shared" si="35"/>
        <v>Clean</v>
      </c>
    </row>
    <row r="83" spans="1:46">
      <c r="A83" t="s">
        <v>509</v>
      </c>
      <c r="B83">
        <f>COUNTIF($D$2:D83,D83)</f>
        <v>1</v>
      </c>
      <c r="C83" t="str">
        <f>IF(COUNTIF($A:$A,A83)=1,
"Unique",
IF(COUNTIFS($A:$A,A83,$N:$N,N83,$AF:$AF,AF83,$AJ:$AJ,AJ83)&gt;1,
"Exact Duplicate",
"Conflicting Duplicate"))</f>
        <v>Unique</v>
      </c>
      <c r="D83" t="s">
        <v>510</v>
      </c>
      <c r="E83" t="s">
        <v>511</v>
      </c>
      <c r="F83" s="3">
        <v>45732</v>
      </c>
      <c r="G83" s="3">
        <v>45733</v>
      </c>
      <c r="H83" s="5" t="str">
        <f t="shared" si="18"/>
        <v>March</v>
      </c>
      <c r="I83" s="5">
        <f t="shared" si="19"/>
        <v>2025</v>
      </c>
      <c r="J83" t="str">
        <f>IF(F83="","Missing Date",
IF(ISNUMBER(F83),"Valid","Invalid Date"))</f>
        <v>Valid</v>
      </c>
      <c r="K83" t="str">
        <f t="shared" si="20"/>
        <v>Valid</v>
      </c>
      <c r="L83">
        <f>G83-F83</f>
        <v>1</v>
      </c>
      <c r="M83" t="s">
        <v>512</v>
      </c>
      <c r="N83" t="s">
        <v>25</v>
      </c>
      <c r="O83" t="str">
        <f t="shared" si="21"/>
        <v>Karan Malhotra</v>
      </c>
      <c r="P83" t="s">
        <v>115</v>
      </c>
      <c r="Q83" t="str">
        <f t="shared" si="22"/>
        <v>Home Office</v>
      </c>
      <c r="R83" t="s">
        <v>73</v>
      </c>
      <c r="S83" t="str">
        <f t="shared" si="23"/>
        <v>West</v>
      </c>
      <c r="T83" t="s">
        <v>249</v>
      </c>
      <c r="U83" t="str">
        <f t="shared" si="24"/>
        <v>Goa</v>
      </c>
      <c r="V83" t="s">
        <v>250</v>
      </c>
      <c r="W83" t="str">
        <f t="shared" si="25"/>
        <v>Panaji</v>
      </c>
      <c r="X83" t="s">
        <v>30</v>
      </c>
      <c r="Y83" t="str">
        <f t="shared" si="26"/>
        <v>Office Supplies</v>
      </c>
      <c r="Z83" t="s">
        <v>109</v>
      </c>
      <c r="AA83" t="str">
        <f t="shared" si="27"/>
        <v>Labels</v>
      </c>
      <c r="AB83" t="s">
        <v>513</v>
      </c>
      <c r="AC83" t="s">
        <v>48</v>
      </c>
      <c r="AD83" t="str">
        <f t="shared" si="28"/>
        <v>Same Day</v>
      </c>
      <c r="AE83">
        <v>3</v>
      </c>
      <c r="AF83">
        <v>1841.91</v>
      </c>
      <c r="AG83">
        <v>0</v>
      </c>
      <c r="AH83">
        <v>0</v>
      </c>
      <c r="AI83" t="str">
        <f t="shared" si="29"/>
        <v>Valid</v>
      </c>
      <c r="AJ83">
        <v>5525.73</v>
      </c>
      <c r="AK83">
        <f t="shared" si="30"/>
        <v>5525.7300000000005</v>
      </c>
      <c r="AL83">
        <v>3093.42</v>
      </c>
      <c r="AM83">
        <v>2432.31</v>
      </c>
      <c r="AN83">
        <f t="shared" si="31"/>
        <v>2432.3100000000004</v>
      </c>
      <c r="AO83">
        <f t="shared" si="32"/>
        <v>-3093.42</v>
      </c>
      <c r="AP83" t="s">
        <v>34</v>
      </c>
      <c r="AQ83" t="str">
        <f t="shared" si="33"/>
        <v>Paid</v>
      </c>
      <c r="AR83" t="s">
        <v>35</v>
      </c>
      <c r="AS83" t="str">
        <f t="shared" si="34"/>
        <v>Completed</v>
      </c>
      <c r="AT83" t="str">
        <f t="shared" si="35"/>
        <v>Clean</v>
      </c>
    </row>
    <row r="84" spans="1:46">
      <c r="A84" t="s">
        <v>514</v>
      </c>
      <c r="B84">
        <f>COUNTIF($D$2:D84,D84)</f>
        <v>1</v>
      </c>
      <c r="C84" t="str">
        <f>IF(COUNTIF($A:$A,A84)=1,
"Unique",
IF(COUNTIFS($A:$A,A84,$N:$N,N84,$AF:$AF,AF84,$AJ:$AJ,AJ84)&gt;1,
"Exact Duplicate",
"Conflicting Duplicate"))</f>
        <v>Unique</v>
      </c>
      <c r="D84" t="s">
        <v>515</v>
      </c>
      <c r="E84" t="s">
        <v>516</v>
      </c>
      <c r="F84" s="3">
        <v>45359</v>
      </c>
      <c r="G84" s="3">
        <v>45390</v>
      </c>
      <c r="H84" s="5" t="str">
        <f t="shared" si="18"/>
        <v>March</v>
      </c>
      <c r="I84" s="5">
        <f t="shared" si="19"/>
        <v>2024</v>
      </c>
      <c r="J84" t="str">
        <f>IF(F84="","Missing Date",
IF(ISNUMBER(F84),"Valid","Invalid Date"))</f>
        <v>Valid</v>
      </c>
      <c r="K84" t="str">
        <f t="shared" si="20"/>
        <v>Valid</v>
      </c>
      <c r="L84">
        <f>G84-F84</f>
        <v>31</v>
      </c>
      <c r="M84" t="s">
        <v>517</v>
      </c>
      <c r="N84" t="s">
        <v>61</v>
      </c>
      <c r="O84" t="str">
        <f t="shared" si="21"/>
        <v>Arjun Bose</v>
      </c>
      <c r="P84" t="s">
        <v>26</v>
      </c>
      <c r="Q84" t="str">
        <f t="shared" si="22"/>
        <v>Consumer</v>
      </c>
      <c r="R84" t="s">
        <v>27</v>
      </c>
      <c r="S84" t="str">
        <f t="shared" si="23"/>
        <v>North</v>
      </c>
      <c r="T84" t="s">
        <v>174</v>
      </c>
      <c r="U84" t="str">
        <f t="shared" si="24"/>
        <v>Uttar Pradesh</v>
      </c>
      <c r="V84" t="s">
        <v>175</v>
      </c>
      <c r="W84" t="str">
        <f t="shared" si="25"/>
        <v>Noida</v>
      </c>
      <c r="X84" t="s">
        <v>86</v>
      </c>
      <c r="Y84" t="str">
        <f t="shared" si="26"/>
        <v>Technology</v>
      </c>
      <c r="Z84" t="s">
        <v>94</v>
      </c>
      <c r="AA84" t="str">
        <f t="shared" si="27"/>
        <v>Copiers</v>
      </c>
      <c r="AB84" t="s">
        <v>518</v>
      </c>
      <c r="AC84" t="s">
        <v>33</v>
      </c>
      <c r="AD84" t="str">
        <f t="shared" si="28"/>
        <v>Second Class</v>
      </c>
      <c r="AE84">
        <v>6</v>
      </c>
      <c r="AF84">
        <v>1001.73</v>
      </c>
      <c r="AG84">
        <v>0</v>
      </c>
      <c r="AH84">
        <v>0</v>
      </c>
      <c r="AI84" t="str">
        <f t="shared" si="29"/>
        <v>Valid</v>
      </c>
      <c r="AJ84">
        <v>6010.38</v>
      </c>
      <c r="AK84">
        <f t="shared" si="30"/>
        <v>6010.38</v>
      </c>
      <c r="AL84">
        <v>3762.85</v>
      </c>
      <c r="AM84">
        <v>2247.5300000000002</v>
      </c>
      <c r="AN84">
        <f t="shared" si="31"/>
        <v>2247.5300000000002</v>
      </c>
      <c r="AO84">
        <f t="shared" si="32"/>
        <v>-3762.85</v>
      </c>
      <c r="AP84" t="s">
        <v>200</v>
      </c>
      <c r="AQ84" t="str">
        <f t="shared" si="33"/>
        <v>Failed</v>
      </c>
      <c r="AR84" t="s">
        <v>125</v>
      </c>
      <c r="AS84" t="str">
        <f t="shared" si="34"/>
        <v>Returned</v>
      </c>
      <c r="AT84" t="str">
        <f t="shared" si="35"/>
        <v>Clean</v>
      </c>
    </row>
    <row r="85" spans="1:46">
      <c r="A85" t="s">
        <v>519</v>
      </c>
      <c r="B85">
        <f>COUNTIF($D$2:D85,D85)</f>
        <v>2</v>
      </c>
      <c r="C85" t="str">
        <f>IF(COUNTIF($A:$A,A85)=1,
"Unique",
IF(COUNTIFS($A:$A,A85,$N:$N,N85,$AF:$AF,AF85,$AJ:$AJ,AJ85)&gt;1,
"Exact Duplicate",
"Conflicting Duplicate"))</f>
        <v>Unique</v>
      </c>
      <c r="D85" t="s">
        <v>363</v>
      </c>
      <c r="E85" t="s">
        <v>520</v>
      </c>
      <c r="F85" s="3">
        <v>45591</v>
      </c>
      <c r="G85" s="3">
        <v>45594</v>
      </c>
      <c r="H85" s="5" t="str">
        <f t="shared" si="18"/>
        <v>October</v>
      </c>
      <c r="I85" s="5">
        <f t="shared" si="19"/>
        <v>2024</v>
      </c>
      <c r="J85" t="str">
        <f>IF(F85="","Missing Date",
IF(ISNUMBER(F85),"Valid","Invalid Date"))</f>
        <v>Valid</v>
      </c>
      <c r="K85" t="str">
        <f t="shared" si="20"/>
        <v>Valid</v>
      </c>
      <c r="L85">
        <f>G85-F85</f>
        <v>3</v>
      </c>
      <c r="M85" t="s">
        <v>521</v>
      </c>
      <c r="N85" t="s">
        <v>107</v>
      </c>
      <c r="O85" t="str">
        <f t="shared" si="21"/>
        <v>Aditi Sen</v>
      </c>
      <c r="P85" t="s">
        <v>115</v>
      </c>
      <c r="Q85" t="str">
        <f t="shared" si="22"/>
        <v>Home Office</v>
      </c>
      <c r="R85" t="s">
        <v>73</v>
      </c>
      <c r="S85" t="str">
        <f t="shared" si="23"/>
        <v>West</v>
      </c>
      <c r="T85" t="s">
        <v>74</v>
      </c>
      <c r="U85" t="str">
        <f t="shared" si="24"/>
        <v>Maharashtra</v>
      </c>
      <c r="V85" t="s">
        <v>75</v>
      </c>
      <c r="W85" t="str">
        <f t="shared" si="25"/>
        <v>Mumbai</v>
      </c>
      <c r="X85" t="s">
        <v>45</v>
      </c>
      <c r="Y85" t="str">
        <f t="shared" si="26"/>
        <v>Furniture</v>
      </c>
      <c r="Z85" t="s">
        <v>46</v>
      </c>
      <c r="AA85" t="str">
        <f t="shared" si="27"/>
        <v>Tables</v>
      </c>
      <c r="AB85" t="s">
        <v>522</v>
      </c>
      <c r="AC85" t="s">
        <v>33</v>
      </c>
      <c r="AD85" t="str">
        <f t="shared" si="28"/>
        <v>Second Class</v>
      </c>
      <c r="AE85">
        <v>9</v>
      </c>
      <c r="AF85">
        <v>131.74</v>
      </c>
      <c r="AG85">
        <v>0.2</v>
      </c>
      <c r="AH85">
        <v>0.2</v>
      </c>
      <c r="AI85" t="str">
        <f t="shared" si="29"/>
        <v>Valid</v>
      </c>
      <c r="AJ85">
        <v>948.53</v>
      </c>
      <c r="AK85">
        <f t="shared" si="30"/>
        <v>948.52800000000013</v>
      </c>
      <c r="AL85">
        <v>674.62</v>
      </c>
      <c r="AM85">
        <v>273.91000000000003</v>
      </c>
      <c r="AN85">
        <f t="shared" si="31"/>
        <v>273.90800000000013</v>
      </c>
      <c r="AO85">
        <f t="shared" si="32"/>
        <v>-674.62</v>
      </c>
      <c r="AP85" t="s">
        <v>34</v>
      </c>
      <c r="AQ85" t="str">
        <f t="shared" si="33"/>
        <v>Paid</v>
      </c>
      <c r="AR85" t="s">
        <v>35</v>
      </c>
      <c r="AS85" t="str">
        <f t="shared" si="34"/>
        <v>Completed</v>
      </c>
      <c r="AT85" t="str">
        <f t="shared" si="35"/>
        <v>Clean</v>
      </c>
    </row>
    <row r="86" spans="1:46">
      <c r="A86" t="s">
        <v>523</v>
      </c>
      <c r="B86">
        <f>COUNTIF($D$2:D86,D86)</f>
        <v>1</v>
      </c>
      <c r="C86" t="str">
        <f>IF(COUNTIF($A:$A,A86)=1,
"Unique",
IF(COUNTIFS($A:$A,A86,$N:$N,N86,$AF:$AF,AF86,$AJ:$AJ,AJ86)&gt;1,
"Exact Duplicate",
"Conflicting Duplicate"))</f>
        <v>Unique</v>
      </c>
      <c r="D86" t="s">
        <v>524</v>
      </c>
      <c r="E86" t="s">
        <v>525</v>
      </c>
      <c r="F86" s="2">
        <v>45301</v>
      </c>
      <c r="G86" s="3">
        <v>45361</v>
      </c>
      <c r="H86" s="5" t="str">
        <f t="shared" si="18"/>
        <v>January</v>
      </c>
      <c r="I86" s="5">
        <f t="shared" si="19"/>
        <v>2024</v>
      </c>
      <c r="J86" t="str">
        <f>IF(F86="","Missing Date",
IF(ISNUMBER(F86),"Valid","Invalid Date"))</f>
        <v>Valid</v>
      </c>
      <c r="K86" t="str">
        <f t="shared" si="20"/>
        <v>Valid</v>
      </c>
      <c r="L86">
        <f>G86-F86</f>
        <v>60</v>
      </c>
      <c r="M86" t="s">
        <v>526</v>
      </c>
      <c r="N86" t="s">
        <v>180</v>
      </c>
      <c r="O86" t="str">
        <f t="shared" si="21"/>
        <v>Rohan Mehta</v>
      </c>
      <c r="P86" t="s">
        <v>108</v>
      </c>
      <c r="Q86" t="str">
        <f t="shared" si="22"/>
        <v>Corporate</v>
      </c>
      <c r="R86" t="s">
        <v>62</v>
      </c>
      <c r="S86" t="str">
        <f t="shared" si="23"/>
        <v>South</v>
      </c>
      <c r="T86" t="s">
        <v>339</v>
      </c>
      <c r="U86" t="str">
        <f t="shared" si="24"/>
        <v>Tamil Nadu</v>
      </c>
      <c r="V86" t="s">
        <v>340</v>
      </c>
      <c r="W86" t="str">
        <f t="shared" si="25"/>
        <v>Chennai</v>
      </c>
      <c r="X86" t="s">
        <v>86</v>
      </c>
      <c r="Y86" t="str">
        <f t="shared" si="26"/>
        <v>Technology</v>
      </c>
      <c r="Z86" t="s">
        <v>223</v>
      </c>
      <c r="AA86" t="str">
        <f t="shared" si="27"/>
        <v>Phones</v>
      </c>
      <c r="AB86" t="s">
        <v>527</v>
      </c>
      <c r="AC86" t="s">
        <v>33</v>
      </c>
      <c r="AD86" t="str">
        <f t="shared" si="28"/>
        <v>Second Class</v>
      </c>
      <c r="AE86">
        <v>6</v>
      </c>
      <c r="AF86">
        <v>570.28</v>
      </c>
      <c r="AG86">
        <v>0.2</v>
      </c>
      <c r="AH86">
        <v>0.2</v>
      </c>
      <c r="AI86" t="str">
        <f t="shared" si="29"/>
        <v>Valid</v>
      </c>
      <c r="AJ86">
        <v>2737.34</v>
      </c>
      <c r="AK86">
        <f t="shared" si="30"/>
        <v>2737.3440000000001</v>
      </c>
      <c r="AL86">
        <v>2085.44</v>
      </c>
      <c r="AM86">
        <v>651.9</v>
      </c>
      <c r="AN86">
        <f t="shared" si="31"/>
        <v>651.904</v>
      </c>
      <c r="AO86">
        <f t="shared" si="32"/>
        <v>-2085.44</v>
      </c>
      <c r="AP86" t="s">
        <v>34</v>
      </c>
      <c r="AQ86" t="str">
        <f t="shared" si="33"/>
        <v>Paid</v>
      </c>
      <c r="AR86" t="s">
        <v>35</v>
      </c>
      <c r="AS86" t="str">
        <f t="shared" si="34"/>
        <v>Completed</v>
      </c>
      <c r="AT86" t="str">
        <f t="shared" si="35"/>
        <v>Clean</v>
      </c>
    </row>
    <row r="87" spans="1:46">
      <c r="A87" t="s">
        <v>528</v>
      </c>
      <c r="B87">
        <f>COUNTIF($D$2:D87,D87)</f>
        <v>1</v>
      </c>
      <c r="C87" t="str">
        <f>IF(COUNTIF($A:$A,A87)=1,
"Unique",
IF(COUNTIFS($A:$A,A87,$N:$N,N87,$AF:$AF,AF87,$AJ:$AJ,AJ87)&gt;1,
"Exact Duplicate",
"Conflicting Duplicate"))</f>
        <v>Unique</v>
      </c>
      <c r="D87" t="s">
        <v>529</v>
      </c>
      <c r="E87" t="s">
        <v>530</v>
      </c>
      <c r="F87" s="3">
        <v>45503</v>
      </c>
      <c r="G87" s="3">
        <v>45509</v>
      </c>
      <c r="H87" s="5" t="str">
        <f t="shared" si="18"/>
        <v>July</v>
      </c>
      <c r="I87" s="5">
        <f t="shared" si="19"/>
        <v>2024</v>
      </c>
      <c r="J87" t="str">
        <f>IF(F87="","Missing Date",
IF(ISNUMBER(F87),"Valid","Invalid Date"))</f>
        <v>Valid</v>
      </c>
      <c r="K87" t="str">
        <f t="shared" si="20"/>
        <v>Valid</v>
      </c>
      <c r="L87">
        <f>G87-F87</f>
        <v>6</v>
      </c>
      <c r="M87" t="s">
        <v>531</v>
      </c>
      <c r="N87" t="s">
        <v>366</v>
      </c>
      <c r="O87" t="str">
        <f t="shared" si="21"/>
        <v>Kabir Singh</v>
      </c>
      <c r="P87" t="s">
        <v>108</v>
      </c>
      <c r="Q87" t="str">
        <f t="shared" si="22"/>
        <v>Corporate</v>
      </c>
      <c r="R87" t="s">
        <v>27</v>
      </c>
      <c r="S87" t="str">
        <f t="shared" si="23"/>
        <v>North</v>
      </c>
      <c r="T87" t="s">
        <v>506</v>
      </c>
      <c r="U87" t="str">
        <f t="shared" si="24"/>
        <v>Delhi</v>
      </c>
      <c r="V87" t="s">
        <v>507</v>
      </c>
      <c r="W87" t="str">
        <f t="shared" si="25"/>
        <v>New Delhi</v>
      </c>
      <c r="X87" t="s">
        <v>30</v>
      </c>
      <c r="Y87" t="str">
        <f t="shared" si="26"/>
        <v>Office Supplies</v>
      </c>
      <c r="Z87" t="s">
        <v>198</v>
      </c>
      <c r="AA87" t="str">
        <f t="shared" si="27"/>
        <v>Binders</v>
      </c>
      <c r="AB87" t="s">
        <v>532</v>
      </c>
      <c r="AC87" t="s">
        <v>67</v>
      </c>
      <c r="AD87" t="str">
        <f t="shared" si="28"/>
        <v>Standard Class</v>
      </c>
      <c r="AE87">
        <v>1</v>
      </c>
      <c r="AF87">
        <v>608.64</v>
      </c>
      <c r="AG87">
        <v>0</v>
      </c>
      <c r="AH87">
        <v>0</v>
      </c>
      <c r="AI87" t="str">
        <f t="shared" si="29"/>
        <v>Valid</v>
      </c>
      <c r="AJ87">
        <v>608.64</v>
      </c>
      <c r="AK87">
        <f t="shared" si="30"/>
        <v>608.64</v>
      </c>
      <c r="AL87">
        <v>343.99</v>
      </c>
      <c r="AM87">
        <v>264.64999999999998</v>
      </c>
      <c r="AN87">
        <f t="shared" si="31"/>
        <v>264.64999999999998</v>
      </c>
      <c r="AO87">
        <f t="shared" si="32"/>
        <v>-343.99</v>
      </c>
      <c r="AP87" t="s">
        <v>34</v>
      </c>
      <c r="AQ87" t="str">
        <f t="shared" si="33"/>
        <v>Paid</v>
      </c>
      <c r="AR87" t="s">
        <v>78</v>
      </c>
      <c r="AS87" t="str">
        <f t="shared" si="34"/>
        <v>Cancelled</v>
      </c>
      <c r="AT87" t="str">
        <f t="shared" si="35"/>
        <v>Clean</v>
      </c>
    </row>
    <row r="88" spans="1:46">
      <c r="A88" t="s">
        <v>533</v>
      </c>
      <c r="B88">
        <f>COUNTIF($D$2:D88,D88)</f>
        <v>2</v>
      </c>
      <c r="C88" t="str">
        <f>IF(COUNTIF($A:$A,A88)=1,
"Unique",
IF(COUNTIFS($A:$A,A88,$N:$N,N88,$AF:$AF,AF88,$AJ:$AJ,AJ88)&gt;1,
"Exact Duplicate",
"Conflicting Duplicate"))</f>
        <v>Unique</v>
      </c>
      <c r="D88" t="s">
        <v>534</v>
      </c>
      <c r="E88" t="s">
        <v>534</v>
      </c>
      <c r="F88" s="2">
        <v>45298</v>
      </c>
      <c r="G88" s="2">
        <v>45298</v>
      </c>
      <c r="H88" s="5" t="str">
        <f t="shared" si="18"/>
        <v>January</v>
      </c>
      <c r="I88" s="5">
        <f t="shared" si="19"/>
        <v>2024</v>
      </c>
      <c r="J88" t="str">
        <f>IF(F88="","Missing Date",
IF(ISNUMBER(F88),"Valid","Invalid Date"))</f>
        <v>Valid</v>
      </c>
      <c r="K88" t="str">
        <f t="shared" si="20"/>
        <v>Valid</v>
      </c>
      <c r="L88">
        <f>G88-F88</f>
        <v>0</v>
      </c>
      <c r="M88" t="s">
        <v>535</v>
      </c>
      <c r="N88" t="s">
        <v>72</v>
      </c>
      <c r="O88" t="str">
        <f t="shared" si="21"/>
        <v>Ananya Rao</v>
      </c>
      <c r="P88" t="s">
        <v>41</v>
      </c>
      <c r="Q88" t="str">
        <f t="shared" si="22"/>
        <v>Small Business</v>
      </c>
      <c r="R88" t="s">
        <v>27</v>
      </c>
      <c r="S88" t="str">
        <f t="shared" si="23"/>
        <v>North</v>
      </c>
      <c r="T88" t="s">
        <v>506</v>
      </c>
      <c r="U88" t="str">
        <f t="shared" si="24"/>
        <v>Delhi</v>
      </c>
      <c r="V88" t="s">
        <v>507</v>
      </c>
      <c r="W88" t="str">
        <f t="shared" si="25"/>
        <v>New Delhi</v>
      </c>
      <c r="X88" t="s">
        <v>86</v>
      </c>
      <c r="Y88" t="str">
        <f t="shared" si="26"/>
        <v>Technology</v>
      </c>
      <c r="Z88" t="s">
        <v>94</v>
      </c>
      <c r="AA88" t="str">
        <f t="shared" si="27"/>
        <v>Copiers</v>
      </c>
      <c r="AB88" t="s">
        <v>536</v>
      </c>
      <c r="AC88" t="s">
        <v>33</v>
      </c>
      <c r="AD88" t="str">
        <f t="shared" si="28"/>
        <v>Second Class</v>
      </c>
      <c r="AE88">
        <v>3</v>
      </c>
      <c r="AF88">
        <v>885.28</v>
      </c>
      <c r="AG88">
        <v>0.1</v>
      </c>
      <c r="AH88">
        <v>0.1</v>
      </c>
      <c r="AI88" t="str">
        <f t="shared" si="29"/>
        <v>Valid</v>
      </c>
      <c r="AJ88">
        <v>2390.2600000000002</v>
      </c>
      <c r="AK88">
        <f t="shared" si="30"/>
        <v>2390.2560000000003</v>
      </c>
      <c r="AL88">
        <v>1495.94</v>
      </c>
      <c r="AM88">
        <v>894.32</v>
      </c>
      <c r="AN88">
        <f t="shared" si="31"/>
        <v>894.31600000000026</v>
      </c>
      <c r="AO88">
        <f t="shared" si="32"/>
        <v>-1495.94</v>
      </c>
      <c r="AP88" t="s">
        <v>124</v>
      </c>
      <c r="AQ88" t="str">
        <f t="shared" si="33"/>
        <v>Refunded</v>
      </c>
      <c r="AR88" t="s">
        <v>78</v>
      </c>
      <c r="AS88" t="str">
        <f t="shared" si="34"/>
        <v>Cancelled</v>
      </c>
      <c r="AT88" t="str">
        <f t="shared" si="35"/>
        <v>Clean</v>
      </c>
    </row>
    <row r="89" spans="1:46">
      <c r="A89" t="s">
        <v>537</v>
      </c>
      <c r="B89">
        <f>COUNTIF($D$2:D89,D89)</f>
        <v>1</v>
      </c>
      <c r="C89" t="str">
        <f>IF(COUNTIF($A:$A,A89)=1,
"Unique",
IF(COUNTIFS($A:$A,A89,$N:$N,N89,$AF:$AF,AF89,$AJ:$AJ,AJ89)&gt;1,
"Exact Duplicate",
"Conflicting Duplicate"))</f>
        <v>Unique</v>
      </c>
      <c r="D89" t="s">
        <v>538</v>
      </c>
      <c r="E89" t="s">
        <v>515</v>
      </c>
      <c r="F89" s="3">
        <v>45330</v>
      </c>
      <c r="G89" s="3">
        <v>45359</v>
      </c>
      <c r="H89" s="5" t="str">
        <f t="shared" si="18"/>
        <v>February</v>
      </c>
      <c r="I89" s="5">
        <f t="shared" si="19"/>
        <v>2024</v>
      </c>
      <c r="J89" t="str">
        <f>IF(F89="","Missing Date",
IF(ISNUMBER(F89),"Valid","Invalid Date"))</f>
        <v>Valid</v>
      </c>
      <c r="K89" t="str">
        <f t="shared" si="20"/>
        <v>Valid</v>
      </c>
      <c r="L89">
        <f>G89-F89</f>
        <v>29</v>
      </c>
      <c r="M89" t="s">
        <v>539</v>
      </c>
      <c r="N89" t="s">
        <v>83</v>
      </c>
      <c r="O89" t="str">
        <f t="shared" si="21"/>
        <v>Vikram Iyer</v>
      </c>
      <c r="P89" t="s">
        <v>26</v>
      </c>
      <c r="Q89" t="str">
        <f t="shared" si="22"/>
        <v>Consumer</v>
      </c>
      <c r="R89" t="s">
        <v>42</v>
      </c>
      <c r="S89" t="str">
        <f t="shared" si="23"/>
        <v>East</v>
      </c>
      <c r="T89" t="s">
        <v>216</v>
      </c>
      <c r="U89" t="str">
        <f t="shared" si="24"/>
        <v>Assam</v>
      </c>
      <c r="V89" t="s">
        <v>217</v>
      </c>
      <c r="W89" t="str">
        <f t="shared" si="25"/>
        <v>Guwahati</v>
      </c>
      <c r="X89" t="s">
        <v>30</v>
      </c>
      <c r="Y89" t="str">
        <f t="shared" si="26"/>
        <v>Office Supplies</v>
      </c>
      <c r="Z89" t="s">
        <v>198</v>
      </c>
      <c r="AA89" t="str">
        <f t="shared" si="27"/>
        <v>Binders</v>
      </c>
      <c r="AB89" t="s">
        <v>540</v>
      </c>
      <c r="AC89" t="s">
        <v>67</v>
      </c>
      <c r="AD89" t="str">
        <f t="shared" si="28"/>
        <v>Standard Class</v>
      </c>
      <c r="AE89">
        <v>7</v>
      </c>
      <c r="AF89">
        <v>3345.22</v>
      </c>
      <c r="AG89">
        <v>0</v>
      </c>
      <c r="AH89">
        <v>0</v>
      </c>
      <c r="AI89" t="str">
        <f t="shared" si="29"/>
        <v>Valid</v>
      </c>
      <c r="AJ89">
        <v>23416.54</v>
      </c>
      <c r="AK89">
        <f t="shared" si="30"/>
        <v>23416.539999999997</v>
      </c>
      <c r="AL89">
        <v>15490.89</v>
      </c>
      <c r="AM89">
        <v>7925.65</v>
      </c>
      <c r="AN89">
        <f t="shared" si="31"/>
        <v>7925.6499999999978</v>
      </c>
      <c r="AO89">
        <f t="shared" si="32"/>
        <v>-15490.89</v>
      </c>
      <c r="AP89" t="s">
        <v>34</v>
      </c>
      <c r="AQ89" t="str">
        <f t="shared" si="33"/>
        <v>Paid</v>
      </c>
      <c r="AR89" t="s">
        <v>35</v>
      </c>
      <c r="AS89" t="str">
        <f t="shared" si="34"/>
        <v>Completed</v>
      </c>
      <c r="AT89" t="str">
        <f t="shared" si="35"/>
        <v>Clean</v>
      </c>
    </row>
    <row r="90" spans="1:46">
      <c r="A90" t="s">
        <v>541</v>
      </c>
      <c r="B90">
        <f>COUNTIF($D$2:D90,D90)</f>
        <v>1</v>
      </c>
      <c r="C90" t="str">
        <f>IF(COUNTIF($A:$A,A90)=1,
"Unique",
IF(COUNTIFS($A:$A,A90,$N:$N,N90,$AF:$AF,AF90,$AJ:$AJ,AJ90)&gt;1,
"Exact Duplicate",
"Conflicting Duplicate"))</f>
        <v>Unique</v>
      </c>
      <c r="D90" t="s">
        <v>542</v>
      </c>
      <c r="E90" t="s">
        <v>543</v>
      </c>
      <c r="F90" s="3">
        <v>45375</v>
      </c>
      <c r="G90" s="2">
        <v>45378</v>
      </c>
      <c r="H90" s="5" t="str">
        <f t="shared" si="18"/>
        <v>March</v>
      </c>
      <c r="I90" s="5">
        <f t="shared" si="19"/>
        <v>2024</v>
      </c>
      <c r="J90" t="str">
        <f>IF(F90="","Missing Date",
IF(ISNUMBER(F90),"Valid","Invalid Date"))</f>
        <v>Valid</v>
      </c>
      <c r="K90" t="str">
        <f t="shared" si="20"/>
        <v>Valid</v>
      </c>
      <c r="L90">
        <f>G90-F90</f>
        <v>3</v>
      </c>
      <c r="M90" t="s">
        <v>544</v>
      </c>
      <c r="N90" t="s">
        <v>180</v>
      </c>
      <c r="O90" t="str">
        <f t="shared" si="21"/>
        <v>Rohan Mehta</v>
      </c>
      <c r="P90" t="s">
        <v>41</v>
      </c>
      <c r="Q90" t="str">
        <f t="shared" si="22"/>
        <v>Small Business</v>
      </c>
      <c r="R90" t="s">
        <v>73</v>
      </c>
      <c r="S90" t="str">
        <f t="shared" si="23"/>
        <v>West</v>
      </c>
      <c r="T90" t="s">
        <v>74</v>
      </c>
      <c r="U90" t="str">
        <f t="shared" si="24"/>
        <v>Maharashtra</v>
      </c>
      <c r="V90" t="s">
        <v>75</v>
      </c>
      <c r="W90" t="str">
        <f t="shared" si="25"/>
        <v>Mumbai</v>
      </c>
      <c r="X90" t="s">
        <v>45</v>
      </c>
      <c r="Y90" t="str">
        <f t="shared" si="26"/>
        <v>Furniture</v>
      </c>
      <c r="Z90" t="s">
        <v>204</v>
      </c>
      <c r="AA90" t="str">
        <f t="shared" si="27"/>
        <v>Bookcases</v>
      </c>
      <c r="AB90" t="s">
        <v>545</v>
      </c>
      <c r="AC90" t="s">
        <v>67</v>
      </c>
      <c r="AD90" t="str">
        <f t="shared" si="28"/>
        <v>Standard Class</v>
      </c>
      <c r="AE90">
        <v>2</v>
      </c>
      <c r="AF90">
        <v>3284.75</v>
      </c>
      <c r="AG90">
        <v>0.05</v>
      </c>
      <c r="AH90">
        <v>0.05</v>
      </c>
      <c r="AI90" t="str">
        <f t="shared" si="29"/>
        <v>Valid</v>
      </c>
      <c r="AJ90">
        <v>6241.02</v>
      </c>
      <c r="AK90">
        <f t="shared" si="30"/>
        <v>6241.0249999999996</v>
      </c>
      <c r="AL90">
        <v>5345.88</v>
      </c>
      <c r="AM90">
        <v>895.14</v>
      </c>
      <c r="AN90">
        <f t="shared" si="31"/>
        <v>895.14499999999953</v>
      </c>
      <c r="AO90">
        <f t="shared" si="32"/>
        <v>-5345.88</v>
      </c>
      <c r="AP90" t="s">
        <v>34</v>
      </c>
      <c r="AQ90" t="str">
        <f t="shared" si="33"/>
        <v>Paid</v>
      </c>
      <c r="AR90" t="s">
        <v>35</v>
      </c>
      <c r="AS90" t="str">
        <f t="shared" si="34"/>
        <v>Completed</v>
      </c>
      <c r="AT90" t="str">
        <f t="shared" si="35"/>
        <v>Clean</v>
      </c>
    </row>
    <row r="91" spans="1:46">
      <c r="A91" t="s">
        <v>546</v>
      </c>
      <c r="B91">
        <f>COUNTIF($D$2:D91,D91)</f>
        <v>1</v>
      </c>
      <c r="C91" t="str">
        <f>IF(COUNTIF($A:$A,A91)=1,
"Unique",
IF(COUNTIFS($A:$A,A91,$N:$N,N91,$AF:$AF,AF91,$AJ:$AJ,AJ91)&gt;1,
"Exact Duplicate",
"Conflicting Duplicate"))</f>
        <v>Unique</v>
      </c>
      <c r="D91" t="s">
        <v>38</v>
      </c>
      <c r="E91" t="s">
        <v>38</v>
      </c>
      <c r="F91" s="2">
        <v>45421</v>
      </c>
      <c r="G91" s="2">
        <v>45421</v>
      </c>
      <c r="H91" s="5" t="str">
        <f t="shared" si="18"/>
        <v>May</v>
      </c>
      <c r="I91" s="5">
        <f t="shared" si="19"/>
        <v>2024</v>
      </c>
      <c r="J91" t="str">
        <f>IF(F91="","Missing Date",
IF(ISNUMBER(F91),"Valid","Invalid Date"))</f>
        <v>Valid</v>
      </c>
      <c r="K91" t="str">
        <f t="shared" si="20"/>
        <v>Valid</v>
      </c>
      <c r="L91">
        <f>G91-F91</f>
        <v>0</v>
      </c>
      <c r="M91" t="s">
        <v>547</v>
      </c>
      <c r="N91" t="s">
        <v>366</v>
      </c>
      <c r="O91" t="str">
        <f t="shared" si="21"/>
        <v>Kabir Singh</v>
      </c>
      <c r="P91" t="s">
        <v>26</v>
      </c>
      <c r="Q91" t="str">
        <f t="shared" si="22"/>
        <v>Consumer</v>
      </c>
      <c r="R91" t="s">
        <v>62</v>
      </c>
      <c r="S91" t="str">
        <f t="shared" si="23"/>
        <v>South</v>
      </c>
      <c r="T91" t="s">
        <v>100</v>
      </c>
      <c r="U91" t="str">
        <f t="shared" si="24"/>
        <v>Andhra Pradesh</v>
      </c>
      <c r="V91" t="s">
        <v>101</v>
      </c>
      <c r="W91" t="str">
        <f t="shared" si="25"/>
        <v>Vijayawada</v>
      </c>
      <c r="X91" t="s">
        <v>45</v>
      </c>
      <c r="Y91" t="str">
        <f t="shared" si="26"/>
        <v>Furniture</v>
      </c>
      <c r="Z91" t="s">
        <v>204</v>
      </c>
      <c r="AA91" t="str">
        <f t="shared" si="27"/>
        <v>Bookcases</v>
      </c>
      <c r="AB91" t="s">
        <v>548</v>
      </c>
      <c r="AC91" t="s">
        <v>67</v>
      </c>
      <c r="AD91" t="str">
        <f t="shared" si="28"/>
        <v>Standard Class</v>
      </c>
      <c r="AE91">
        <v>7</v>
      </c>
      <c r="AF91">
        <v>3761.09</v>
      </c>
      <c r="AG91">
        <v>0.2</v>
      </c>
      <c r="AH91">
        <v>0.2</v>
      </c>
      <c r="AI91" t="str">
        <f t="shared" si="29"/>
        <v>Valid</v>
      </c>
      <c r="AJ91">
        <v>21062.1</v>
      </c>
      <c r="AK91">
        <f t="shared" si="30"/>
        <v>21062.104000000003</v>
      </c>
      <c r="AL91">
        <v>12057.13</v>
      </c>
      <c r="AM91">
        <v>9004.9699999999993</v>
      </c>
      <c r="AN91">
        <f t="shared" si="31"/>
        <v>9004.9740000000038</v>
      </c>
      <c r="AO91">
        <f t="shared" si="32"/>
        <v>-12057.13</v>
      </c>
      <c r="AP91" t="s">
        <v>137</v>
      </c>
      <c r="AQ91" t="str">
        <f t="shared" si="33"/>
        <v>Pending</v>
      </c>
      <c r="AR91" t="s">
        <v>78</v>
      </c>
      <c r="AS91" t="str">
        <f t="shared" si="34"/>
        <v>Cancelled</v>
      </c>
      <c r="AT91" t="str">
        <f t="shared" si="35"/>
        <v>Clean</v>
      </c>
    </row>
    <row r="92" spans="1:46">
      <c r="A92" t="s">
        <v>549</v>
      </c>
      <c r="B92">
        <f>COUNTIF($D$2:D92,D92)</f>
        <v>1</v>
      </c>
      <c r="C92" t="str">
        <f>IF(COUNTIF($A:$A,A92)=1,
"Unique",
IF(COUNTIFS($A:$A,A92,$N:$N,N92,$AF:$AF,AF92,$AJ:$AJ,AJ92)&gt;1,
"Exact Duplicate",
"Conflicting Duplicate"))</f>
        <v>Conflicting Duplicate</v>
      </c>
      <c r="D92" t="s">
        <v>550</v>
      </c>
      <c r="E92" t="s">
        <v>69</v>
      </c>
      <c r="F92" s="3">
        <v>45893</v>
      </c>
      <c r="G92" s="2">
        <v>45898</v>
      </c>
      <c r="H92" s="5" t="str">
        <f t="shared" si="18"/>
        <v>August</v>
      </c>
      <c r="I92" s="5">
        <f t="shared" si="19"/>
        <v>2025</v>
      </c>
      <c r="J92" t="str">
        <f>IF(F92="","Missing Date",
IF(ISNUMBER(F92),"Valid","Invalid Date"))</f>
        <v>Valid</v>
      </c>
      <c r="K92" t="str">
        <f t="shared" si="20"/>
        <v>Valid</v>
      </c>
      <c r="L92">
        <f>G92-F92</f>
        <v>5</v>
      </c>
      <c r="M92" t="s">
        <v>551</v>
      </c>
      <c r="N92" t="s">
        <v>162</v>
      </c>
      <c r="O92" t="str">
        <f t="shared" si="21"/>
        <v>Aarav Sharma</v>
      </c>
      <c r="P92" t="s">
        <v>41</v>
      </c>
      <c r="Q92" t="str">
        <f t="shared" si="22"/>
        <v>Small Business</v>
      </c>
      <c r="R92" t="s">
        <v>42</v>
      </c>
      <c r="S92" t="str">
        <f t="shared" si="23"/>
        <v>East</v>
      </c>
      <c r="T92" t="s">
        <v>186</v>
      </c>
      <c r="U92" t="str">
        <f t="shared" si="24"/>
        <v>Bihar</v>
      </c>
      <c r="V92" t="s">
        <v>187</v>
      </c>
      <c r="W92" t="str">
        <f t="shared" si="25"/>
        <v>Patna</v>
      </c>
      <c r="X92" t="s">
        <v>86</v>
      </c>
      <c r="Y92" t="str">
        <f t="shared" si="26"/>
        <v>Technology</v>
      </c>
      <c r="Z92" t="s">
        <v>94</v>
      </c>
      <c r="AA92" t="str">
        <f t="shared" si="27"/>
        <v>Copiers</v>
      </c>
      <c r="AB92" t="s">
        <v>552</v>
      </c>
      <c r="AC92" t="s">
        <v>56</v>
      </c>
      <c r="AD92" t="str">
        <f t="shared" si="28"/>
        <v>First Class</v>
      </c>
      <c r="AE92">
        <v>3</v>
      </c>
      <c r="AF92">
        <v>3703.96</v>
      </c>
      <c r="AG92">
        <v>0.15</v>
      </c>
      <c r="AH92">
        <v>0.15</v>
      </c>
      <c r="AI92" t="str">
        <f t="shared" si="29"/>
        <v>Valid</v>
      </c>
      <c r="AJ92">
        <v>9445.1</v>
      </c>
      <c r="AK92">
        <f t="shared" si="30"/>
        <v>9445.098</v>
      </c>
      <c r="AL92">
        <v>5586.28</v>
      </c>
      <c r="AM92">
        <v>3858.82</v>
      </c>
      <c r="AN92">
        <f t="shared" si="31"/>
        <v>3858.8180000000002</v>
      </c>
      <c r="AO92">
        <f t="shared" si="32"/>
        <v>-5586.28</v>
      </c>
      <c r="AP92" t="s">
        <v>34</v>
      </c>
      <c r="AQ92" t="str">
        <f t="shared" si="33"/>
        <v>Paid</v>
      </c>
      <c r="AR92" t="s">
        <v>35</v>
      </c>
      <c r="AS92" t="str">
        <f t="shared" si="34"/>
        <v>Completed</v>
      </c>
      <c r="AT92" t="str">
        <f t="shared" si="35"/>
        <v>Clean</v>
      </c>
    </row>
    <row r="93" spans="1:46">
      <c r="A93" t="s">
        <v>553</v>
      </c>
      <c r="B93">
        <f>COUNTIF($D$2:D93,D93)</f>
        <v>1</v>
      </c>
      <c r="C93" t="str">
        <f>IF(COUNTIF($A:$A,A93)=1,
"Unique",
IF(COUNTIFS($A:$A,A93,$N:$N,N93,$AF:$AF,AF93,$AJ:$AJ,AJ93)&gt;1,
"Exact Duplicate",
"Conflicting Duplicate"))</f>
        <v>Unique</v>
      </c>
      <c r="D93" t="s">
        <v>554</v>
      </c>
      <c r="E93" t="s">
        <v>555</v>
      </c>
      <c r="F93" s="3">
        <v>45691</v>
      </c>
      <c r="G93" s="3">
        <v>45724</v>
      </c>
      <c r="H93" s="5" t="str">
        <f t="shared" si="18"/>
        <v>February</v>
      </c>
      <c r="I93" s="5">
        <f t="shared" si="19"/>
        <v>2025</v>
      </c>
      <c r="J93" t="str">
        <f>IF(F93="","Missing Date",
IF(ISNUMBER(F93),"Valid","Invalid Date"))</f>
        <v>Valid</v>
      </c>
      <c r="K93" t="str">
        <f t="shared" si="20"/>
        <v>Valid</v>
      </c>
      <c r="L93">
        <f>G93-F93</f>
        <v>33</v>
      </c>
      <c r="M93" t="s">
        <v>556</v>
      </c>
      <c r="N93" t="s">
        <v>168</v>
      </c>
      <c r="O93" t="str">
        <f t="shared" si="21"/>
        <v>Sneha Kapoor</v>
      </c>
      <c r="P93" t="s">
        <v>108</v>
      </c>
      <c r="Q93" t="str">
        <f t="shared" si="22"/>
        <v>Corporate</v>
      </c>
      <c r="R93" t="s">
        <v>73</v>
      </c>
      <c r="S93" t="str">
        <f t="shared" si="23"/>
        <v>West</v>
      </c>
      <c r="T93" t="s">
        <v>84</v>
      </c>
      <c r="U93" t="str">
        <f t="shared" si="24"/>
        <v>Madhya Pradesh</v>
      </c>
      <c r="V93" t="s">
        <v>85</v>
      </c>
      <c r="W93" t="str">
        <f t="shared" si="25"/>
        <v>Indore</v>
      </c>
      <c r="X93" t="s">
        <v>86</v>
      </c>
      <c r="Y93" t="str">
        <f t="shared" si="26"/>
        <v>Technology</v>
      </c>
      <c r="Z93" t="s">
        <v>94</v>
      </c>
      <c r="AA93" t="str">
        <f t="shared" si="27"/>
        <v>Copiers</v>
      </c>
      <c r="AB93" t="s">
        <v>557</v>
      </c>
      <c r="AC93" t="s">
        <v>33</v>
      </c>
      <c r="AD93" t="str">
        <f t="shared" si="28"/>
        <v>Second Class</v>
      </c>
      <c r="AE93">
        <v>9</v>
      </c>
      <c r="AF93">
        <v>269.68</v>
      </c>
      <c r="AG93">
        <v>0</v>
      </c>
      <c r="AH93">
        <v>0</v>
      </c>
      <c r="AI93" t="str">
        <f t="shared" si="29"/>
        <v>Valid</v>
      </c>
      <c r="AJ93">
        <v>2427.12</v>
      </c>
      <c r="AK93">
        <f t="shared" si="30"/>
        <v>2427.12</v>
      </c>
      <c r="AL93">
        <v>1538.35</v>
      </c>
      <c r="AM93">
        <v>804.53</v>
      </c>
      <c r="AN93">
        <f t="shared" si="31"/>
        <v>888.77</v>
      </c>
      <c r="AO93">
        <f t="shared" si="32"/>
        <v>-1538.35</v>
      </c>
      <c r="AP93" t="s">
        <v>34</v>
      </c>
      <c r="AQ93" t="str">
        <f t="shared" si="33"/>
        <v>Paid</v>
      </c>
      <c r="AR93" t="s">
        <v>35</v>
      </c>
      <c r="AS93" t="str">
        <f t="shared" si="34"/>
        <v>Completed</v>
      </c>
      <c r="AT93" t="str">
        <f t="shared" si="35"/>
        <v>Clean</v>
      </c>
    </row>
    <row r="94" spans="1:46">
      <c r="A94" t="s">
        <v>558</v>
      </c>
      <c r="B94">
        <f>COUNTIF($D$2:D94,D94)</f>
        <v>1</v>
      </c>
      <c r="C94" t="str">
        <f>IF(COUNTIF($A:$A,A94)=1,
"Unique",
IF(COUNTIFS($A:$A,A94,$N:$N,N94,$AF:$AF,AF94,$AJ:$AJ,AJ94)&gt;1,
"Exact Duplicate",
"Conflicting Duplicate"))</f>
        <v>Unique</v>
      </c>
      <c r="D94" t="s">
        <v>184</v>
      </c>
      <c r="E94" t="s">
        <v>559</v>
      </c>
      <c r="F94" s="2">
        <v>45680</v>
      </c>
      <c r="G94" s="3">
        <v>45683</v>
      </c>
      <c r="H94" s="5" t="str">
        <f t="shared" si="18"/>
        <v>January</v>
      </c>
      <c r="I94" s="5">
        <f t="shared" si="19"/>
        <v>2025</v>
      </c>
      <c r="J94" t="str">
        <f>IF(F94="","Missing Date",
IF(ISNUMBER(F94),"Valid","Invalid Date"))</f>
        <v>Valid</v>
      </c>
      <c r="K94" t="str">
        <f t="shared" si="20"/>
        <v>Valid</v>
      </c>
      <c r="L94">
        <f>G94-F94</f>
        <v>3</v>
      </c>
      <c r="M94" t="s">
        <v>560</v>
      </c>
      <c r="N94" t="s">
        <v>162</v>
      </c>
      <c r="O94" t="str">
        <f t="shared" si="21"/>
        <v>Aarav Sharma</v>
      </c>
      <c r="P94" t="s">
        <v>26</v>
      </c>
      <c r="Q94" t="str">
        <f t="shared" si="22"/>
        <v>Consumer</v>
      </c>
      <c r="R94" t="s">
        <v>73</v>
      </c>
      <c r="S94" t="str">
        <f t="shared" si="23"/>
        <v>West</v>
      </c>
      <c r="T94" t="s">
        <v>84</v>
      </c>
      <c r="U94" t="str">
        <f t="shared" si="24"/>
        <v>Madhya Pradesh</v>
      </c>
      <c r="V94" t="s">
        <v>85</v>
      </c>
      <c r="W94" t="str">
        <f t="shared" si="25"/>
        <v>Indore</v>
      </c>
      <c r="X94" t="s">
        <v>30</v>
      </c>
      <c r="Y94" t="str">
        <f t="shared" si="26"/>
        <v>Office Supplies</v>
      </c>
      <c r="Z94" t="s">
        <v>31</v>
      </c>
      <c r="AA94" t="str">
        <f t="shared" si="27"/>
        <v>Paper</v>
      </c>
      <c r="AB94" t="s">
        <v>561</v>
      </c>
      <c r="AC94" t="s">
        <v>67</v>
      </c>
      <c r="AD94" t="str">
        <f t="shared" si="28"/>
        <v>Standard Class</v>
      </c>
      <c r="AE94">
        <v>9</v>
      </c>
      <c r="AF94">
        <v>4458.26</v>
      </c>
      <c r="AG94">
        <v>0.1</v>
      </c>
      <c r="AH94">
        <v>0.1</v>
      </c>
      <c r="AI94" t="str">
        <f t="shared" si="29"/>
        <v>Valid</v>
      </c>
      <c r="AJ94">
        <v>36111.910000000003</v>
      </c>
      <c r="AK94">
        <f t="shared" si="30"/>
        <v>36111.906000000003</v>
      </c>
      <c r="AL94">
        <v>29194.5</v>
      </c>
      <c r="AM94">
        <v>6917.41</v>
      </c>
      <c r="AN94">
        <f t="shared" si="31"/>
        <v>6917.4060000000027</v>
      </c>
      <c r="AO94">
        <f t="shared" si="32"/>
        <v>-29194.5</v>
      </c>
      <c r="AP94" t="s">
        <v>34</v>
      </c>
      <c r="AQ94" t="str">
        <f t="shared" si="33"/>
        <v>Paid</v>
      </c>
      <c r="AR94" t="s">
        <v>35</v>
      </c>
      <c r="AS94" t="str">
        <f t="shared" si="34"/>
        <v>Completed</v>
      </c>
      <c r="AT94" t="str">
        <f t="shared" si="35"/>
        <v>Clean</v>
      </c>
    </row>
    <row r="95" spans="1:46">
      <c r="A95" t="s">
        <v>562</v>
      </c>
      <c r="B95">
        <f>COUNTIF($D$2:D95,D95)</f>
        <v>3</v>
      </c>
      <c r="C95" t="str">
        <f>IF(COUNTIF($A:$A,A95)=1,
"Unique",
IF(COUNTIFS($A:$A,A95,$N:$N,N95,$AF:$AF,AF95,$AJ:$AJ,AJ95)&gt;1,
"Exact Duplicate",
"Conflicting Duplicate"))</f>
        <v>Unique</v>
      </c>
      <c r="D95" t="s">
        <v>165</v>
      </c>
      <c r="E95" t="s">
        <v>563</v>
      </c>
      <c r="F95" s="3">
        <v>45298</v>
      </c>
      <c r="G95" s="3">
        <v>45304</v>
      </c>
      <c r="H95" s="5" t="str">
        <f t="shared" si="18"/>
        <v>January</v>
      </c>
      <c r="I95" s="5">
        <f t="shared" si="19"/>
        <v>2024</v>
      </c>
      <c r="J95" t="str">
        <f>IF(F95="","Missing Date",
IF(ISNUMBER(F95),"Valid","Invalid Date"))</f>
        <v>Valid</v>
      </c>
      <c r="K95" t="str">
        <f t="shared" si="20"/>
        <v>Valid</v>
      </c>
      <c r="L95">
        <f>G95-F95</f>
        <v>6</v>
      </c>
      <c r="M95" t="s">
        <v>564</v>
      </c>
      <c r="N95" t="s">
        <v>180</v>
      </c>
      <c r="O95" t="str">
        <f t="shared" si="21"/>
        <v>Rohan Mehta</v>
      </c>
      <c r="P95" t="s">
        <v>108</v>
      </c>
      <c r="Q95" t="str">
        <f t="shared" si="22"/>
        <v>Corporate</v>
      </c>
      <c r="R95" t="s">
        <v>27</v>
      </c>
      <c r="S95" t="str">
        <f t="shared" si="23"/>
        <v>North</v>
      </c>
      <c r="T95" t="s">
        <v>174</v>
      </c>
      <c r="U95" t="str">
        <f t="shared" si="24"/>
        <v>Uttar Pradesh</v>
      </c>
      <c r="V95" t="s">
        <v>175</v>
      </c>
      <c r="W95" t="str">
        <f t="shared" si="25"/>
        <v>Noida</v>
      </c>
      <c r="X95" t="s">
        <v>30</v>
      </c>
      <c r="Y95" t="str">
        <f t="shared" si="26"/>
        <v>Office Supplies</v>
      </c>
      <c r="Z95" t="s">
        <v>198</v>
      </c>
      <c r="AA95" t="str">
        <f t="shared" si="27"/>
        <v>Binders</v>
      </c>
      <c r="AB95" t="s">
        <v>565</v>
      </c>
      <c r="AC95" t="s">
        <v>67</v>
      </c>
      <c r="AD95" t="str">
        <f t="shared" si="28"/>
        <v>Standard Class</v>
      </c>
      <c r="AE95">
        <v>7</v>
      </c>
      <c r="AF95">
        <v>2788.97</v>
      </c>
      <c r="AG95">
        <v>-0.09</v>
      </c>
      <c r="AH95">
        <v>-0.09</v>
      </c>
      <c r="AI95" t="str">
        <f t="shared" si="29"/>
        <v>Invalid - Negative Discount</v>
      </c>
      <c r="AJ95">
        <v>19522.79</v>
      </c>
      <c r="AK95">
        <f t="shared" si="30"/>
        <v>21279.841099999998</v>
      </c>
      <c r="AL95">
        <v>12455.78</v>
      </c>
      <c r="AM95">
        <v>7067.01</v>
      </c>
      <c r="AN95">
        <f t="shared" si="31"/>
        <v>8824.0610999999972</v>
      </c>
      <c r="AO95">
        <f t="shared" si="32"/>
        <v>-12455.78</v>
      </c>
      <c r="AP95" t="s">
        <v>34</v>
      </c>
      <c r="AQ95" t="str">
        <f t="shared" si="33"/>
        <v>Paid</v>
      </c>
      <c r="AR95" t="s">
        <v>35</v>
      </c>
      <c r="AS95" t="str">
        <f t="shared" si="34"/>
        <v>Completed</v>
      </c>
      <c r="AT95" t="str">
        <f t="shared" si="35"/>
        <v>Clean</v>
      </c>
    </row>
    <row r="96" spans="1:46">
      <c r="A96" t="s">
        <v>566</v>
      </c>
      <c r="B96">
        <f>COUNTIF($D$2:D96,D96)</f>
        <v>1</v>
      </c>
      <c r="C96" t="str">
        <f>IF(COUNTIF($A:$A,A96)=1,
"Unique",
IF(COUNTIFS($A:$A,A96,$N:$N,N96,$AF:$AF,AF96,$AJ:$AJ,AJ96)&gt;1,
"Exact Duplicate",
"Conflicting Duplicate"))</f>
        <v>Unique</v>
      </c>
      <c r="D96" t="s">
        <v>567</v>
      </c>
      <c r="E96" t="s">
        <v>568</v>
      </c>
      <c r="F96" s="3">
        <v>45541</v>
      </c>
      <c r="G96" s="2">
        <v>45544</v>
      </c>
      <c r="H96" s="5" t="str">
        <f t="shared" si="18"/>
        <v>September</v>
      </c>
      <c r="I96" s="5">
        <f t="shared" si="19"/>
        <v>2024</v>
      </c>
      <c r="J96" t="str">
        <f>IF(F96="","Missing Date",
IF(ISNUMBER(F96),"Valid","Invalid Date"))</f>
        <v>Valid</v>
      </c>
      <c r="K96" t="str">
        <f t="shared" si="20"/>
        <v>Valid</v>
      </c>
      <c r="L96">
        <f>G96-F96</f>
        <v>3</v>
      </c>
      <c r="M96" t="s">
        <v>569</v>
      </c>
      <c r="N96" t="s">
        <v>210</v>
      </c>
      <c r="O96" t="str">
        <f t="shared" si="21"/>
        <v>Diya Patel</v>
      </c>
      <c r="P96" t="s">
        <v>26</v>
      </c>
      <c r="Q96" t="str">
        <f t="shared" si="22"/>
        <v>Consumer</v>
      </c>
      <c r="R96" t="s">
        <v>27</v>
      </c>
      <c r="S96" t="str">
        <f t="shared" si="23"/>
        <v>North</v>
      </c>
      <c r="T96" t="s">
        <v>323</v>
      </c>
      <c r="U96" t="str">
        <f t="shared" si="24"/>
        <v>Haryana</v>
      </c>
      <c r="V96" t="s">
        <v>324</v>
      </c>
      <c r="W96" t="str">
        <f t="shared" si="25"/>
        <v>Gurugram</v>
      </c>
      <c r="X96" t="s">
        <v>86</v>
      </c>
      <c r="Y96" t="str">
        <f t="shared" si="26"/>
        <v>Technology</v>
      </c>
      <c r="Z96" t="s">
        <v>223</v>
      </c>
      <c r="AA96" t="str">
        <f t="shared" si="27"/>
        <v>Phones</v>
      </c>
      <c r="AB96" t="s">
        <v>570</v>
      </c>
      <c r="AC96" t="s">
        <v>33</v>
      </c>
      <c r="AD96" t="str">
        <f t="shared" si="28"/>
        <v>Second Class</v>
      </c>
      <c r="AE96">
        <v>7</v>
      </c>
      <c r="AF96">
        <v>3781.53</v>
      </c>
      <c r="AG96">
        <v>0</v>
      </c>
      <c r="AH96">
        <v>0</v>
      </c>
      <c r="AI96" t="str">
        <f t="shared" si="29"/>
        <v>Valid</v>
      </c>
      <c r="AJ96">
        <v>26470.71</v>
      </c>
      <c r="AK96">
        <f t="shared" si="30"/>
        <v>26470.710000000003</v>
      </c>
      <c r="AL96">
        <v>21367.599999999999</v>
      </c>
      <c r="AM96">
        <v>5103.1099999999997</v>
      </c>
      <c r="AN96">
        <f t="shared" si="31"/>
        <v>5103.1100000000042</v>
      </c>
      <c r="AO96">
        <f t="shared" si="32"/>
        <v>-21367.599999999999</v>
      </c>
      <c r="AP96" t="s">
        <v>137</v>
      </c>
      <c r="AQ96" t="str">
        <f t="shared" si="33"/>
        <v>Pending</v>
      </c>
      <c r="AR96" t="s">
        <v>78</v>
      </c>
      <c r="AS96" t="str">
        <f t="shared" si="34"/>
        <v>Cancelled</v>
      </c>
      <c r="AT96" t="str">
        <f t="shared" si="35"/>
        <v>Clean</v>
      </c>
    </row>
    <row r="97" spans="1:46">
      <c r="A97" t="s">
        <v>571</v>
      </c>
      <c r="B97">
        <f>COUNTIF($D$2:D97,D97)</f>
        <v>1</v>
      </c>
      <c r="C97" t="str">
        <f>IF(COUNTIF($A:$A,A97)=1,
"Unique",
IF(COUNTIFS($A:$A,A97,$N:$N,N97,$AF:$AF,AF97,$AJ:$AJ,AJ97)&gt;1,
"Exact Duplicate",
"Conflicting Duplicate"))</f>
        <v>Unique</v>
      </c>
      <c r="D97" t="s">
        <v>572</v>
      </c>
      <c r="E97" t="s">
        <v>573</v>
      </c>
      <c r="F97" s="3">
        <v>45786</v>
      </c>
      <c r="G97" s="3">
        <v>45910</v>
      </c>
      <c r="H97" s="5" t="str">
        <f t="shared" si="18"/>
        <v>May</v>
      </c>
      <c r="I97" s="5">
        <f t="shared" si="19"/>
        <v>2025</v>
      </c>
      <c r="J97" t="str">
        <f>IF(F97="","Missing Date",
IF(ISNUMBER(F97),"Valid","Invalid Date"))</f>
        <v>Valid</v>
      </c>
      <c r="K97" t="str">
        <f t="shared" si="20"/>
        <v>Valid</v>
      </c>
      <c r="L97">
        <f>G97-F97</f>
        <v>124</v>
      </c>
      <c r="M97" t="s">
        <v>574</v>
      </c>
      <c r="N97" t="s">
        <v>168</v>
      </c>
      <c r="O97" t="str">
        <f t="shared" si="21"/>
        <v>Sneha Kapoor</v>
      </c>
      <c r="P97" t="s">
        <v>108</v>
      </c>
      <c r="Q97" t="str">
        <f t="shared" si="22"/>
        <v>Corporate</v>
      </c>
      <c r="R97" t="s">
        <v>73</v>
      </c>
      <c r="S97" t="str">
        <f t="shared" si="23"/>
        <v>West</v>
      </c>
      <c r="T97" t="s">
        <v>249</v>
      </c>
      <c r="U97" t="str">
        <f t="shared" si="24"/>
        <v>Goa</v>
      </c>
      <c r="V97" t="s">
        <v>250</v>
      </c>
      <c r="W97" t="str">
        <f t="shared" si="25"/>
        <v>Panaji</v>
      </c>
      <c r="X97" t="s">
        <v>45</v>
      </c>
      <c r="Y97" t="str">
        <f t="shared" si="26"/>
        <v>Furniture</v>
      </c>
      <c r="Z97" t="s">
        <v>204</v>
      </c>
      <c r="AA97" t="str">
        <f t="shared" si="27"/>
        <v>Bookcases</v>
      </c>
      <c r="AB97" t="s">
        <v>575</v>
      </c>
      <c r="AC97" t="s">
        <v>48</v>
      </c>
      <c r="AD97" t="str">
        <f t="shared" si="28"/>
        <v>Same Day</v>
      </c>
      <c r="AE97">
        <v>6</v>
      </c>
      <c r="AF97">
        <v>1754.13</v>
      </c>
      <c r="AG97">
        <v>0</v>
      </c>
      <c r="AH97">
        <v>0</v>
      </c>
      <c r="AI97" t="str">
        <f t="shared" si="29"/>
        <v>Valid</v>
      </c>
      <c r="AJ97">
        <v>10524.78</v>
      </c>
      <c r="AK97">
        <f t="shared" si="30"/>
        <v>10524.78</v>
      </c>
      <c r="AL97">
        <v>8841.0499999999993</v>
      </c>
      <c r="AM97">
        <v>1683.73</v>
      </c>
      <c r="AN97">
        <f t="shared" si="31"/>
        <v>1683.7300000000014</v>
      </c>
      <c r="AO97">
        <f t="shared" si="32"/>
        <v>-8841.0499999999993</v>
      </c>
      <c r="AP97" t="s">
        <v>34</v>
      </c>
      <c r="AQ97" t="str">
        <f t="shared" si="33"/>
        <v>Paid</v>
      </c>
      <c r="AR97" t="s">
        <v>35</v>
      </c>
      <c r="AS97" t="str">
        <f t="shared" si="34"/>
        <v>Completed</v>
      </c>
      <c r="AT97" t="str">
        <f t="shared" si="35"/>
        <v>Clean</v>
      </c>
    </row>
    <row r="98" spans="1:46">
      <c r="A98" t="s">
        <v>576</v>
      </c>
      <c r="B98">
        <f>COUNTIF($D$2:D98,D98)</f>
        <v>1</v>
      </c>
      <c r="C98" t="str">
        <f>IF(COUNTIF($A:$A,A98)=1,
"Unique",
IF(COUNTIFS($A:$A,A98,$N:$N,N98,$AF:$AF,AF98,$AJ:$AJ,AJ98)&gt;1,
"Exact Duplicate",
"Conflicting Duplicate"))</f>
        <v>Unique</v>
      </c>
      <c r="D98" t="s">
        <v>577</v>
      </c>
      <c r="E98" t="s">
        <v>578</v>
      </c>
      <c r="F98" s="2">
        <v>45418</v>
      </c>
      <c r="G98" s="3">
        <v>45479</v>
      </c>
      <c r="H98" s="5" t="str">
        <f t="shared" si="18"/>
        <v>May</v>
      </c>
      <c r="I98" s="5">
        <f t="shared" si="19"/>
        <v>2024</v>
      </c>
      <c r="J98" t="str">
        <f>IF(F98="","Missing Date",
IF(ISNUMBER(F98),"Valid","Invalid Date"))</f>
        <v>Valid</v>
      </c>
      <c r="K98" t="str">
        <f t="shared" si="20"/>
        <v>Valid</v>
      </c>
      <c r="L98">
        <f>G98-F98</f>
        <v>61</v>
      </c>
      <c r="M98" t="s">
        <v>579</v>
      </c>
      <c r="N98" t="s">
        <v>148</v>
      </c>
      <c r="O98" t="str">
        <f t="shared" si="21"/>
        <v>Rahul Verma</v>
      </c>
      <c r="P98" t="s">
        <v>115</v>
      </c>
      <c r="Q98" t="str">
        <f t="shared" si="22"/>
        <v>Home Office</v>
      </c>
      <c r="R98" t="s">
        <v>42</v>
      </c>
      <c r="S98" t="str">
        <f t="shared" si="23"/>
        <v>East</v>
      </c>
      <c r="T98" t="s">
        <v>43</v>
      </c>
      <c r="U98" t="str">
        <f t="shared" si="24"/>
        <v>Odisha</v>
      </c>
      <c r="V98" t="s">
        <v>44</v>
      </c>
      <c r="W98" t="str">
        <f t="shared" si="25"/>
        <v>Bhubaneswar</v>
      </c>
      <c r="X98" t="s">
        <v>86</v>
      </c>
      <c r="Y98" t="str">
        <f t="shared" si="26"/>
        <v>Technology</v>
      </c>
      <c r="Z98" t="s">
        <v>94</v>
      </c>
      <c r="AA98" t="str">
        <f t="shared" si="27"/>
        <v>Copiers</v>
      </c>
      <c r="AB98" t="s">
        <v>580</v>
      </c>
      <c r="AC98" t="s">
        <v>33</v>
      </c>
      <c r="AD98" t="str">
        <f t="shared" si="28"/>
        <v>Second Class</v>
      </c>
      <c r="AE98">
        <v>2</v>
      </c>
      <c r="AF98">
        <v>2259.2399999999998</v>
      </c>
      <c r="AG98">
        <v>0.15</v>
      </c>
      <c r="AH98">
        <v>0.15</v>
      </c>
      <c r="AI98" t="str">
        <f t="shared" si="29"/>
        <v>Valid</v>
      </c>
      <c r="AJ98">
        <v>3840.71</v>
      </c>
      <c r="AK98">
        <f t="shared" si="30"/>
        <v>3840.7079999999996</v>
      </c>
      <c r="AL98">
        <v>2516.29</v>
      </c>
      <c r="AM98">
        <v>1324.42</v>
      </c>
      <c r="AN98">
        <f t="shared" si="31"/>
        <v>1324.4179999999997</v>
      </c>
      <c r="AO98">
        <f t="shared" si="32"/>
        <v>-2516.29</v>
      </c>
      <c r="AP98" t="s">
        <v>34</v>
      </c>
      <c r="AQ98" t="str">
        <f t="shared" si="33"/>
        <v>Paid</v>
      </c>
      <c r="AR98" t="s">
        <v>35</v>
      </c>
      <c r="AS98" t="str">
        <f t="shared" si="34"/>
        <v>Completed</v>
      </c>
      <c r="AT98" t="str">
        <f t="shared" si="35"/>
        <v>Clean</v>
      </c>
    </row>
    <row r="99" spans="1:46">
      <c r="A99" t="s">
        <v>581</v>
      </c>
      <c r="B99">
        <f>COUNTIF($D$2:D99,D99)</f>
        <v>1</v>
      </c>
      <c r="C99" t="str">
        <f>IF(COUNTIF($A:$A,A99)=1,
"Unique",
IF(COUNTIFS($A:$A,A99,$N:$N,N99,$AF:$AF,AF99,$AJ:$AJ,AJ99)&gt;1,
"Exact Duplicate",
"Conflicting Duplicate"))</f>
        <v>Unique</v>
      </c>
      <c r="D99" t="s">
        <v>582</v>
      </c>
      <c r="E99" t="s">
        <v>583</v>
      </c>
      <c r="F99" s="2">
        <v>45877</v>
      </c>
      <c r="G99" s="3">
        <v>45969</v>
      </c>
      <c r="H99" s="5" t="str">
        <f t="shared" si="18"/>
        <v>August</v>
      </c>
      <c r="I99" s="5">
        <f t="shared" si="19"/>
        <v>2025</v>
      </c>
      <c r="J99" t="str">
        <f>IF(F99="","Missing Date",
IF(ISNUMBER(F99),"Valid","Invalid Date"))</f>
        <v>Valid</v>
      </c>
      <c r="K99" t="str">
        <f t="shared" si="20"/>
        <v>Valid</v>
      </c>
      <c r="L99">
        <f>G99-F99</f>
        <v>92</v>
      </c>
      <c r="M99" t="s">
        <v>584</v>
      </c>
      <c r="N99" t="s">
        <v>210</v>
      </c>
      <c r="O99" t="str">
        <f t="shared" si="21"/>
        <v>Diya Patel</v>
      </c>
      <c r="P99" t="s">
        <v>41</v>
      </c>
      <c r="Q99" t="str">
        <f t="shared" si="22"/>
        <v>Small Business</v>
      </c>
      <c r="R99" t="s">
        <v>73</v>
      </c>
      <c r="S99" t="str">
        <f t="shared" si="23"/>
        <v>West</v>
      </c>
      <c r="T99" t="s">
        <v>235</v>
      </c>
      <c r="U99" t="str">
        <f t="shared" si="24"/>
        <v>Gujarat</v>
      </c>
      <c r="V99" t="s">
        <v>236</v>
      </c>
      <c r="W99" t="str">
        <f t="shared" si="25"/>
        <v>Ahmedabad</v>
      </c>
      <c r="X99" t="s">
        <v>30</v>
      </c>
      <c r="Y99" t="str">
        <f t="shared" si="26"/>
        <v>Office Supplies</v>
      </c>
      <c r="Z99" t="s">
        <v>156</v>
      </c>
      <c r="AA99" t="str">
        <f t="shared" si="27"/>
        <v>Storage</v>
      </c>
      <c r="AB99" t="s">
        <v>585</v>
      </c>
      <c r="AC99" t="s">
        <v>48</v>
      </c>
      <c r="AD99" t="str">
        <f t="shared" si="28"/>
        <v>Same Day</v>
      </c>
      <c r="AE99">
        <v>5</v>
      </c>
      <c r="AF99">
        <v>3602.36</v>
      </c>
      <c r="AG99">
        <v>0.2</v>
      </c>
      <c r="AH99">
        <v>0.2</v>
      </c>
      <c r="AI99" t="str">
        <f t="shared" si="29"/>
        <v>Valid</v>
      </c>
      <c r="AJ99">
        <v>14409.44</v>
      </c>
      <c r="AK99">
        <f t="shared" si="30"/>
        <v>14409.44</v>
      </c>
      <c r="AL99">
        <v>8809.9699999999993</v>
      </c>
      <c r="AM99">
        <v>5599.47</v>
      </c>
      <c r="AN99">
        <f t="shared" si="31"/>
        <v>5599.4700000000012</v>
      </c>
      <c r="AO99">
        <f t="shared" si="32"/>
        <v>-8809.9699999999993</v>
      </c>
      <c r="AP99" t="s">
        <v>137</v>
      </c>
      <c r="AQ99" t="str">
        <f t="shared" si="33"/>
        <v>Pending</v>
      </c>
      <c r="AR99" t="s">
        <v>125</v>
      </c>
      <c r="AS99" t="str">
        <f t="shared" si="34"/>
        <v>Returned</v>
      </c>
      <c r="AT99" t="str">
        <f t="shared" si="35"/>
        <v>Clean</v>
      </c>
    </row>
    <row r="100" spans="1:46">
      <c r="A100" t="s">
        <v>586</v>
      </c>
      <c r="B100">
        <f>COUNTIF($D$2:D100,D100)</f>
        <v>1</v>
      </c>
      <c r="C100" t="str">
        <f>IF(COUNTIF($A:$A,A100)=1,
"Unique",
IF(COUNTIFS($A:$A,A100,$N:$N,N100,$AF:$AF,AF100,$AJ:$AJ,AJ100)&gt;1,
"Exact Duplicate",
"Conflicting Duplicate"))</f>
        <v>Unique</v>
      </c>
      <c r="D100" t="s">
        <v>587</v>
      </c>
      <c r="E100" t="s">
        <v>588</v>
      </c>
      <c r="F100" s="3">
        <v>45317</v>
      </c>
      <c r="G100" s="3">
        <v>45323</v>
      </c>
      <c r="H100" s="5" t="str">
        <f t="shared" si="18"/>
        <v>January</v>
      </c>
      <c r="I100" s="5">
        <f t="shared" si="19"/>
        <v>2024</v>
      </c>
      <c r="J100" t="str">
        <f>IF(F100="","Missing Date",
IF(ISNUMBER(F100),"Valid","Invalid Date"))</f>
        <v>Valid</v>
      </c>
      <c r="K100" t="str">
        <f t="shared" si="20"/>
        <v>Valid</v>
      </c>
      <c r="L100">
        <f>G100-F100</f>
        <v>6</v>
      </c>
      <c r="M100" t="s">
        <v>589</v>
      </c>
      <c r="N100" t="s">
        <v>180</v>
      </c>
      <c r="O100" t="str">
        <f t="shared" si="21"/>
        <v>Rohan Mehta</v>
      </c>
      <c r="P100" t="s">
        <v>115</v>
      </c>
      <c r="Q100" t="str">
        <f t="shared" si="22"/>
        <v>Home Office</v>
      </c>
      <c r="R100" t="s">
        <v>62</v>
      </c>
      <c r="S100" t="str">
        <f t="shared" si="23"/>
        <v>South</v>
      </c>
      <c r="T100" t="s">
        <v>242</v>
      </c>
      <c r="U100" t="str">
        <f t="shared" si="24"/>
        <v>Kerala</v>
      </c>
      <c r="V100" t="s">
        <v>243</v>
      </c>
      <c r="W100" t="str">
        <f t="shared" si="25"/>
        <v>Kochi</v>
      </c>
      <c r="X100" t="s">
        <v>86</v>
      </c>
      <c r="Y100" t="str">
        <f t="shared" si="26"/>
        <v>Technology</v>
      </c>
      <c r="Z100" t="s">
        <v>94</v>
      </c>
      <c r="AA100" t="str">
        <f t="shared" si="27"/>
        <v>Copiers</v>
      </c>
      <c r="AB100" t="s">
        <v>590</v>
      </c>
      <c r="AC100" t="s">
        <v>4104</v>
      </c>
      <c r="AD100" t="str">
        <f t="shared" si="28"/>
        <v>Unknown</v>
      </c>
      <c r="AE100">
        <v>8</v>
      </c>
      <c r="AF100">
        <v>2108.9299999999998</v>
      </c>
      <c r="AG100">
        <v>0.1</v>
      </c>
      <c r="AH100">
        <v>0.1</v>
      </c>
      <c r="AI100" t="str">
        <f t="shared" si="29"/>
        <v>Valid</v>
      </c>
      <c r="AJ100">
        <v>15184.3</v>
      </c>
      <c r="AK100">
        <f t="shared" si="30"/>
        <v>15184.295999999998</v>
      </c>
      <c r="AL100">
        <v>11270.74</v>
      </c>
      <c r="AM100">
        <v>3913.56</v>
      </c>
      <c r="AN100">
        <f t="shared" si="31"/>
        <v>3913.5559999999987</v>
      </c>
      <c r="AO100">
        <f t="shared" si="32"/>
        <v>-11270.74</v>
      </c>
      <c r="AP100" t="s">
        <v>34</v>
      </c>
      <c r="AQ100" t="str">
        <f t="shared" si="33"/>
        <v>Paid</v>
      </c>
      <c r="AR100" t="s">
        <v>35</v>
      </c>
      <c r="AS100" t="str">
        <f t="shared" si="34"/>
        <v>Completed</v>
      </c>
      <c r="AT100" t="str">
        <f t="shared" si="35"/>
        <v>Clean</v>
      </c>
    </row>
    <row r="101" spans="1:46">
      <c r="A101" t="s">
        <v>591</v>
      </c>
      <c r="B101">
        <f>COUNTIF($D$2:D101,D101)</f>
        <v>1</v>
      </c>
      <c r="C101" t="str">
        <f>IF(COUNTIF($A:$A,A101)=1,
"Unique",
IF(COUNTIFS($A:$A,A101,$N:$N,N101,$AF:$AF,AF101,$AJ:$AJ,AJ101)&gt;1,
"Exact Duplicate",
"Conflicting Duplicate"))</f>
        <v>Unique</v>
      </c>
      <c r="D101" t="s">
        <v>592</v>
      </c>
      <c r="E101" t="s">
        <v>592</v>
      </c>
      <c r="F101" s="3">
        <v>45962</v>
      </c>
      <c r="G101" s="3">
        <v>45962</v>
      </c>
      <c r="H101" s="5" t="str">
        <f t="shared" si="18"/>
        <v>November</v>
      </c>
      <c r="I101" s="5">
        <f t="shared" si="19"/>
        <v>2025</v>
      </c>
      <c r="J101" t="str">
        <f>IF(F101="","Missing Date",
IF(ISNUMBER(F101),"Valid","Invalid Date"))</f>
        <v>Valid</v>
      </c>
      <c r="K101" t="str">
        <f t="shared" si="20"/>
        <v>Valid</v>
      </c>
      <c r="L101">
        <f>G101-F101</f>
        <v>0</v>
      </c>
      <c r="M101" t="s">
        <v>593</v>
      </c>
      <c r="N101" t="s">
        <v>107</v>
      </c>
      <c r="O101" t="str">
        <f t="shared" si="21"/>
        <v>Aditi Sen</v>
      </c>
      <c r="P101" t="s">
        <v>41</v>
      </c>
      <c r="Q101" t="str">
        <f t="shared" si="22"/>
        <v>Small Business</v>
      </c>
      <c r="R101" t="s">
        <v>73</v>
      </c>
      <c r="S101" t="str">
        <f t="shared" si="23"/>
        <v>West</v>
      </c>
      <c r="T101" t="s">
        <v>28</v>
      </c>
      <c r="U101" t="str">
        <f t="shared" si="24"/>
        <v>Rajasthan</v>
      </c>
      <c r="V101" t="s">
        <v>135</v>
      </c>
      <c r="W101" t="str">
        <f t="shared" si="25"/>
        <v>Udaipur</v>
      </c>
      <c r="X101" t="s">
        <v>86</v>
      </c>
      <c r="Y101" t="str">
        <f t="shared" si="26"/>
        <v>Technology</v>
      </c>
      <c r="Z101" t="s">
        <v>87</v>
      </c>
      <c r="AA101" t="str">
        <f t="shared" si="27"/>
        <v>Accessories</v>
      </c>
      <c r="AB101" t="s">
        <v>594</v>
      </c>
      <c r="AC101" t="s">
        <v>48</v>
      </c>
      <c r="AD101" t="str">
        <f t="shared" si="28"/>
        <v>Same Day</v>
      </c>
      <c r="AE101">
        <v>3</v>
      </c>
      <c r="AF101">
        <v>2165.29</v>
      </c>
      <c r="AG101">
        <v>0</v>
      </c>
      <c r="AH101">
        <v>0</v>
      </c>
      <c r="AI101" t="str">
        <f t="shared" si="29"/>
        <v>Valid</v>
      </c>
      <c r="AJ101">
        <v>6495.87</v>
      </c>
      <c r="AK101">
        <f t="shared" si="30"/>
        <v>6495.87</v>
      </c>
      <c r="AL101">
        <v>4700.8900000000003</v>
      </c>
      <c r="AM101">
        <v>1794.98</v>
      </c>
      <c r="AN101">
        <f t="shared" si="31"/>
        <v>1794.9799999999996</v>
      </c>
      <c r="AO101">
        <f t="shared" si="32"/>
        <v>-4700.8900000000003</v>
      </c>
      <c r="AP101" t="s">
        <v>34</v>
      </c>
      <c r="AQ101" t="str">
        <f t="shared" si="33"/>
        <v>Paid</v>
      </c>
      <c r="AR101" t="s">
        <v>35</v>
      </c>
      <c r="AS101" t="str">
        <f t="shared" si="34"/>
        <v>Completed</v>
      </c>
      <c r="AT101" t="str">
        <f t="shared" si="35"/>
        <v>Clean</v>
      </c>
    </row>
    <row r="102" spans="1:46">
      <c r="A102" t="s">
        <v>595</v>
      </c>
      <c r="B102">
        <f>COUNTIF($D$2:D102,D102)</f>
        <v>1</v>
      </c>
      <c r="C102" t="str">
        <f>IF(COUNTIF($A:$A,A102)=1,
"Unique",
IF(COUNTIFS($A:$A,A102,$N:$N,N102,$AF:$AF,AF102,$AJ:$AJ,AJ102)&gt;1,
"Exact Duplicate",
"Conflicting Duplicate"))</f>
        <v>Unique</v>
      </c>
      <c r="D102" t="s">
        <v>596</v>
      </c>
      <c r="E102" t="s">
        <v>597</v>
      </c>
      <c r="F102" s="2">
        <v>46000</v>
      </c>
      <c r="G102" s="2">
        <v>45918</v>
      </c>
      <c r="H102" s="5" t="str">
        <f t="shared" si="18"/>
        <v>December</v>
      </c>
      <c r="I102" s="5">
        <f t="shared" si="19"/>
        <v>2025</v>
      </c>
      <c r="J102" t="str">
        <f>IF(F102="","Missing Date",
IF(ISNUMBER(F102),"Valid","Invalid Date"))</f>
        <v>Valid</v>
      </c>
      <c r="K102" t="str">
        <f t="shared" si="20"/>
        <v>Valid</v>
      </c>
      <c r="L102">
        <f>G102-F102</f>
        <v>-82</v>
      </c>
      <c r="M102" t="s">
        <v>598</v>
      </c>
      <c r="N102" t="s">
        <v>162</v>
      </c>
      <c r="O102" t="str">
        <f t="shared" si="21"/>
        <v>Aarav Sharma</v>
      </c>
      <c r="P102" t="s">
        <v>115</v>
      </c>
      <c r="Q102" t="str">
        <f t="shared" si="22"/>
        <v>Home Office</v>
      </c>
      <c r="R102" t="s">
        <v>62</v>
      </c>
      <c r="S102" t="str">
        <f t="shared" si="23"/>
        <v>South</v>
      </c>
      <c r="T102" t="s">
        <v>242</v>
      </c>
      <c r="U102" t="str">
        <f t="shared" si="24"/>
        <v>Kerala</v>
      </c>
      <c r="V102" t="s">
        <v>243</v>
      </c>
      <c r="W102" t="str">
        <f t="shared" si="25"/>
        <v>Kochi</v>
      </c>
      <c r="X102" t="s">
        <v>30</v>
      </c>
      <c r="Y102" t="str">
        <f t="shared" si="26"/>
        <v>Office Supplies</v>
      </c>
      <c r="Z102" t="s">
        <v>156</v>
      </c>
      <c r="AA102" t="str">
        <f t="shared" si="27"/>
        <v>Storage</v>
      </c>
      <c r="AB102" t="s">
        <v>599</v>
      </c>
      <c r="AC102" t="s">
        <v>67</v>
      </c>
      <c r="AD102" t="str">
        <f t="shared" si="28"/>
        <v>Standard Class</v>
      </c>
      <c r="AE102">
        <v>6</v>
      </c>
      <c r="AF102">
        <v>1673.8</v>
      </c>
      <c r="AG102">
        <v>0.05</v>
      </c>
      <c r="AH102">
        <v>0.05</v>
      </c>
      <c r="AI102" t="str">
        <f t="shared" si="29"/>
        <v>Valid</v>
      </c>
      <c r="AJ102">
        <v>9540.66</v>
      </c>
      <c r="AK102">
        <f t="shared" si="30"/>
        <v>9540.659999999998</v>
      </c>
      <c r="AL102">
        <v>5561.49</v>
      </c>
      <c r="AM102">
        <v>3979.17</v>
      </c>
      <c r="AN102">
        <f t="shared" si="31"/>
        <v>3979.1699999999983</v>
      </c>
      <c r="AO102">
        <f t="shared" si="32"/>
        <v>-5561.49</v>
      </c>
      <c r="AP102" t="s">
        <v>34</v>
      </c>
      <c r="AQ102" t="str">
        <f t="shared" si="33"/>
        <v>Paid</v>
      </c>
      <c r="AR102" t="s">
        <v>35</v>
      </c>
      <c r="AS102" t="str">
        <f t="shared" si="34"/>
        <v>Completed</v>
      </c>
      <c r="AT102" t="str">
        <f t="shared" si="35"/>
        <v>Clean</v>
      </c>
    </row>
    <row r="103" spans="1:46">
      <c r="A103" t="s">
        <v>600</v>
      </c>
      <c r="B103">
        <f>COUNTIF($D$2:D103,D103)</f>
        <v>2</v>
      </c>
      <c r="C103" t="str">
        <f>IF(COUNTIF($A:$A,A103)=1,
"Unique",
IF(COUNTIFS($A:$A,A103,$N:$N,N103,$AF:$AF,AF103,$AJ:$AJ,AJ103)&gt;1,
"Exact Duplicate",
"Conflicting Duplicate"))</f>
        <v>Unique</v>
      </c>
      <c r="D103" t="s">
        <v>320</v>
      </c>
      <c r="E103" t="s">
        <v>601</v>
      </c>
      <c r="F103" s="3">
        <v>45465</v>
      </c>
      <c r="G103" s="3">
        <v>45469</v>
      </c>
      <c r="H103" s="5" t="str">
        <f t="shared" si="18"/>
        <v>June</v>
      </c>
      <c r="I103" s="5">
        <f t="shared" si="19"/>
        <v>2024</v>
      </c>
      <c r="J103" t="str">
        <f>IF(F103="","Missing Date",
IF(ISNUMBER(F103),"Valid","Invalid Date"))</f>
        <v>Valid</v>
      </c>
      <c r="K103" t="str">
        <f t="shared" si="20"/>
        <v>Valid</v>
      </c>
      <c r="L103">
        <f>G103-F103</f>
        <v>4</v>
      </c>
      <c r="M103" t="s">
        <v>602</v>
      </c>
      <c r="N103" t="s">
        <v>180</v>
      </c>
      <c r="O103" t="str">
        <f t="shared" si="21"/>
        <v>Rohan Mehta</v>
      </c>
      <c r="P103" t="s">
        <v>115</v>
      </c>
      <c r="Q103" t="str">
        <f t="shared" si="22"/>
        <v>Home Office</v>
      </c>
      <c r="R103" t="s">
        <v>42</v>
      </c>
      <c r="S103" t="str">
        <f t="shared" si="23"/>
        <v>East</v>
      </c>
      <c r="T103" t="s">
        <v>186</v>
      </c>
      <c r="U103" t="str">
        <f t="shared" si="24"/>
        <v>Bihar</v>
      </c>
      <c r="V103" t="s">
        <v>187</v>
      </c>
      <c r="W103" t="str">
        <f t="shared" si="25"/>
        <v>Patna</v>
      </c>
      <c r="X103" t="s">
        <v>45</v>
      </c>
      <c r="Y103" t="str">
        <f t="shared" si="26"/>
        <v>Furniture</v>
      </c>
      <c r="Z103" t="s">
        <v>65</v>
      </c>
      <c r="AA103" t="str">
        <f t="shared" si="27"/>
        <v>Furnishings</v>
      </c>
      <c r="AB103" t="s">
        <v>603</v>
      </c>
      <c r="AC103" t="s">
        <v>56</v>
      </c>
      <c r="AD103" t="str">
        <f t="shared" si="28"/>
        <v>First Class</v>
      </c>
      <c r="AE103">
        <v>5</v>
      </c>
      <c r="AF103">
        <v>4396.5200000000004</v>
      </c>
      <c r="AG103">
        <v>0.25</v>
      </c>
      <c r="AH103">
        <v>0.25</v>
      </c>
      <c r="AI103" t="str">
        <f t="shared" si="29"/>
        <v>Valid</v>
      </c>
      <c r="AJ103">
        <v>16486.95</v>
      </c>
      <c r="AK103">
        <f t="shared" si="30"/>
        <v>16486.95</v>
      </c>
      <c r="AL103">
        <v>12054.14</v>
      </c>
      <c r="AM103">
        <v>4432.8100000000004</v>
      </c>
      <c r="AN103">
        <f t="shared" si="31"/>
        <v>4432.8100000000013</v>
      </c>
      <c r="AO103">
        <f t="shared" si="32"/>
        <v>-12054.14</v>
      </c>
      <c r="AP103" t="s">
        <v>34</v>
      </c>
      <c r="AQ103" t="str">
        <f t="shared" si="33"/>
        <v>Paid</v>
      </c>
      <c r="AR103" t="s">
        <v>35</v>
      </c>
      <c r="AS103" t="str">
        <f t="shared" si="34"/>
        <v>Completed</v>
      </c>
      <c r="AT103" t="str">
        <f t="shared" si="35"/>
        <v>Clean</v>
      </c>
    </row>
    <row r="104" spans="1:46">
      <c r="A104" t="s">
        <v>604</v>
      </c>
      <c r="B104">
        <f>COUNTIF($D$2:D104,D104)</f>
        <v>1</v>
      </c>
      <c r="C104" t="str">
        <f>IF(COUNTIF($A:$A,A104)=1,
"Unique",
IF(COUNTIFS($A:$A,A104,$N:$N,N104,$AF:$AF,AF104,$AJ:$AJ,AJ104)&gt;1,
"Exact Duplicate",
"Conflicting Duplicate"))</f>
        <v>Unique</v>
      </c>
      <c r="D104" t="s">
        <v>605</v>
      </c>
      <c r="E104" t="s">
        <v>606</v>
      </c>
      <c r="F104" s="2">
        <v>45998</v>
      </c>
      <c r="G104" s="3">
        <v>45854</v>
      </c>
      <c r="H104" s="5" t="str">
        <f t="shared" si="18"/>
        <v>December</v>
      </c>
      <c r="I104" s="5">
        <f t="shared" si="19"/>
        <v>2025</v>
      </c>
      <c r="J104" t="str">
        <f>IF(F104="","Missing Date",
IF(ISNUMBER(F104),"Valid","Invalid Date"))</f>
        <v>Valid</v>
      </c>
      <c r="K104" t="str">
        <f t="shared" si="20"/>
        <v>Valid</v>
      </c>
      <c r="L104">
        <f>G104-F104</f>
        <v>-144</v>
      </c>
      <c r="M104" t="s">
        <v>607</v>
      </c>
      <c r="N104" t="s">
        <v>83</v>
      </c>
      <c r="O104" t="str">
        <f t="shared" si="21"/>
        <v>Vikram Iyer</v>
      </c>
      <c r="P104" t="s">
        <v>26</v>
      </c>
      <c r="Q104" t="str">
        <f t="shared" si="22"/>
        <v>Consumer</v>
      </c>
      <c r="R104" t="s">
        <v>62</v>
      </c>
      <c r="S104" t="str">
        <f t="shared" si="23"/>
        <v>South</v>
      </c>
      <c r="T104" t="s">
        <v>229</v>
      </c>
      <c r="U104" t="str">
        <f t="shared" si="24"/>
        <v>Karnataka</v>
      </c>
      <c r="V104" t="s">
        <v>230</v>
      </c>
      <c r="W104" t="str">
        <f t="shared" si="25"/>
        <v>Bengaluru</v>
      </c>
      <c r="X104" t="s">
        <v>45</v>
      </c>
      <c r="Y104" t="str">
        <f t="shared" si="26"/>
        <v>Furniture</v>
      </c>
      <c r="Z104" t="s">
        <v>76</v>
      </c>
      <c r="AA104" t="str">
        <f t="shared" si="27"/>
        <v>Chairs</v>
      </c>
      <c r="AB104" t="s">
        <v>608</v>
      </c>
      <c r="AC104" t="s">
        <v>56</v>
      </c>
      <c r="AD104" t="str">
        <f t="shared" si="28"/>
        <v>First Class</v>
      </c>
      <c r="AE104">
        <v>4</v>
      </c>
      <c r="AF104">
        <v>2865.71</v>
      </c>
      <c r="AG104">
        <v>0</v>
      </c>
      <c r="AH104">
        <v>0</v>
      </c>
      <c r="AI104" t="str">
        <f t="shared" si="29"/>
        <v>Valid</v>
      </c>
      <c r="AJ104">
        <v>11462.84</v>
      </c>
      <c r="AK104">
        <f t="shared" si="30"/>
        <v>11462.84</v>
      </c>
      <c r="AL104">
        <v>8979.7800000000007</v>
      </c>
      <c r="AM104">
        <v>2483.06</v>
      </c>
      <c r="AN104">
        <f t="shared" si="31"/>
        <v>2483.0599999999995</v>
      </c>
      <c r="AO104">
        <f t="shared" si="32"/>
        <v>-8979.7800000000007</v>
      </c>
      <c r="AP104" t="s">
        <v>124</v>
      </c>
      <c r="AQ104" t="str">
        <f t="shared" si="33"/>
        <v>Refunded</v>
      </c>
      <c r="AR104" t="s">
        <v>78</v>
      </c>
      <c r="AS104" t="str">
        <f t="shared" si="34"/>
        <v>Cancelled</v>
      </c>
      <c r="AT104" t="str">
        <f t="shared" si="35"/>
        <v>Clean</v>
      </c>
    </row>
    <row r="105" spans="1:46">
      <c r="A105" t="s">
        <v>609</v>
      </c>
      <c r="B105">
        <f>COUNTIF($D$2:D105,D105)</f>
        <v>1</v>
      </c>
      <c r="C105" t="str">
        <f>IF(COUNTIF($A:$A,A105)=1,
"Unique",
IF(COUNTIFS($A:$A,A105,$N:$N,N105,$AF:$AF,AF105,$AJ:$AJ,AJ105)&gt;1,
"Exact Duplicate",
"Conflicting Duplicate"))</f>
        <v>Unique</v>
      </c>
      <c r="D105" t="s">
        <v>610</v>
      </c>
      <c r="E105" t="s">
        <v>611</v>
      </c>
      <c r="F105" s="3">
        <v>45779</v>
      </c>
      <c r="G105" s="3">
        <v>45787</v>
      </c>
      <c r="H105" s="5" t="str">
        <f t="shared" si="18"/>
        <v>May</v>
      </c>
      <c r="I105" s="5">
        <f t="shared" si="19"/>
        <v>2025</v>
      </c>
      <c r="J105" t="str">
        <f>IF(F105="","Missing Date",
IF(ISNUMBER(F105),"Valid","Invalid Date"))</f>
        <v>Valid</v>
      </c>
      <c r="K105" t="str">
        <f t="shared" si="20"/>
        <v>Valid</v>
      </c>
      <c r="L105">
        <f>G105-F105</f>
        <v>8</v>
      </c>
      <c r="M105" t="s">
        <v>612</v>
      </c>
      <c r="N105" t="s">
        <v>366</v>
      </c>
      <c r="O105" t="str">
        <f t="shared" si="21"/>
        <v>Kabir Singh</v>
      </c>
      <c r="P105" t="s">
        <v>108</v>
      </c>
      <c r="Q105" t="str">
        <f t="shared" si="22"/>
        <v>Corporate</v>
      </c>
      <c r="R105" t="s">
        <v>73</v>
      </c>
      <c r="S105" t="str">
        <f t="shared" si="23"/>
        <v>West</v>
      </c>
      <c r="T105" t="s">
        <v>74</v>
      </c>
      <c r="U105" t="str">
        <f t="shared" si="24"/>
        <v>Maharashtra</v>
      </c>
      <c r="V105" t="s">
        <v>75</v>
      </c>
      <c r="W105" t="str">
        <f t="shared" si="25"/>
        <v>Mumbai</v>
      </c>
      <c r="X105" t="s">
        <v>45</v>
      </c>
      <c r="Y105" t="str">
        <f t="shared" si="26"/>
        <v>Furniture</v>
      </c>
      <c r="Z105" t="s">
        <v>46</v>
      </c>
      <c r="AA105" t="str">
        <f t="shared" si="27"/>
        <v>Tables</v>
      </c>
      <c r="AB105" t="s">
        <v>613</v>
      </c>
      <c r="AC105" t="s">
        <v>56</v>
      </c>
      <c r="AD105" t="str">
        <f t="shared" si="28"/>
        <v>First Class</v>
      </c>
      <c r="AE105">
        <v>4</v>
      </c>
      <c r="AF105">
        <v>2440.34</v>
      </c>
      <c r="AG105">
        <v>0.2</v>
      </c>
      <c r="AH105">
        <v>0.2</v>
      </c>
      <c r="AI105" t="str">
        <f t="shared" si="29"/>
        <v>Valid</v>
      </c>
      <c r="AJ105">
        <v>7809.09</v>
      </c>
      <c r="AK105">
        <f t="shared" si="30"/>
        <v>7809.0880000000006</v>
      </c>
      <c r="AL105">
        <v>6657.75</v>
      </c>
      <c r="AM105">
        <v>1151.3399999999999</v>
      </c>
      <c r="AN105">
        <f t="shared" si="31"/>
        <v>1151.3380000000006</v>
      </c>
      <c r="AO105">
        <f t="shared" si="32"/>
        <v>-6657.75</v>
      </c>
      <c r="AP105" t="s">
        <v>34</v>
      </c>
      <c r="AQ105" t="str">
        <f t="shared" si="33"/>
        <v>Paid</v>
      </c>
      <c r="AR105" t="s">
        <v>35</v>
      </c>
      <c r="AS105" t="str">
        <f t="shared" si="34"/>
        <v>Completed</v>
      </c>
      <c r="AT105" t="str">
        <f t="shared" si="35"/>
        <v>Clean</v>
      </c>
    </row>
    <row r="106" spans="1:46">
      <c r="A106" t="s">
        <v>614</v>
      </c>
      <c r="B106">
        <f>COUNTIF($D$2:D106,D106)</f>
        <v>1</v>
      </c>
      <c r="C106" t="str">
        <f>IF(COUNTIF($A:$A,A106)=1,
"Unique",
IF(COUNTIFS($A:$A,A106,$N:$N,N106,$AF:$AF,AF106,$AJ:$AJ,AJ106)&gt;1,
"Exact Duplicate",
"Conflicting Duplicate"))</f>
        <v>Unique</v>
      </c>
      <c r="D106" t="s">
        <v>615</v>
      </c>
      <c r="E106" t="s">
        <v>616</v>
      </c>
      <c r="F106" s="3">
        <v>45659</v>
      </c>
      <c r="G106" s="3">
        <v>45696</v>
      </c>
      <c r="H106" s="5" t="str">
        <f t="shared" si="18"/>
        <v>January</v>
      </c>
      <c r="I106" s="5">
        <f t="shared" si="19"/>
        <v>2025</v>
      </c>
      <c r="J106" t="str">
        <f>IF(F106="","Missing Date",
IF(ISNUMBER(F106),"Valid","Invalid Date"))</f>
        <v>Valid</v>
      </c>
      <c r="K106" t="str">
        <f t="shared" si="20"/>
        <v>Valid</v>
      </c>
      <c r="L106">
        <f>G106-F106</f>
        <v>37</v>
      </c>
      <c r="M106" t="s">
        <v>617</v>
      </c>
      <c r="N106" t="s">
        <v>72</v>
      </c>
      <c r="O106" t="str">
        <f t="shared" si="21"/>
        <v>Ananya Rao</v>
      </c>
      <c r="P106" t="s">
        <v>26</v>
      </c>
      <c r="Q106" t="str">
        <f t="shared" si="22"/>
        <v>Consumer</v>
      </c>
      <c r="R106" t="s">
        <v>62</v>
      </c>
      <c r="S106" t="str">
        <f t="shared" si="23"/>
        <v>South</v>
      </c>
      <c r="T106" t="s">
        <v>229</v>
      </c>
      <c r="U106" t="str">
        <f t="shared" si="24"/>
        <v>Karnataka</v>
      </c>
      <c r="V106" t="s">
        <v>230</v>
      </c>
      <c r="W106" t="str">
        <f t="shared" si="25"/>
        <v>Bengaluru</v>
      </c>
      <c r="X106" t="s">
        <v>30</v>
      </c>
      <c r="Y106" t="str">
        <f t="shared" si="26"/>
        <v>Office Supplies</v>
      </c>
      <c r="Z106" t="s">
        <v>109</v>
      </c>
      <c r="AA106" t="str">
        <f t="shared" si="27"/>
        <v>Labels</v>
      </c>
      <c r="AB106" t="s">
        <v>618</v>
      </c>
      <c r="AC106" t="s">
        <v>48</v>
      </c>
      <c r="AD106" t="str">
        <f t="shared" si="28"/>
        <v>Same Day</v>
      </c>
      <c r="AE106">
        <v>5</v>
      </c>
      <c r="AF106">
        <v>2112.54</v>
      </c>
      <c r="AG106">
        <v>0.25</v>
      </c>
      <c r="AH106">
        <v>0.25</v>
      </c>
      <c r="AI106" t="str">
        <f t="shared" si="29"/>
        <v>Valid</v>
      </c>
      <c r="AJ106">
        <v>8260.4599999999991</v>
      </c>
      <c r="AK106">
        <f t="shared" si="30"/>
        <v>7922.0250000000005</v>
      </c>
      <c r="AL106">
        <v>5619.95</v>
      </c>
      <c r="AM106">
        <v>2302.08</v>
      </c>
      <c r="AN106">
        <f t="shared" si="31"/>
        <v>2302.0750000000007</v>
      </c>
      <c r="AO106">
        <f t="shared" si="32"/>
        <v>-5619.95</v>
      </c>
      <c r="AP106" t="s">
        <v>34</v>
      </c>
      <c r="AQ106" t="str">
        <f t="shared" si="33"/>
        <v>Paid</v>
      </c>
      <c r="AR106" t="s">
        <v>78</v>
      </c>
      <c r="AS106" t="str">
        <f t="shared" si="34"/>
        <v>Cancelled</v>
      </c>
      <c r="AT106" t="str">
        <f t="shared" si="35"/>
        <v>Clean</v>
      </c>
    </row>
    <row r="107" spans="1:46">
      <c r="A107" t="s">
        <v>619</v>
      </c>
      <c r="B107">
        <f>COUNTIF($D$2:D107,D107)</f>
        <v>1</v>
      </c>
      <c r="C107" t="str">
        <f>IF(COUNTIF($A:$A,A107)=1,
"Unique",
IF(COUNTIFS($A:$A,A107,$N:$N,N107,$AF:$AF,AF107,$AJ:$AJ,AJ107)&gt;1,
"Exact Duplicate",
"Conflicting Duplicate"))</f>
        <v>Unique</v>
      </c>
      <c r="D107" t="s">
        <v>620</v>
      </c>
      <c r="E107" t="s">
        <v>621</v>
      </c>
      <c r="F107" s="3">
        <v>45467</v>
      </c>
      <c r="G107" s="3">
        <v>45472</v>
      </c>
      <c r="H107" s="5" t="str">
        <f t="shared" si="18"/>
        <v>June</v>
      </c>
      <c r="I107" s="5">
        <f t="shared" si="19"/>
        <v>2024</v>
      </c>
      <c r="J107" t="str">
        <f>IF(F107="","Missing Date",
IF(ISNUMBER(F107),"Valid","Invalid Date"))</f>
        <v>Valid</v>
      </c>
      <c r="K107" t="str">
        <f t="shared" si="20"/>
        <v>Valid</v>
      </c>
      <c r="L107">
        <f>G107-F107</f>
        <v>5</v>
      </c>
      <c r="M107" t="s">
        <v>622</v>
      </c>
      <c r="N107" t="s">
        <v>40</v>
      </c>
      <c r="O107" t="str">
        <f t="shared" si="21"/>
        <v>Mira Das</v>
      </c>
      <c r="P107" t="s">
        <v>115</v>
      </c>
      <c r="Q107" t="str">
        <f t="shared" si="22"/>
        <v>Home Office</v>
      </c>
      <c r="R107" t="s">
        <v>42</v>
      </c>
      <c r="S107" t="str">
        <f t="shared" si="23"/>
        <v>East</v>
      </c>
      <c r="T107" t="s">
        <v>121</v>
      </c>
      <c r="U107" t="str">
        <f t="shared" si="24"/>
        <v>West Bengal</v>
      </c>
      <c r="V107" t="s">
        <v>122</v>
      </c>
      <c r="W107" t="str">
        <f t="shared" si="25"/>
        <v>Kolkata</v>
      </c>
      <c r="X107" t="s">
        <v>45</v>
      </c>
      <c r="Y107" t="str">
        <f t="shared" si="26"/>
        <v>Furniture</v>
      </c>
      <c r="Z107" t="s">
        <v>46</v>
      </c>
      <c r="AA107" t="str">
        <f t="shared" si="27"/>
        <v>Tables</v>
      </c>
      <c r="AB107" t="s">
        <v>623</v>
      </c>
      <c r="AC107" t="s">
        <v>33</v>
      </c>
      <c r="AD107" t="str">
        <f t="shared" si="28"/>
        <v>Second Class</v>
      </c>
      <c r="AE107">
        <v>2</v>
      </c>
      <c r="AF107">
        <v>685</v>
      </c>
      <c r="AG107">
        <v>0.1</v>
      </c>
      <c r="AH107">
        <v>0.1</v>
      </c>
      <c r="AI107" t="str">
        <f t="shared" si="29"/>
        <v>Valid</v>
      </c>
      <c r="AJ107">
        <v>1233</v>
      </c>
      <c r="AK107">
        <f t="shared" si="30"/>
        <v>1233</v>
      </c>
      <c r="AL107">
        <v>1006.9</v>
      </c>
      <c r="AM107">
        <v>226.1</v>
      </c>
      <c r="AN107">
        <f t="shared" si="31"/>
        <v>226.10000000000002</v>
      </c>
      <c r="AO107">
        <f t="shared" si="32"/>
        <v>-1006.9</v>
      </c>
      <c r="AP107" t="s">
        <v>34</v>
      </c>
      <c r="AQ107" t="str">
        <f t="shared" si="33"/>
        <v>Paid</v>
      </c>
      <c r="AR107" t="s">
        <v>35</v>
      </c>
      <c r="AS107" t="str">
        <f t="shared" si="34"/>
        <v>Completed</v>
      </c>
      <c r="AT107" t="str">
        <f t="shared" si="35"/>
        <v>Clean</v>
      </c>
    </row>
    <row r="108" spans="1:46">
      <c r="A108" t="s">
        <v>624</v>
      </c>
      <c r="B108">
        <f>COUNTIF($D$2:D108,D108)</f>
        <v>1</v>
      </c>
      <c r="C108" t="str">
        <f>IF(COUNTIF($A:$A,A108)=1,
"Unique",
IF(COUNTIFS($A:$A,A108,$N:$N,N108,$AF:$AF,AF108,$AJ:$AJ,AJ108)&gt;1,
"Exact Duplicate",
"Conflicting Duplicate"))</f>
        <v>Unique</v>
      </c>
      <c r="D108" t="s">
        <v>625</v>
      </c>
      <c r="E108" t="s">
        <v>626</v>
      </c>
      <c r="F108" s="3">
        <v>45342</v>
      </c>
      <c r="G108" s="2">
        <v>45350</v>
      </c>
      <c r="H108" s="5" t="str">
        <f t="shared" si="18"/>
        <v>February</v>
      </c>
      <c r="I108" s="5">
        <f t="shared" si="19"/>
        <v>2024</v>
      </c>
      <c r="J108" t="str">
        <f>IF(F108="","Missing Date",
IF(ISNUMBER(F108),"Valid","Invalid Date"))</f>
        <v>Valid</v>
      </c>
      <c r="K108" t="str">
        <f t="shared" si="20"/>
        <v>Valid</v>
      </c>
      <c r="L108">
        <f>G108-F108</f>
        <v>8</v>
      </c>
      <c r="M108" t="s">
        <v>627</v>
      </c>
      <c r="N108" t="s">
        <v>61</v>
      </c>
      <c r="O108" t="str">
        <f t="shared" si="21"/>
        <v>Arjun Bose</v>
      </c>
      <c r="P108" t="s">
        <v>115</v>
      </c>
      <c r="Q108" t="str">
        <f t="shared" si="22"/>
        <v>Home Office</v>
      </c>
      <c r="R108" t="s">
        <v>42</v>
      </c>
      <c r="S108" t="str">
        <f t="shared" si="23"/>
        <v>East</v>
      </c>
      <c r="T108" t="s">
        <v>121</v>
      </c>
      <c r="U108" t="str">
        <f t="shared" si="24"/>
        <v>West Bengal</v>
      </c>
      <c r="V108" t="s">
        <v>122</v>
      </c>
      <c r="W108" t="str">
        <f t="shared" si="25"/>
        <v>Kolkata</v>
      </c>
      <c r="X108" t="s">
        <v>30</v>
      </c>
      <c r="Y108" t="str">
        <f t="shared" si="26"/>
        <v>Office Supplies</v>
      </c>
      <c r="Z108" t="s">
        <v>31</v>
      </c>
      <c r="AA108" t="str">
        <f t="shared" si="27"/>
        <v>Paper</v>
      </c>
      <c r="AB108" t="s">
        <v>628</v>
      </c>
      <c r="AC108" t="s">
        <v>67</v>
      </c>
      <c r="AD108" t="str">
        <f t="shared" si="28"/>
        <v>Standard Class</v>
      </c>
      <c r="AE108">
        <v>2</v>
      </c>
      <c r="AF108">
        <v>4004.04</v>
      </c>
      <c r="AG108" t="s">
        <v>4104</v>
      </c>
      <c r="AH108" t="s">
        <v>4105</v>
      </c>
      <c r="AI108" t="str">
        <f t="shared" si="29"/>
        <v>Invalid - Above Range</v>
      </c>
      <c r="AJ108">
        <v>7207.27</v>
      </c>
      <c r="AK108" t="s">
        <v>4104</v>
      </c>
      <c r="AL108">
        <v>5709.39</v>
      </c>
      <c r="AM108">
        <v>1497.88</v>
      </c>
      <c r="AN108" t="s">
        <v>4104</v>
      </c>
      <c r="AO108" t="s">
        <v>4104</v>
      </c>
      <c r="AP108" t="s">
        <v>34</v>
      </c>
      <c r="AQ108" t="str">
        <f t="shared" si="33"/>
        <v>Paid</v>
      </c>
      <c r="AR108" t="s">
        <v>78</v>
      </c>
      <c r="AS108" t="str">
        <f t="shared" si="34"/>
        <v>Cancelled</v>
      </c>
      <c r="AT108" t="str">
        <f t="shared" si="35"/>
        <v>Clean</v>
      </c>
    </row>
    <row r="109" spans="1:46">
      <c r="A109" t="s">
        <v>629</v>
      </c>
      <c r="B109">
        <f>COUNTIF($D$2:D109,D109)</f>
        <v>1</v>
      </c>
      <c r="C109" t="str">
        <f>IF(COUNTIF($A:$A,A109)=1,
"Unique",
IF(COUNTIFS($A:$A,A109,$N:$N,N109,$AF:$AF,AF109,$AJ:$AJ,AJ109)&gt;1,
"Exact Duplicate",
"Conflicting Duplicate"))</f>
        <v>Unique</v>
      </c>
      <c r="D109" t="s">
        <v>630</v>
      </c>
      <c r="E109" t="s">
        <v>631</v>
      </c>
      <c r="F109" s="2">
        <v>45594</v>
      </c>
      <c r="G109" s="3">
        <v>45393</v>
      </c>
      <c r="H109" s="5" t="str">
        <f t="shared" si="18"/>
        <v>October</v>
      </c>
      <c r="I109" s="5">
        <f t="shared" si="19"/>
        <v>2024</v>
      </c>
      <c r="J109" t="str">
        <f>IF(F109="","Missing Date",
IF(ISNUMBER(F109),"Valid","Invalid Date"))</f>
        <v>Valid</v>
      </c>
      <c r="K109" t="str">
        <f t="shared" si="20"/>
        <v>Valid</v>
      </c>
      <c r="L109">
        <f>G109-F109</f>
        <v>-201</v>
      </c>
      <c r="M109" t="s">
        <v>632</v>
      </c>
      <c r="N109" t="s">
        <v>180</v>
      </c>
      <c r="O109" t="str">
        <f t="shared" si="21"/>
        <v>Rohan Mehta</v>
      </c>
      <c r="P109" t="s">
        <v>115</v>
      </c>
      <c r="Q109" t="str">
        <f t="shared" si="22"/>
        <v>Home Office</v>
      </c>
      <c r="R109" t="s">
        <v>42</v>
      </c>
      <c r="S109" t="str">
        <f t="shared" si="23"/>
        <v>East</v>
      </c>
      <c r="T109" t="s">
        <v>121</v>
      </c>
      <c r="U109" t="str">
        <f t="shared" si="24"/>
        <v>West Bengal</v>
      </c>
      <c r="V109" t="s">
        <v>122</v>
      </c>
      <c r="W109" t="str">
        <f t="shared" si="25"/>
        <v>Kolkata</v>
      </c>
      <c r="X109" t="s">
        <v>45</v>
      </c>
      <c r="Y109" t="str">
        <f t="shared" si="26"/>
        <v>Furniture</v>
      </c>
      <c r="Z109" t="s">
        <v>65</v>
      </c>
      <c r="AA109" t="str">
        <f t="shared" si="27"/>
        <v>Furnishings</v>
      </c>
      <c r="AB109" t="s">
        <v>633</v>
      </c>
      <c r="AC109" t="s">
        <v>56</v>
      </c>
      <c r="AD109" t="str">
        <f t="shared" si="28"/>
        <v>First Class</v>
      </c>
      <c r="AE109">
        <v>3</v>
      </c>
      <c r="AF109">
        <v>4302.8900000000003</v>
      </c>
      <c r="AG109">
        <v>0.05</v>
      </c>
      <c r="AH109">
        <v>0.05</v>
      </c>
      <c r="AI109" t="str">
        <f t="shared" si="29"/>
        <v>Valid</v>
      </c>
      <c r="AJ109">
        <v>12263.24</v>
      </c>
      <c r="AK109">
        <f t="shared" si="30"/>
        <v>12263.236500000001</v>
      </c>
      <c r="AL109">
        <v>8925.57</v>
      </c>
      <c r="AM109">
        <v>3337.67</v>
      </c>
      <c r="AN109">
        <f t="shared" si="31"/>
        <v>3337.6665000000012</v>
      </c>
      <c r="AO109">
        <f t="shared" si="32"/>
        <v>-8925.57</v>
      </c>
      <c r="AP109" t="s">
        <v>34</v>
      </c>
      <c r="AQ109" t="str">
        <f t="shared" si="33"/>
        <v>Paid</v>
      </c>
      <c r="AR109" t="s">
        <v>35</v>
      </c>
      <c r="AS109" t="str">
        <f t="shared" si="34"/>
        <v>Completed</v>
      </c>
      <c r="AT109" t="str">
        <f t="shared" si="35"/>
        <v>Clean</v>
      </c>
    </row>
    <row r="110" spans="1:46">
      <c r="A110" t="s">
        <v>634</v>
      </c>
      <c r="B110">
        <f>COUNTIF($D$2:D110,D110)</f>
        <v>1</v>
      </c>
      <c r="C110" t="str">
        <f>IF(COUNTIF($A:$A,A110)=1,
"Unique",
IF(COUNTIFS($A:$A,A110,$N:$N,N110,$AF:$AF,AF110,$AJ:$AJ,AJ110)&gt;1,
"Exact Duplicate",
"Conflicting Duplicate"))</f>
        <v>Unique</v>
      </c>
      <c r="D110" t="s">
        <v>635</v>
      </c>
      <c r="E110" t="s">
        <v>636</v>
      </c>
      <c r="F110" s="2">
        <v>45519</v>
      </c>
      <c r="G110" s="3">
        <v>45527</v>
      </c>
      <c r="H110" s="5" t="str">
        <f t="shared" si="18"/>
        <v>August</v>
      </c>
      <c r="I110" s="5">
        <f t="shared" si="19"/>
        <v>2024</v>
      </c>
      <c r="J110" t="str">
        <f>IF(F110="","Missing Date",
IF(ISNUMBER(F110),"Valid","Invalid Date"))</f>
        <v>Valid</v>
      </c>
      <c r="K110" t="str">
        <f t="shared" si="20"/>
        <v>Valid</v>
      </c>
      <c r="L110">
        <f>G110-F110</f>
        <v>8</v>
      </c>
      <c r="M110" t="s">
        <v>637</v>
      </c>
      <c r="N110" t="s">
        <v>107</v>
      </c>
      <c r="O110" t="str">
        <f t="shared" si="21"/>
        <v>Aditi Sen</v>
      </c>
      <c r="P110" t="s">
        <v>41</v>
      </c>
      <c r="Q110" t="str">
        <f t="shared" si="22"/>
        <v>Small Business</v>
      </c>
      <c r="R110" t="s">
        <v>42</v>
      </c>
      <c r="S110" t="str">
        <f t="shared" si="23"/>
        <v>East</v>
      </c>
      <c r="T110" t="s">
        <v>43</v>
      </c>
      <c r="U110" t="str">
        <f t="shared" si="24"/>
        <v>Odisha</v>
      </c>
      <c r="V110" t="s">
        <v>44</v>
      </c>
      <c r="W110" t="str">
        <f t="shared" si="25"/>
        <v>Bhubaneswar</v>
      </c>
      <c r="X110" t="s">
        <v>45</v>
      </c>
      <c r="Y110" t="str">
        <f t="shared" si="26"/>
        <v>Furniture</v>
      </c>
      <c r="Z110" t="s">
        <v>204</v>
      </c>
      <c r="AA110" t="str">
        <f t="shared" si="27"/>
        <v>Bookcases</v>
      </c>
      <c r="AB110" t="s">
        <v>638</v>
      </c>
      <c r="AC110" t="s">
        <v>48</v>
      </c>
      <c r="AD110" t="str">
        <f t="shared" si="28"/>
        <v>Same Day</v>
      </c>
      <c r="AE110">
        <v>2</v>
      </c>
      <c r="AF110">
        <v>537.54</v>
      </c>
      <c r="AG110">
        <v>0.25</v>
      </c>
      <c r="AH110">
        <v>0.25</v>
      </c>
      <c r="AI110" t="str">
        <f t="shared" si="29"/>
        <v>Valid</v>
      </c>
      <c r="AJ110">
        <v>806.31</v>
      </c>
      <c r="AK110">
        <f t="shared" si="30"/>
        <v>806.31</v>
      </c>
      <c r="AL110">
        <v>498.5</v>
      </c>
      <c r="AM110">
        <v>307.81</v>
      </c>
      <c r="AN110">
        <f t="shared" si="31"/>
        <v>307.80999999999995</v>
      </c>
      <c r="AO110">
        <f t="shared" si="32"/>
        <v>-498.5</v>
      </c>
      <c r="AP110" t="s">
        <v>34</v>
      </c>
      <c r="AQ110" t="str">
        <f t="shared" si="33"/>
        <v>Paid</v>
      </c>
      <c r="AR110" t="s">
        <v>35</v>
      </c>
      <c r="AS110" t="str">
        <f t="shared" si="34"/>
        <v>Completed</v>
      </c>
      <c r="AT110" t="str">
        <f t="shared" si="35"/>
        <v>Clean</v>
      </c>
    </row>
    <row r="111" spans="1:46">
      <c r="A111" t="s">
        <v>639</v>
      </c>
      <c r="B111">
        <f>COUNTIF($D$2:D111,D111)</f>
        <v>1</v>
      </c>
      <c r="C111" t="str">
        <f>IF(COUNTIF($A:$A,A111)=1,
"Unique",
IF(COUNTIFS($A:$A,A111,$N:$N,N111,$AF:$AF,AF111,$AJ:$AJ,AJ111)&gt;1,
"Exact Duplicate",
"Conflicting Duplicate"))</f>
        <v>Unique</v>
      </c>
      <c r="D111" t="s">
        <v>640</v>
      </c>
      <c r="E111" t="s">
        <v>479</v>
      </c>
      <c r="F111" s="3">
        <v>45892</v>
      </c>
      <c r="G111" s="3">
        <v>45896</v>
      </c>
      <c r="H111" s="5" t="str">
        <f t="shared" si="18"/>
        <v>August</v>
      </c>
      <c r="I111" s="5">
        <f t="shared" si="19"/>
        <v>2025</v>
      </c>
      <c r="J111" t="str">
        <f>IF(F111="","Missing Date",
IF(ISNUMBER(F111),"Valid","Invalid Date"))</f>
        <v>Valid</v>
      </c>
      <c r="K111" t="str">
        <f t="shared" si="20"/>
        <v>Valid</v>
      </c>
      <c r="L111">
        <f>G111-F111</f>
        <v>4</v>
      </c>
      <c r="M111" t="s">
        <v>641</v>
      </c>
      <c r="N111" t="s">
        <v>168</v>
      </c>
      <c r="O111" t="str">
        <f t="shared" si="21"/>
        <v>Sneha Kapoor</v>
      </c>
      <c r="P111" t="s">
        <v>26</v>
      </c>
      <c r="Q111" t="str">
        <f t="shared" si="22"/>
        <v>Consumer</v>
      </c>
      <c r="R111" t="s">
        <v>27</v>
      </c>
      <c r="S111" t="str">
        <f t="shared" si="23"/>
        <v>North</v>
      </c>
      <c r="T111" t="s">
        <v>506</v>
      </c>
      <c r="U111" t="str">
        <f t="shared" si="24"/>
        <v>Delhi</v>
      </c>
      <c r="V111" t="s">
        <v>507</v>
      </c>
      <c r="W111" t="str">
        <f t="shared" si="25"/>
        <v>New Delhi</v>
      </c>
      <c r="X111" t="s">
        <v>30</v>
      </c>
      <c r="Y111" t="str">
        <f t="shared" si="26"/>
        <v>Office Supplies</v>
      </c>
      <c r="Z111" t="s">
        <v>198</v>
      </c>
      <c r="AA111" t="str">
        <f t="shared" si="27"/>
        <v>Binders</v>
      </c>
      <c r="AB111" t="s">
        <v>642</v>
      </c>
      <c r="AC111" t="s">
        <v>33</v>
      </c>
      <c r="AD111" t="str">
        <f t="shared" si="28"/>
        <v>Second Class</v>
      </c>
      <c r="AE111">
        <v>1</v>
      </c>
      <c r="AF111">
        <v>2788.62</v>
      </c>
      <c r="AG111">
        <v>0.25</v>
      </c>
      <c r="AH111">
        <v>0.25</v>
      </c>
      <c r="AI111" t="str">
        <f t="shared" si="29"/>
        <v>Valid</v>
      </c>
      <c r="AJ111">
        <v>2091.4699999999998</v>
      </c>
      <c r="AK111">
        <f t="shared" si="30"/>
        <v>2091.4650000000001</v>
      </c>
      <c r="AL111">
        <v>1317.22</v>
      </c>
      <c r="AM111">
        <v>774.25</v>
      </c>
      <c r="AN111">
        <f t="shared" si="31"/>
        <v>774.24500000000012</v>
      </c>
      <c r="AO111">
        <f t="shared" si="32"/>
        <v>-1317.22</v>
      </c>
      <c r="AP111" t="s">
        <v>34</v>
      </c>
      <c r="AQ111" t="str">
        <f t="shared" si="33"/>
        <v>Paid</v>
      </c>
      <c r="AR111" t="s">
        <v>35</v>
      </c>
      <c r="AS111" t="str">
        <f t="shared" si="34"/>
        <v>Completed</v>
      </c>
      <c r="AT111" t="str">
        <f t="shared" si="35"/>
        <v>Clean</v>
      </c>
    </row>
    <row r="112" spans="1:46">
      <c r="A112" t="s">
        <v>643</v>
      </c>
      <c r="B112">
        <f>COUNTIF($D$2:D112,D112)</f>
        <v>1</v>
      </c>
      <c r="C112" t="str">
        <f>IF(COUNTIF($A:$A,A112)=1,
"Unique",
IF(COUNTIFS($A:$A,A112,$N:$N,N112,$AF:$AF,AF112,$AJ:$AJ,AJ112)&gt;1,
"Exact Duplicate",
"Conflicting Duplicate"))</f>
        <v>Unique</v>
      </c>
      <c r="D112" t="s">
        <v>644</v>
      </c>
      <c r="E112" t="s">
        <v>645</v>
      </c>
      <c r="F112" s="3">
        <v>45583</v>
      </c>
      <c r="G112" s="3">
        <v>45589</v>
      </c>
      <c r="H112" s="5" t="str">
        <f t="shared" si="18"/>
        <v>October</v>
      </c>
      <c r="I112" s="5">
        <f t="shared" si="19"/>
        <v>2024</v>
      </c>
      <c r="J112" t="str">
        <f>IF(F112="","Missing Date",
IF(ISNUMBER(F112),"Valid","Invalid Date"))</f>
        <v>Valid</v>
      </c>
      <c r="K112" t="str">
        <f t="shared" si="20"/>
        <v>Valid</v>
      </c>
      <c r="L112">
        <f>G112-F112</f>
        <v>6</v>
      </c>
      <c r="M112" t="s">
        <v>646</v>
      </c>
      <c r="N112" t="s">
        <v>83</v>
      </c>
      <c r="O112" t="str">
        <f t="shared" si="21"/>
        <v>Vikram Iyer</v>
      </c>
      <c r="P112" t="s">
        <v>108</v>
      </c>
      <c r="Q112" t="str">
        <f t="shared" si="22"/>
        <v>Corporate</v>
      </c>
      <c r="R112" t="s">
        <v>62</v>
      </c>
      <c r="S112" t="str">
        <f t="shared" si="23"/>
        <v>South</v>
      </c>
      <c r="T112" t="s">
        <v>242</v>
      </c>
      <c r="U112" t="str">
        <f t="shared" si="24"/>
        <v>Kerala</v>
      </c>
      <c r="V112" t="s">
        <v>243</v>
      </c>
      <c r="W112" t="str">
        <f t="shared" si="25"/>
        <v>Kochi</v>
      </c>
      <c r="X112" t="s">
        <v>30</v>
      </c>
      <c r="Y112" t="str">
        <f t="shared" si="26"/>
        <v>Office Supplies</v>
      </c>
      <c r="Z112" t="s">
        <v>109</v>
      </c>
      <c r="AA112" t="str">
        <f t="shared" si="27"/>
        <v>Labels</v>
      </c>
      <c r="AB112" t="s">
        <v>647</v>
      </c>
      <c r="AC112" t="s">
        <v>56</v>
      </c>
      <c r="AD112" t="str">
        <f t="shared" si="28"/>
        <v>First Class</v>
      </c>
      <c r="AE112">
        <v>2</v>
      </c>
      <c r="AF112">
        <v>2250.4699999999998</v>
      </c>
      <c r="AG112">
        <v>0</v>
      </c>
      <c r="AH112">
        <v>0</v>
      </c>
      <c r="AI112" t="str">
        <f t="shared" si="29"/>
        <v>Valid</v>
      </c>
      <c r="AJ112">
        <v>4500.9399999999996</v>
      </c>
      <c r="AK112">
        <f t="shared" si="30"/>
        <v>4500.9399999999996</v>
      </c>
      <c r="AL112">
        <v>2607.73</v>
      </c>
      <c r="AM112">
        <v>1893.21</v>
      </c>
      <c r="AN112">
        <f t="shared" si="31"/>
        <v>1893.2099999999996</v>
      </c>
      <c r="AO112">
        <f t="shared" si="32"/>
        <v>-2607.73</v>
      </c>
      <c r="AP112" t="s">
        <v>124</v>
      </c>
      <c r="AQ112" t="str">
        <f t="shared" si="33"/>
        <v>Refunded</v>
      </c>
      <c r="AR112" t="s">
        <v>78</v>
      </c>
      <c r="AS112" t="str">
        <f t="shared" si="34"/>
        <v>Cancelled</v>
      </c>
      <c r="AT112" t="str">
        <f t="shared" si="35"/>
        <v>Clean</v>
      </c>
    </row>
    <row r="113" spans="1:46">
      <c r="A113" t="s">
        <v>648</v>
      </c>
      <c r="B113">
        <f>COUNTIF($D$2:D113,D113)</f>
        <v>1</v>
      </c>
      <c r="C113" t="str">
        <f>IF(COUNTIF($A:$A,A113)=1,
"Unique",
IF(COUNTIFS($A:$A,A113,$N:$N,N113,$AF:$AF,AF113,$AJ:$AJ,AJ113)&gt;1,
"Exact Duplicate",
"Conflicting Duplicate"))</f>
        <v>Unique</v>
      </c>
      <c r="D113" t="s">
        <v>649</v>
      </c>
      <c r="E113" t="s">
        <v>650</v>
      </c>
      <c r="F113" s="3">
        <v>45835</v>
      </c>
      <c r="G113" s="3">
        <v>45838</v>
      </c>
      <c r="H113" s="5" t="str">
        <f t="shared" si="18"/>
        <v>June</v>
      </c>
      <c r="I113" s="5">
        <f t="shared" si="19"/>
        <v>2025</v>
      </c>
      <c r="J113" t="str">
        <f>IF(F113="","Missing Date",
IF(ISNUMBER(F113),"Valid","Invalid Date"))</f>
        <v>Valid</v>
      </c>
      <c r="K113" t="str">
        <f t="shared" si="20"/>
        <v>Valid</v>
      </c>
      <c r="L113">
        <f>G113-F113</f>
        <v>3</v>
      </c>
      <c r="M113" t="s">
        <v>651</v>
      </c>
      <c r="N113" t="s">
        <v>93</v>
      </c>
      <c r="O113" t="str">
        <f t="shared" si="21"/>
        <v>Neha Gupta</v>
      </c>
      <c r="P113" t="s">
        <v>108</v>
      </c>
      <c r="Q113" t="str">
        <f t="shared" si="22"/>
        <v>Corporate</v>
      </c>
      <c r="R113" t="s">
        <v>42</v>
      </c>
      <c r="S113" t="str">
        <f t="shared" si="23"/>
        <v>East</v>
      </c>
      <c r="T113" t="s">
        <v>186</v>
      </c>
      <c r="U113" t="str">
        <f t="shared" si="24"/>
        <v>Bihar</v>
      </c>
      <c r="V113" t="s">
        <v>187</v>
      </c>
      <c r="W113" t="str">
        <f t="shared" si="25"/>
        <v>Patna</v>
      </c>
      <c r="X113" t="s">
        <v>86</v>
      </c>
      <c r="Y113" t="str">
        <f t="shared" si="26"/>
        <v>Technology</v>
      </c>
      <c r="Z113" t="s">
        <v>87</v>
      </c>
      <c r="AA113" t="str">
        <f t="shared" si="27"/>
        <v>Accessories</v>
      </c>
      <c r="AB113" t="s">
        <v>652</v>
      </c>
      <c r="AC113" t="s">
        <v>56</v>
      </c>
      <c r="AD113" t="str">
        <f t="shared" si="28"/>
        <v>First Class</v>
      </c>
      <c r="AE113">
        <v>1</v>
      </c>
      <c r="AF113">
        <v>1708.44</v>
      </c>
      <c r="AG113">
        <v>0.05</v>
      </c>
      <c r="AH113">
        <v>0.05</v>
      </c>
      <c r="AI113" t="str">
        <f t="shared" si="29"/>
        <v>Valid</v>
      </c>
      <c r="AJ113">
        <v>1623.02</v>
      </c>
      <c r="AK113">
        <f t="shared" si="30"/>
        <v>1623.018</v>
      </c>
      <c r="AL113">
        <v>1077.46</v>
      </c>
      <c r="AM113">
        <v>545.55999999999995</v>
      </c>
      <c r="AN113">
        <f t="shared" si="31"/>
        <v>545.55799999999999</v>
      </c>
      <c r="AO113">
        <f t="shared" si="32"/>
        <v>-1077.46</v>
      </c>
      <c r="AP113" t="s">
        <v>137</v>
      </c>
      <c r="AQ113" t="str">
        <f t="shared" si="33"/>
        <v>Pending</v>
      </c>
      <c r="AR113" t="s">
        <v>78</v>
      </c>
      <c r="AS113" t="str">
        <f t="shared" si="34"/>
        <v>Cancelled</v>
      </c>
      <c r="AT113" t="str">
        <f t="shared" si="35"/>
        <v>Clean</v>
      </c>
    </row>
    <row r="114" spans="1:46">
      <c r="A114" t="s">
        <v>653</v>
      </c>
      <c r="B114">
        <f>COUNTIF($D$2:D114,D114)</f>
        <v>1</v>
      </c>
      <c r="C114" t="str">
        <f>IF(COUNTIF($A:$A,A114)=1,
"Unique",
IF(COUNTIFS($A:$A,A114,$N:$N,N114,$AF:$AF,AF114,$AJ:$AJ,AJ114)&gt;1,
"Exact Duplicate",
"Conflicting Duplicate"))</f>
        <v>Unique</v>
      </c>
      <c r="D114" t="s">
        <v>654</v>
      </c>
      <c r="E114" t="s">
        <v>655</v>
      </c>
      <c r="F114" s="2">
        <v>45566</v>
      </c>
      <c r="G114" s="3">
        <v>45305</v>
      </c>
      <c r="H114" s="5" t="str">
        <f t="shared" si="18"/>
        <v>October</v>
      </c>
      <c r="I114" s="5">
        <f t="shared" si="19"/>
        <v>2024</v>
      </c>
      <c r="J114" t="str">
        <f>IF(F114="","Missing Date",
IF(ISNUMBER(F114),"Valid","Invalid Date"))</f>
        <v>Valid</v>
      </c>
      <c r="K114" t="str">
        <f t="shared" si="20"/>
        <v>Valid</v>
      </c>
      <c r="L114">
        <f>G114-F114</f>
        <v>-261</v>
      </c>
      <c r="M114" t="s">
        <v>656</v>
      </c>
      <c r="N114" t="s">
        <v>168</v>
      </c>
      <c r="O114" t="str">
        <f t="shared" si="21"/>
        <v>Sneha Kapoor</v>
      </c>
      <c r="P114" t="s">
        <v>26</v>
      </c>
      <c r="Q114" t="str">
        <f t="shared" si="22"/>
        <v>Consumer</v>
      </c>
      <c r="R114" t="s">
        <v>4104</v>
      </c>
      <c r="S114" t="s">
        <v>4104</v>
      </c>
      <c r="T114" t="s">
        <v>235</v>
      </c>
      <c r="U114" t="str">
        <f t="shared" si="24"/>
        <v>Gujarat</v>
      </c>
      <c r="V114" t="s">
        <v>236</v>
      </c>
      <c r="W114" t="str">
        <f t="shared" si="25"/>
        <v>Ahmedabad</v>
      </c>
      <c r="X114" t="s">
        <v>86</v>
      </c>
      <c r="Y114" t="str">
        <f t="shared" si="26"/>
        <v>Technology</v>
      </c>
      <c r="Z114" t="s">
        <v>87</v>
      </c>
      <c r="AA114" t="str">
        <f t="shared" si="27"/>
        <v>Accessories</v>
      </c>
      <c r="AB114" t="s">
        <v>657</v>
      </c>
      <c r="AC114" t="s">
        <v>67</v>
      </c>
      <c r="AD114" t="str">
        <f t="shared" si="28"/>
        <v>Standard Class</v>
      </c>
      <c r="AE114">
        <v>3</v>
      </c>
      <c r="AF114">
        <v>3829.48</v>
      </c>
      <c r="AG114">
        <v>0.05</v>
      </c>
      <c r="AH114">
        <v>0.05</v>
      </c>
      <c r="AI114" t="str">
        <f t="shared" si="29"/>
        <v>Valid</v>
      </c>
      <c r="AJ114">
        <v>10914.02</v>
      </c>
      <c r="AK114">
        <f t="shared" si="30"/>
        <v>10914.018</v>
      </c>
      <c r="AL114">
        <v>6548.74</v>
      </c>
      <c r="AM114">
        <v>4365.28</v>
      </c>
      <c r="AN114">
        <f t="shared" si="31"/>
        <v>4365.2780000000002</v>
      </c>
      <c r="AO114">
        <f t="shared" si="32"/>
        <v>-6548.74</v>
      </c>
      <c r="AP114" t="s">
        <v>34</v>
      </c>
      <c r="AQ114" t="str">
        <f t="shared" si="33"/>
        <v>Paid</v>
      </c>
      <c r="AR114" t="s">
        <v>35</v>
      </c>
      <c r="AS114" t="str">
        <f t="shared" si="34"/>
        <v>Completed</v>
      </c>
      <c r="AT114" t="str">
        <f t="shared" si="35"/>
        <v>Clean</v>
      </c>
    </row>
    <row r="115" spans="1:46">
      <c r="A115" t="s">
        <v>658</v>
      </c>
      <c r="B115">
        <f>COUNTIF($D$2:D115,D115)</f>
        <v>1</v>
      </c>
      <c r="C115" t="str">
        <f>IF(COUNTIF($A:$A,A115)=1,
"Unique",
IF(COUNTIFS($A:$A,A115,$N:$N,N115,$AF:$AF,AF115,$AJ:$AJ,AJ115)&gt;1,
"Exact Duplicate",
"Conflicting Duplicate"))</f>
        <v>Unique</v>
      </c>
      <c r="D115" t="s">
        <v>659</v>
      </c>
      <c r="E115" t="s">
        <v>659</v>
      </c>
      <c r="F115" s="3">
        <v>45628</v>
      </c>
      <c r="G115" s="3">
        <v>45628</v>
      </c>
      <c r="H115" s="5" t="str">
        <f t="shared" si="18"/>
        <v>December</v>
      </c>
      <c r="I115" s="5">
        <f t="shared" si="19"/>
        <v>2024</v>
      </c>
      <c r="J115" t="str">
        <f>IF(F115="","Missing Date",
IF(ISNUMBER(F115),"Valid","Invalid Date"))</f>
        <v>Valid</v>
      </c>
      <c r="K115" t="str">
        <f t="shared" si="20"/>
        <v>Valid</v>
      </c>
      <c r="L115">
        <f>G115-F115</f>
        <v>0</v>
      </c>
      <c r="M115" t="s">
        <v>521</v>
      </c>
      <c r="N115" t="s">
        <v>53</v>
      </c>
      <c r="O115" t="str">
        <f t="shared" si="21"/>
        <v>Isha Nair</v>
      </c>
      <c r="P115" t="s">
        <v>115</v>
      </c>
      <c r="Q115" t="str">
        <f t="shared" si="22"/>
        <v>Home Office</v>
      </c>
      <c r="R115" t="s">
        <v>62</v>
      </c>
      <c r="S115" t="str">
        <f t="shared" si="23"/>
        <v>South</v>
      </c>
      <c r="T115" t="s">
        <v>339</v>
      </c>
      <c r="U115" t="str">
        <f t="shared" si="24"/>
        <v>Tamil Nadu</v>
      </c>
      <c r="V115" t="s">
        <v>340</v>
      </c>
      <c r="W115" t="str">
        <f t="shared" si="25"/>
        <v>Chennai</v>
      </c>
      <c r="X115" t="s">
        <v>45</v>
      </c>
      <c r="Y115" t="str">
        <f t="shared" si="26"/>
        <v>Furniture</v>
      </c>
      <c r="Z115" t="s">
        <v>46</v>
      </c>
      <c r="AA115" t="str">
        <f t="shared" si="27"/>
        <v>Tables</v>
      </c>
      <c r="AB115" t="s">
        <v>660</v>
      </c>
      <c r="AC115" t="s">
        <v>67</v>
      </c>
      <c r="AD115" t="str">
        <f t="shared" si="28"/>
        <v>Standard Class</v>
      </c>
      <c r="AE115">
        <v>3</v>
      </c>
      <c r="AF115">
        <v>1089.1500000000001</v>
      </c>
      <c r="AG115">
        <v>0.25</v>
      </c>
      <c r="AH115">
        <v>0.25</v>
      </c>
      <c r="AI115" t="str">
        <f t="shared" si="29"/>
        <v>Valid</v>
      </c>
      <c r="AJ115">
        <v>2450.59</v>
      </c>
      <c r="AK115">
        <f t="shared" si="30"/>
        <v>2450.5875000000001</v>
      </c>
      <c r="AL115">
        <v>1639.89</v>
      </c>
      <c r="AM115">
        <v>810.7</v>
      </c>
      <c r="AN115">
        <f t="shared" si="31"/>
        <v>810.69749999999999</v>
      </c>
      <c r="AO115">
        <f t="shared" si="32"/>
        <v>-1639.89</v>
      </c>
      <c r="AP115" t="s">
        <v>34</v>
      </c>
      <c r="AQ115" t="str">
        <f t="shared" si="33"/>
        <v>Paid</v>
      </c>
      <c r="AR115" t="s">
        <v>35</v>
      </c>
      <c r="AS115" t="str">
        <f t="shared" si="34"/>
        <v>Completed</v>
      </c>
      <c r="AT115" t="str">
        <f t="shared" si="35"/>
        <v>Clean</v>
      </c>
    </row>
    <row r="116" spans="1:46">
      <c r="A116" t="s">
        <v>661</v>
      </c>
      <c r="B116">
        <f>COUNTIF($D$2:D116,D116)</f>
        <v>1</v>
      </c>
      <c r="C116" t="str">
        <f>IF(COUNTIF($A:$A,A116)=1,
"Unique",
IF(COUNTIFS($A:$A,A116,$N:$N,N116,$AF:$AF,AF116,$AJ:$AJ,AJ116)&gt;1,
"Exact Duplicate",
"Conflicting Duplicate"))</f>
        <v>Unique</v>
      </c>
      <c r="D116" t="s">
        <v>662</v>
      </c>
      <c r="E116" t="s">
        <v>663</v>
      </c>
      <c r="F116" s="3">
        <v>45560</v>
      </c>
      <c r="G116" s="2">
        <v>45565</v>
      </c>
      <c r="H116" s="5" t="str">
        <f t="shared" si="18"/>
        <v>September</v>
      </c>
      <c r="I116" s="5">
        <f t="shared" si="19"/>
        <v>2024</v>
      </c>
      <c r="J116" t="str">
        <f>IF(F116="","Missing Date",
IF(ISNUMBER(F116),"Valid","Invalid Date"))</f>
        <v>Valid</v>
      </c>
      <c r="K116" t="str">
        <f t="shared" si="20"/>
        <v>Valid</v>
      </c>
      <c r="L116">
        <f>G116-F116</f>
        <v>5</v>
      </c>
      <c r="M116" t="s">
        <v>664</v>
      </c>
      <c r="N116" t="s">
        <v>93</v>
      </c>
      <c r="O116" t="str">
        <f t="shared" si="21"/>
        <v>Neha Gupta</v>
      </c>
      <c r="P116" t="s">
        <v>41</v>
      </c>
      <c r="Q116" t="str">
        <f t="shared" si="22"/>
        <v>Small Business</v>
      </c>
      <c r="R116" t="s">
        <v>27</v>
      </c>
      <c r="S116" t="str">
        <f t="shared" si="23"/>
        <v>North</v>
      </c>
      <c r="T116" t="s">
        <v>28</v>
      </c>
      <c r="U116" t="str">
        <f t="shared" si="24"/>
        <v>Rajasthan</v>
      </c>
      <c r="V116" t="s">
        <v>29</v>
      </c>
      <c r="W116" t="str">
        <f t="shared" si="25"/>
        <v>Jaipur</v>
      </c>
      <c r="X116" t="s">
        <v>86</v>
      </c>
      <c r="Y116" t="str">
        <f t="shared" si="26"/>
        <v>Technology</v>
      </c>
      <c r="Z116" t="s">
        <v>87</v>
      </c>
      <c r="AA116" t="str">
        <f t="shared" si="27"/>
        <v>Accessories</v>
      </c>
      <c r="AB116" t="s">
        <v>665</v>
      </c>
      <c r="AC116" t="s">
        <v>33</v>
      </c>
      <c r="AD116" t="str">
        <f t="shared" si="28"/>
        <v>Second Class</v>
      </c>
      <c r="AE116">
        <v>1</v>
      </c>
      <c r="AF116">
        <v>4388.3999999999996</v>
      </c>
      <c r="AG116">
        <v>0.1</v>
      </c>
      <c r="AH116">
        <v>0.1</v>
      </c>
      <c r="AI116" t="str">
        <f t="shared" si="29"/>
        <v>Valid</v>
      </c>
      <c r="AJ116">
        <v>3949.56</v>
      </c>
      <c r="AK116">
        <f t="shared" si="30"/>
        <v>3949.56</v>
      </c>
      <c r="AL116">
        <v>3186.73</v>
      </c>
      <c r="AM116">
        <v>762.83</v>
      </c>
      <c r="AN116">
        <f t="shared" si="31"/>
        <v>762.82999999999993</v>
      </c>
      <c r="AO116">
        <f t="shared" si="32"/>
        <v>-3186.73</v>
      </c>
      <c r="AP116" t="s">
        <v>137</v>
      </c>
      <c r="AQ116" t="str">
        <f t="shared" si="33"/>
        <v>Pending</v>
      </c>
      <c r="AR116" t="s">
        <v>78</v>
      </c>
      <c r="AS116" t="str">
        <f t="shared" si="34"/>
        <v>Cancelled</v>
      </c>
      <c r="AT116" t="str">
        <f t="shared" si="35"/>
        <v>Clean</v>
      </c>
    </row>
    <row r="117" spans="1:46">
      <c r="A117" t="s">
        <v>666</v>
      </c>
      <c r="B117">
        <f>COUNTIF($D$2:D117,D117)</f>
        <v>2</v>
      </c>
      <c r="C117" t="str">
        <f>IF(COUNTIF($A:$A,A117)=1,
"Unique",
IF(COUNTIFS($A:$A,A117,$N:$N,N117,$AF:$AF,AF117,$AJ:$AJ,AJ117)&gt;1,
"Exact Duplicate",
"Conflicting Duplicate"))</f>
        <v>Unique</v>
      </c>
      <c r="D117" t="s">
        <v>667</v>
      </c>
      <c r="E117" t="s">
        <v>668</v>
      </c>
      <c r="F117" s="3">
        <v>45653</v>
      </c>
      <c r="G117" s="3">
        <v>45658</v>
      </c>
      <c r="H117" s="5" t="str">
        <f t="shared" si="18"/>
        <v>December</v>
      </c>
      <c r="I117" s="5">
        <f t="shared" si="19"/>
        <v>2024</v>
      </c>
      <c r="J117" t="str">
        <f>IF(F117="","Missing Date",
IF(ISNUMBER(F117),"Valid","Invalid Date"))</f>
        <v>Valid</v>
      </c>
      <c r="K117" t="str">
        <f t="shared" si="20"/>
        <v>Valid</v>
      </c>
      <c r="L117">
        <f>G117-F117</f>
        <v>5</v>
      </c>
      <c r="M117" t="s">
        <v>669</v>
      </c>
      <c r="N117" t="s">
        <v>366</v>
      </c>
      <c r="O117" t="str">
        <f t="shared" si="21"/>
        <v>Kabir Singh</v>
      </c>
      <c r="P117" t="s">
        <v>108</v>
      </c>
      <c r="Q117" t="str">
        <f t="shared" si="22"/>
        <v>Corporate</v>
      </c>
      <c r="R117" t="s">
        <v>62</v>
      </c>
      <c r="S117" t="str">
        <f t="shared" si="23"/>
        <v>South</v>
      </c>
      <c r="T117" t="s">
        <v>339</v>
      </c>
      <c r="U117" t="str">
        <f t="shared" si="24"/>
        <v>Tamil Nadu</v>
      </c>
      <c r="V117" t="s">
        <v>340</v>
      </c>
      <c r="W117" t="str">
        <f t="shared" si="25"/>
        <v>Chennai</v>
      </c>
      <c r="X117" t="s">
        <v>30</v>
      </c>
      <c r="Y117" t="str">
        <f t="shared" si="26"/>
        <v>Office Supplies</v>
      </c>
      <c r="Z117" t="s">
        <v>198</v>
      </c>
      <c r="AA117" t="str">
        <f t="shared" si="27"/>
        <v>Binders</v>
      </c>
      <c r="AB117" t="s">
        <v>670</v>
      </c>
      <c r="AC117" t="s">
        <v>48</v>
      </c>
      <c r="AD117" t="str">
        <f t="shared" si="28"/>
        <v>Same Day</v>
      </c>
      <c r="AE117">
        <v>2</v>
      </c>
      <c r="AF117">
        <v>446.34</v>
      </c>
      <c r="AG117">
        <v>0.15</v>
      </c>
      <c r="AH117">
        <v>0.15</v>
      </c>
      <c r="AI117" t="str">
        <f t="shared" si="29"/>
        <v>Valid</v>
      </c>
      <c r="AJ117">
        <v>758.78</v>
      </c>
      <c r="AK117">
        <f t="shared" si="30"/>
        <v>758.77799999999991</v>
      </c>
      <c r="AL117">
        <v>490.74</v>
      </c>
      <c r="AM117">
        <v>268.04000000000002</v>
      </c>
      <c r="AN117">
        <f t="shared" si="31"/>
        <v>268.0379999999999</v>
      </c>
      <c r="AO117">
        <f t="shared" si="32"/>
        <v>-490.74</v>
      </c>
      <c r="AP117" t="s">
        <v>34</v>
      </c>
      <c r="AQ117" t="str">
        <f t="shared" si="33"/>
        <v>Paid</v>
      </c>
      <c r="AR117" t="s">
        <v>78</v>
      </c>
      <c r="AS117" t="str">
        <f t="shared" si="34"/>
        <v>Cancelled</v>
      </c>
      <c r="AT117" t="str">
        <f t="shared" si="35"/>
        <v>Clean</v>
      </c>
    </row>
    <row r="118" spans="1:46">
      <c r="A118" t="s">
        <v>671</v>
      </c>
      <c r="B118">
        <f>COUNTIF($D$2:D118,D118)</f>
        <v>1</v>
      </c>
      <c r="C118" t="str">
        <f>IF(COUNTIF($A:$A,A118)=1,
"Unique",
IF(COUNTIFS($A:$A,A118,$N:$N,N118,$AF:$AF,AF118,$AJ:$AJ,AJ118)&gt;1,
"Exact Duplicate",
"Conflicting Duplicate"))</f>
        <v>Unique</v>
      </c>
      <c r="D118" t="s">
        <v>672</v>
      </c>
      <c r="E118" t="s">
        <v>673</v>
      </c>
      <c r="F118" s="3">
        <v>45703</v>
      </c>
      <c r="G118" s="2">
        <v>45707</v>
      </c>
      <c r="H118" s="5" t="str">
        <f t="shared" si="18"/>
        <v>February</v>
      </c>
      <c r="I118" s="5">
        <f t="shared" si="19"/>
        <v>2025</v>
      </c>
      <c r="J118" t="str">
        <f>IF(F118="","Missing Date",
IF(ISNUMBER(F118),"Valid","Invalid Date"))</f>
        <v>Valid</v>
      </c>
      <c r="K118" t="str">
        <f t="shared" si="20"/>
        <v>Valid</v>
      </c>
      <c r="L118">
        <f>G118-F118</f>
        <v>4</v>
      </c>
      <c r="M118" t="s">
        <v>674</v>
      </c>
      <c r="N118" t="s">
        <v>72</v>
      </c>
      <c r="O118" t="str">
        <f t="shared" si="21"/>
        <v>Ananya Rao</v>
      </c>
      <c r="P118" t="s">
        <v>41</v>
      </c>
      <c r="Q118" t="str">
        <f t="shared" si="22"/>
        <v>Small Business</v>
      </c>
      <c r="R118" t="s">
        <v>4104</v>
      </c>
      <c r="S118" t="s">
        <v>4104</v>
      </c>
      <c r="T118" t="s">
        <v>84</v>
      </c>
      <c r="U118" t="str">
        <f t="shared" si="24"/>
        <v>Madhya Pradesh</v>
      </c>
      <c r="V118" t="s">
        <v>85</v>
      </c>
      <c r="W118" t="str">
        <f t="shared" si="25"/>
        <v>Indore</v>
      </c>
      <c r="X118" t="s">
        <v>30</v>
      </c>
      <c r="Y118" t="str">
        <f t="shared" si="26"/>
        <v>Office Supplies</v>
      </c>
      <c r="Z118" t="s">
        <v>198</v>
      </c>
      <c r="AA118" t="str">
        <f t="shared" si="27"/>
        <v>Binders</v>
      </c>
      <c r="AB118" t="s">
        <v>675</v>
      </c>
      <c r="AC118" t="s">
        <v>56</v>
      </c>
      <c r="AD118" t="str">
        <f t="shared" si="28"/>
        <v>First Class</v>
      </c>
      <c r="AE118">
        <v>9</v>
      </c>
      <c r="AF118">
        <v>531.99</v>
      </c>
      <c r="AG118">
        <v>0.25</v>
      </c>
      <c r="AH118">
        <v>0.25</v>
      </c>
      <c r="AI118" t="str">
        <f t="shared" si="29"/>
        <v>Valid</v>
      </c>
      <c r="AJ118">
        <v>3590.93</v>
      </c>
      <c r="AK118">
        <f t="shared" si="30"/>
        <v>3590.9324999999999</v>
      </c>
      <c r="AL118">
        <v>3061.39</v>
      </c>
      <c r="AM118">
        <v>529.54</v>
      </c>
      <c r="AN118">
        <f t="shared" si="31"/>
        <v>529.54250000000002</v>
      </c>
      <c r="AO118">
        <f t="shared" si="32"/>
        <v>-3061.39</v>
      </c>
      <c r="AP118" t="s">
        <v>200</v>
      </c>
      <c r="AQ118" t="str">
        <f t="shared" si="33"/>
        <v>Failed</v>
      </c>
      <c r="AR118" t="s">
        <v>78</v>
      </c>
      <c r="AS118" t="str">
        <f t="shared" si="34"/>
        <v>Cancelled</v>
      </c>
      <c r="AT118" t="str">
        <f t="shared" si="35"/>
        <v>Clean</v>
      </c>
    </row>
    <row r="119" spans="1:46">
      <c r="A119" t="s">
        <v>676</v>
      </c>
      <c r="B119">
        <f>COUNTIF($D$2:D119,D119)</f>
        <v>1</v>
      </c>
      <c r="C119" t="str">
        <f>IF(COUNTIF($A:$A,A119)=1,
"Unique",
IF(COUNTIFS($A:$A,A119,$N:$N,N119,$AF:$AF,AF119,$AJ:$AJ,AJ119)&gt;1,
"Exact Duplicate",
"Conflicting Duplicate"))</f>
        <v>Unique</v>
      </c>
      <c r="D119" t="s">
        <v>677</v>
      </c>
      <c r="E119" t="s">
        <v>678</v>
      </c>
      <c r="F119" s="3">
        <v>45337</v>
      </c>
      <c r="G119" s="2">
        <v>45339</v>
      </c>
      <c r="H119" s="5" t="str">
        <f t="shared" si="18"/>
        <v>February</v>
      </c>
      <c r="I119" s="5">
        <f t="shared" si="19"/>
        <v>2024</v>
      </c>
      <c r="J119" t="str">
        <f>IF(F119="","Missing Date",
IF(ISNUMBER(F119),"Valid","Invalid Date"))</f>
        <v>Valid</v>
      </c>
      <c r="K119" t="str">
        <f t="shared" si="20"/>
        <v>Valid</v>
      </c>
      <c r="L119">
        <f>G119-F119</f>
        <v>2</v>
      </c>
      <c r="M119" t="s">
        <v>679</v>
      </c>
      <c r="N119" t="s">
        <v>40</v>
      </c>
      <c r="O119" t="str">
        <f t="shared" si="21"/>
        <v>Mira Das</v>
      </c>
      <c r="P119" t="s">
        <v>115</v>
      </c>
      <c r="Q119" t="str">
        <f t="shared" si="22"/>
        <v>Home Office</v>
      </c>
      <c r="R119" t="s">
        <v>62</v>
      </c>
      <c r="S119" t="str">
        <f t="shared" si="23"/>
        <v>South</v>
      </c>
      <c r="T119" t="s">
        <v>339</v>
      </c>
      <c r="U119" t="str">
        <f t="shared" si="24"/>
        <v>Tamil Nadu</v>
      </c>
      <c r="V119" t="s">
        <v>340</v>
      </c>
      <c r="W119" t="str">
        <f t="shared" si="25"/>
        <v>Chennai</v>
      </c>
      <c r="X119" t="s">
        <v>86</v>
      </c>
      <c r="Y119" t="str">
        <f t="shared" si="26"/>
        <v>Technology</v>
      </c>
      <c r="Z119" t="s">
        <v>382</v>
      </c>
      <c r="AA119" t="str">
        <f t="shared" si="27"/>
        <v>Machines</v>
      </c>
      <c r="AB119" t="s">
        <v>680</v>
      </c>
      <c r="AC119" t="s">
        <v>67</v>
      </c>
      <c r="AD119" t="str">
        <f t="shared" si="28"/>
        <v>Standard Class</v>
      </c>
      <c r="AE119">
        <v>9</v>
      </c>
      <c r="AF119">
        <v>3324.55</v>
      </c>
      <c r="AG119" t="s">
        <v>681</v>
      </c>
      <c r="AH119">
        <v>0.7</v>
      </c>
      <c r="AI119" t="str">
        <f t="shared" si="29"/>
        <v>Invalid - Above Range</v>
      </c>
      <c r="AJ119">
        <v>25432.81</v>
      </c>
      <c r="AK119">
        <f t="shared" si="30"/>
        <v>8976.2850000000017</v>
      </c>
      <c r="AL119">
        <v>20370.16</v>
      </c>
      <c r="AM119">
        <v>5062.6499999999996</v>
      </c>
      <c r="AN119">
        <f t="shared" si="31"/>
        <v>-11393.874999999998</v>
      </c>
      <c r="AO119">
        <f t="shared" si="32"/>
        <v>-20370.16</v>
      </c>
      <c r="AP119" t="s">
        <v>34</v>
      </c>
      <c r="AQ119" t="str">
        <f t="shared" si="33"/>
        <v>Paid</v>
      </c>
      <c r="AR119" t="s">
        <v>35</v>
      </c>
      <c r="AS119" t="str">
        <f t="shared" si="34"/>
        <v>Completed</v>
      </c>
      <c r="AT119" t="str">
        <f t="shared" si="35"/>
        <v>Clean</v>
      </c>
    </row>
    <row r="120" spans="1:46">
      <c r="A120" t="s">
        <v>682</v>
      </c>
      <c r="B120">
        <f>COUNTIF($D$2:D120,D120)</f>
        <v>1</v>
      </c>
      <c r="C120" t="str">
        <f>IF(COUNTIF($A:$A,A120)=1,
"Unique",
IF(COUNTIFS($A:$A,A120,$N:$N,N120,$AF:$AF,AF120,$AJ:$AJ,AJ120)&gt;1,
"Exact Duplicate",
"Conflicting Duplicate"))</f>
        <v>Unique</v>
      </c>
      <c r="D120" t="s">
        <v>683</v>
      </c>
      <c r="E120" t="s">
        <v>684</v>
      </c>
      <c r="F120" s="3">
        <v>45453</v>
      </c>
      <c r="G120" s="3">
        <v>45461</v>
      </c>
      <c r="H120" s="5" t="str">
        <f t="shared" si="18"/>
        <v>June</v>
      </c>
      <c r="I120" s="5">
        <f t="shared" si="19"/>
        <v>2024</v>
      </c>
      <c r="J120" t="str">
        <f>IF(F120="","Missing Date",
IF(ISNUMBER(F120),"Valid","Invalid Date"))</f>
        <v>Valid</v>
      </c>
      <c r="K120" t="str">
        <f t="shared" si="20"/>
        <v>Valid</v>
      </c>
      <c r="L120">
        <f>G120-F120</f>
        <v>8</v>
      </c>
      <c r="M120" t="s">
        <v>685</v>
      </c>
      <c r="N120" t="s">
        <v>686</v>
      </c>
      <c r="O120" t="str">
        <f t="shared" si="21"/>
        <v>Vikram Iyer</v>
      </c>
      <c r="P120" t="s">
        <v>115</v>
      </c>
      <c r="Q120" t="str">
        <f t="shared" si="22"/>
        <v>Home Office</v>
      </c>
      <c r="R120" t="s">
        <v>62</v>
      </c>
      <c r="S120" t="str">
        <f t="shared" si="23"/>
        <v>South</v>
      </c>
      <c r="T120" t="s">
        <v>100</v>
      </c>
      <c r="U120" t="str">
        <f t="shared" si="24"/>
        <v>Andhra Pradesh</v>
      </c>
      <c r="V120" t="s">
        <v>101</v>
      </c>
      <c r="W120" t="str">
        <f t="shared" si="25"/>
        <v>Vijayawada</v>
      </c>
      <c r="X120" t="s">
        <v>86</v>
      </c>
      <c r="Y120" t="str">
        <f t="shared" si="26"/>
        <v>Technology</v>
      </c>
      <c r="Z120" t="s">
        <v>94</v>
      </c>
      <c r="AA120" t="str">
        <f t="shared" si="27"/>
        <v>Copiers</v>
      </c>
      <c r="AB120" t="s">
        <v>687</v>
      </c>
      <c r="AC120" t="s">
        <v>48</v>
      </c>
      <c r="AD120" t="str">
        <f t="shared" si="28"/>
        <v>Same Day</v>
      </c>
      <c r="AE120">
        <v>5</v>
      </c>
      <c r="AF120">
        <v>1580.27</v>
      </c>
      <c r="AG120">
        <v>0.2</v>
      </c>
      <c r="AH120">
        <v>0.2</v>
      </c>
      <c r="AI120" t="str">
        <f t="shared" si="29"/>
        <v>Valid</v>
      </c>
      <c r="AJ120">
        <v>6321.08</v>
      </c>
      <c r="AK120">
        <f t="shared" si="30"/>
        <v>6321.0800000000008</v>
      </c>
      <c r="AL120">
        <v>4407.22</v>
      </c>
      <c r="AM120">
        <v>1913.86</v>
      </c>
      <c r="AN120">
        <f t="shared" si="31"/>
        <v>1913.8600000000006</v>
      </c>
      <c r="AO120">
        <f t="shared" si="32"/>
        <v>-4407.22</v>
      </c>
      <c r="AP120" t="s">
        <v>34</v>
      </c>
      <c r="AQ120" t="str">
        <f t="shared" si="33"/>
        <v>Paid</v>
      </c>
      <c r="AR120" t="s">
        <v>35</v>
      </c>
      <c r="AS120" t="str">
        <f t="shared" si="34"/>
        <v>Completed</v>
      </c>
      <c r="AT120" t="str">
        <f t="shared" si="35"/>
        <v>Clean</v>
      </c>
    </row>
    <row r="121" spans="1:46">
      <c r="A121" t="s">
        <v>688</v>
      </c>
      <c r="B121">
        <f>COUNTIF($D$2:D121,D121)</f>
        <v>1</v>
      </c>
      <c r="C121" t="str">
        <f>IF(COUNTIF($A:$A,A121)=1,
"Unique",
IF(COUNTIFS($A:$A,A121,$N:$N,N121,$AF:$AF,AF121,$AJ:$AJ,AJ121)&gt;1,
"Exact Duplicate",
"Conflicting Duplicate"))</f>
        <v>Unique</v>
      </c>
      <c r="D121" t="s">
        <v>689</v>
      </c>
      <c r="E121" t="s">
        <v>690</v>
      </c>
      <c r="F121" s="2">
        <v>45632</v>
      </c>
      <c r="G121" s="2">
        <v>45462</v>
      </c>
      <c r="H121" s="5" t="str">
        <f t="shared" si="18"/>
        <v>December</v>
      </c>
      <c r="I121" s="5">
        <f t="shared" si="19"/>
        <v>2024</v>
      </c>
      <c r="J121" t="str">
        <f>IF(F121="","Missing Date",
IF(ISNUMBER(F121),"Valid","Invalid Date"))</f>
        <v>Valid</v>
      </c>
      <c r="K121" t="str">
        <f t="shared" si="20"/>
        <v>Valid</v>
      </c>
      <c r="L121">
        <f>G121-F121</f>
        <v>-170</v>
      </c>
      <c r="M121" t="s">
        <v>691</v>
      </c>
      <c r="N121" t="s">
        <v>107</v>
      </c>
      <c r="O121" t="str">
        <f t="shared" si="21"/>
        <v>Aditi Sen</v>
      </c>
      <c r="P121" t="s">
        <v>41</v>
      </c>
      <c r="Q121" t="str">
        <f t="shared" si="22"/>
        <v>Small Business</v>
      </c>
      <c r="R121" t="s">
        <v>62</v>
      </c>
      <c r="S121" t="str">
        <f t="shared" si="23"/>
        <v>South</v>
      </c>
      <c r="T121" t="s">
        <v>242</v>
      </c>
      <c r="U121" t="str">
        <f t="shared" si="24"/>
        <v>Kerala</v>
      </c>
      <c r="V121" t="s">
        <v>243</v>
      </c>
      <c r="W121" t="str">
        <f t="shared" si="25"/>
        <v>Kochi</v>
      </c>
      <c r="X121" t="s">
        <v>45</v>
      </c>
      <c r="Y121" t="str">
        <f t="shared" si="26"/>
        <v>Furniture</v>
      </c>
      <c r="Z121" t="s">
        <v>76</v>
      </c>
      <c r="AA121" t="str">
        <f t="shared" si="27"/>
        <v>Chairs</v>
      </c>
      <c r="AB121" t="s">
        <v>692</v>
      </c>
      <c r="AC121" t="s">
        <v>67</v>
      </c>
      <c r="AD121" t="str">
        <f t="shared" si="28"/>
        <v>Standard Class</v>
      </c>
      <c r="AE121">
        <v>8</v>
      </c>
      <c r="AF121">
        <v>314.05</v>
      </c>
      <c r="AG121">
        <v>0.25</v>
      </c>
      <c r="AH121">
        <v>0.25</v>
      </c>
      <c r="AI121" t="str">
        <f t="shared" si="29"/>
        <v>Valid</v>
      </c>
      <c r="AJ121">
        <v>1884.3</v>
      </c>
      <c r="AK121">
        <f t="shared" si="30"/>
        <v>1884.3000000000002</v>
      </c>
      <c r="AL121">
        <v>1517.69</v>
      </c>
      <c r="AM121">
        <v>366.61</v>
      </c>
      <c r="AN121">
        <f t="shared" si="31"/>
        <v>366.61000000000013</v>
      </c>
      <c r="AO121">
        <f t="shared" si="32"/>
        <v>-1517.69</v>
      </c>
      <c r="AP121" t="s">
        <v>124</v>
      </c>
      <c r="AQ121" t="str">
        <f t="shared" si="33"/>
        <v>Refunded</v>
      </c>
      <c r="AR121" t="s">
        <v>125</v>
      </c>
      <c r="AS121" t="str">
        <f t="shared" si="34"/>
        <v>Returned</v>
      </c>
      <c r="AT121" t="str">
        <f t="shared" si="35"/>
        <v>Clean</v>
      </c>
    </row>
    <row r="122" spans="1:46">
      <c r="A122" t="s">
        <v>693</v>
      </c>
      <c r="B122">
        <f>COUNTIF($D$2:D122,D122)</f>
        <v>2</v>
      </c>
      <c r="C122" t="str">
        <f>IF(COUNTIF($A:$A,A122)=1,
"Unique",
IF(COUNTIFS($A:$A,A122,$N:$N,N122,$AF:$AF,AF122,$AJ:$AJ,AJ122)&gt;1,
"Exact Duplicate",
"Conflicting Duplicate"))</f>
        <v>Unique</v>
      </c>
      <c r="D122" t="s">
        <v>503</v>
      </c>
      <c r="E122" t="s">
        <v>694</v>
      </c>
      <c r="F122" s="3">
        <v>45573</v>
      </c>
      <c r="G122" s="3">
        <v>45522</v>
      </c>
      <c r="H122" s="5" t="str">
        <f t="shared" si="18"/>
        <v>October</v>
      </c>
      <c r="I122" s="5">
        <f t="shared" si="19"/>
        <v>2024</v>
      </c>
      <c r="J122" t="str">
        <f>IF(F122="","Missing Date",
IF(ISNUMBER(F122),"Valid","Invalid Date"))</f>
        <v>Valid</v>
      </c>
      <c r="K122" t="str">
        <f t="shared" si="20"/>
        <v>Valid</v>
      </c>
      <c r="L122">
        <f>G122-F122</f>
        <v>-51</v>
      </c>
      <c r="M122" t="s">
        <v>695</v>
      </c>
      <c r="N122" t="s">
        <v>168</v>
      </c>
      <c r="O122" t="str">
        <f t="shared" si="21"/>
        <v>Sneha Kapoor</v>
      </c>
      <c r="P122" t="s">
        <v>41</v>
      </c>
      <c r="Q122" t="str">
        <f t="shared" si="22"/>
        <v>Small Business</v>
      </c>
      <c r="R122" t="s">
        <v>42</v>
      </c>
      <c r="S122" t="str">
        <f t="shared" si="23"/>
        <v>East</v>
      </c>
      <c r="T122" t="s">
        <v>186</v>
      </c>
      <c r="U122" t="str">
        <f t="shared" si="24"/>
        <v>Bihar</v>
      </c>
      <c r="V122" t="s">
        <v>187</v>
      </c>
      <c r="W122" t="str">
        <f t="shared" si="25"/>
        <v>Patna</v>
      </c>
      <c r="X122" t="s">
        <v>86</v>
      </c>
      <c r="Y122" t="str">
        <f t="shared" si="26"/>
        <v>Technology</v>
      </c>
      <c r="Z122" t="s">
        <v>223</v>
      </c>
      <c r="AA122" t="str">
        <f t="shared" si="27"/>
        <v>Phones</v>
      </c>
      <c r="AB122" t="s">
        <v>696</v>
      </c>
      <c r="AC122" t="s">
        <v>67</v>
      </c>
      <c r="AD122" t="str">
        <f t="shared" si="28"/>
        <v>Standard Class</v>
      </c>
      <c r="AE122">
        <v>1</v>
      </c>
      <c r="AF122">
        <v>1823.67</v>
      </c>
      <c r="AG122">
        <v>0.2</v>
      </c>
      <c r="AH122">
        <v>0.2</v>
      </c>
      <c r="AI122" t="str">
        <f t="shared" si="29"/>
        <v>Valid</v>
      </c>
      <c r="AJ122">
        <v>1458.94</v>
      </c>
      <c r="AK122">
        <f t="shared" si="30"/>
        <v>1458.9360000000001</v>
      </c>
      <c r="AL122">
        <v>893.2</v>
      </c>
      <c r="AM122">
        <v>565.74</v>
      </c>
      <c r="AN122">
        <f t="shared" si="31"/>
        <v>565.7360000000001</v>
      </c>
      <c r="AO122">
        <f t="shared" si="32"/>
        <v>-893.2</v>
      </c>
      <c r="AP122" t="s">
        <v>34</v>
      </c>
      <c r="AQ122" t="str">
        <f t="shared" si="33"/>
        <v>Paid</v>
      </c>
      <c r="AR122" t="s">
        <v>125</v>
      </c>
      <c r="AS122" t="str">
        <f t="shared" si="34"/>
        <v>Returned</v>
      </c>
      <c r="AT122" t="str">
        <f t="shared" si="35"/>
        <v>Clean</v>
      </c>
    </row>
    <row r="123" spans="1:46">
      <c r="A123" t="s">
        <v>697</v>
      </c>
      <c r="B123">
        <f>COUNTIF($D$2:D123,D123)</f>
        <v>1</v>
      </c>
      <c r="C123" t="str">
        <f>IF(COUNTIF($A:$A,A123)=1,
"Unique",
IF(COUNTIFS($A:$A,A123,$N:$N,N123,$AF:$AF,AF123,$AJ:$AJ,AJ123)&gt;1,
"Exact Duplicate",
"Conflicting Duplicate"))</f>
        <v>Unique</v>
      </c>
      <c r="D123" t="s">
        <v>698</v>
      </c>
      <c r="E123" t="s">
        <v>699</v>
      </c>
      <c r="F123" s="3">
        <v>45891</v>
      </c>
      <c r="G123" s="3">
        <v>45895</v>
      </c>
      <c r="H123" s="5" t="str">
        <f t="shared" si="18"/>
        <v>August</v>
      </c>
      <c r="I123" s="5">
        <f t="shared" si="19"/>
        <v>2025</v>
      </c>
      <c r="J123" t="str">
        <f>IF(F123="","Missing Date",
IF(ISNUMBER(F123),"Valid","Invalid Date"))</f>
        <v>Valid</v>
      </c>
      <c r="K123" t="str">
        <f t="shared" si="20"/>
        <v>Valid</v>
      </c>
      <c r="L123">
        <f>G123-F123</f>
        <v>4</v>
      </c>
      <c r="M123" t="s">
        <v>700</v>
      </c>
      <c r="N123" t="s">
        <v>366</v>
      </c>
      <c r="O123" t="str">
        <f t="shared" si="21"/>
        <v>Kabir Singh</v>
      </c>
      <c r="P123" t="s">
        <v>701</v>
      </c>
      <c r="Q123" t="str">
        <f t="shared" si="22"/>
        <v>Small Business</v>
      </c>
      <c r="R123" t="s">
        <v>62</v>
      </c>
      <c r="S123" t="str">
        <f t="shared" si="23"/>
        <v>South</v>
      </c>
      <c r="T123" t="s">
        <v>100</v>
      </c>
      <c r="U123" t="str">
        <f t="shared" si="24"/>
        <v>Andhra Pradesh</v>
      </c>
      <c r="V123" t="s">
        <v>101</v>
      </c>
      <c r="W123" t="str">
        <f t="shared" si="25"/>
        <v>Vijayawada</v>
      </c>
      <c r="X123" t="s">
        <v>86</v>
      </c>
      <c r="Y123" t="str">
        <f t="shared" si="26"/>
        <v>Technology</v>
      </c>
      <c r="Z123" t="s">
        <v>382</v>
      </c>
      <c r="AA123" t="str">
        <f t="shared" si="27"/>
        <v>Machines</v>
      </c>
      <c r="AB123" t="s">
        <v>702</v>
      </c>
      <c r="AC123" t="s">
        <v>33</v>
      </c>
      <c r="AD123" t="str">
        <f t="shared" si="28"/>
        <v>Second Class</v>
      </c>
      <c r="AE123">
        <v>5</v>
      </c>
      <c r="AF123">
        <v>3482.92</v>
      </c>
      <c r="AG123">
        <v>0</v>
      </c>
      <c r="AH123">
        <v>0</v>
      </c>
      <c r="AI123" t="str">
        <f t="shared" si="29"/>
        <v>Valid</v>
      </c>
      <c r="AJ123">
        <v>17414.599999999999</v>
      </c>
      <c r="AK123">
        <f t="shared" si="30"/>
        <v>17414.599999999999</v>
      </c>
      <c r="AL123">
        <v>11760.91</v>
      </c>
      <c r="AM123">
        <v>5653.69</v>
      </c>
      <c r="AN123">
        <f t="shared" si="31"/>
        <v>5653.6899999999987</v>
      </c>
      <c r="AO123">
        <f t="shared" si="32"/>
        <v>-11760.91</v>
      </c>
      <c r="AP123" t="s">
        <v>124</v>
      </c>
      <c r="AQ123" t="str">
        <f t="shared" si="33"/>
        <v>Refunded</v>
      </c>
      <c r="AR123" t="s">
        <v>78</v>
      </c>
      <c r="AS123" t="str">
        <f t="shared" si="34"/>
        <v>Cancelled</v>
      </c>
      <c r="AT123" t="str">
        <f t="shared" si="35"/>
        <v>Clean</v>
      </c>
    </row>
    <row r="124" spans="1:46">
      <c r="A124" t="s">
        <v>703</v>
      </c>
      <c r="B124">
        <f>COUNTIF($D$2:D124,D124)</f>
        <v>1</v>
      </c>
      <c r="C124" t="str">
        <f>IF(COUNTIF($A:$A,A124)=1,
"Unique",
IF(COUNTIFS($A:$A,A124,$N:$N,N124,$AF:$AF,AF124,$AJ:$AJ,AJ124)&gt;1,
"Exact Duplicate",
"Conflicting Duplicate"))</f>
        <v>Unique</v>
      </c>
      <c r="D124" t="s">
        <v>704</v>
      </c>
      <c r="E124" t="s">
        <v>705</v>
      </c>
      <c r="F124" s="3">
        <v>45626</v>
      </c>
      <c r="G124" s="3">
        <v>45394</v>
      </c>
      <c r="H124" s="5" t="str">
        <f t="shared" si="18"/>
        <v>November</v>
      </c>
      <c r="I124" s="5">
        <f t="shared" si="19"/>
        <v>2024</v>
      </c>
      <c r="J124" t="str">
        <f>IF(F124="","Missing Date",
IF(ISNUMBER(F124),"Valid","Invalid Date"))</f>
        <v>Valid</v>
      </c>
      <c r="K124" t="str">
        <f t="shared" si="20"/>
        <v>Valid</v>
      </c>
      <c r="L124">
        <f>G124-F124</f>
        <v>-232</v>
      </c>
      <c r="M124" t="s">
        <v>706</v>
      </c>
      <c r="N124" t="s">
        <v>72</v>
      </c>
      <c r="O124" t="str">
        <f t="shared" si="21"/>
        <v>Ananya Rao</v>
      </c>
      <c r="P124" t="s">
        <v>41</v>
      </c>
      <c r="Q124" t="str">
        <f t="shared" si="22"/>
        <v>Small Business</v>
      </c>
      <c r="R124" t="s">
        <v>42</v>
      </c>
      <c r="S124" t="str">
        <f t="shared" si="23"/>
        <v>East</v>
      </c>
      <c r="T124" t="s">
        <v>216</v>
      </c>
      <c r="U124" t="str">
        <f t="shared" si="24"/>
        <v>Assam</v>
      </c>
      <c r="V124" t="s">
        <v>217</v>
      </c>
      <c r="W124" t="str">
        <f t="shared" si="25"/>
        <v>Guwahati</v>
      </c>
      <c r="X124" t="s">
        <v>45</v>
      </c>
      <c r="Y124" t="str">
        <f t="shared" si="26"/>
        <v>Furniture</v>
      </c>
      <c r="Z124" t="s">
        <v>76</v>
      </c>
      <c r="AA124" t="str">
        <f t="shared" si="27"/>
        <v>Chairs</v>
      </c>
      <c r="AB124" t="s">
        <v>707</v>
      </c>
      <c r="AC124" t="s">
        <v>33</v>
      </c>
      <c r="AD124" t="str">
        <f t="shared" si="28"/>
        <v>Second Class</v>
      </c>
      <c r="AE124">
        <v>3</v>
      </c>
      <c r="AF124">
        <v>170.35</v>
      </c>
      <c r="AG124">
        <v>0</v>
      </c>
      <c r="AH124">
        <v>0</v>
      </c>
      <c r="AI124" t="str">
        <f t="shared" si="29"/>
        <v>Valid</v>
      </c>
      <c r="AJ124">
        <v>511.05</v>
      </c>
      <c r="AK124">
        <f t="shared" si="30"/>
        <v>511.04999999999995</v>
      </c>
      <c r="AL124">
        <v>367.18</v>
      </c>
      <c r="AM124">
        <v>143.87</v>
      </c>
      <c r="AN124">
        <f t="shared" si="31"/>
        <v>143.86999999999995</v>
      </c>
      <c r="AO124">
        <f t="shared" si="32"/>
        <v>-367.18</v>
      </c>
      <c r="AP124" t="s">
        <v>34</v>
      </c>
      <c r="AQ124" t="str">
        <f t="shared" si="33"/>
        <v>Paid</v>
      </c>
      <c r="AR124" t="s">
        <v>35</v>
      </c>
      <c r="AS124" t="str">
        <f t="shared" si="34"/>
        <v>Completed</v>
      </c>
      <c r="AT124" t="str">
        <f t="shared" si="35"/>
        <v>Clean</v>
      </c>
    </row>
    <row r="125" spans="1:46">
      <c r="A125" t="s">
        <v>708</v>
      </c>
      <c r="B125">
        <f>COUNTIF($D$2:D125,D125)</f>
        <v>1</v>
      </c>
      <c r="C125" t="str">
        <f>IF(COUNTIF($A:$A,A125)=1,
"Unique",
IF(COUNTIFS($A:$A,A125,$N:$N,N125,$AF:$AF,AF125,$AJ:$AJ,AJ125)&gt;1,
"Exact Duplicate",
"Conflicting Duplicate"))</f>
        <v>Exact Duplicate</v>
      </c>
      <c r="D125" t="s">
        <v>709</v>
      </c>
      <c r="E125" t="s">
        <v>710</v>
      </c>
      <c r="F125" s="3">
        <v>45436</v>
      </c>
      <c r="G125" s="2">
        <v>45437</v>
      </c>
      <c r="H125" s="5" t="str">
        <f t="shared" si="18"/>
        <v>May</v>
      </c>
      <c r="I125" s="5">
        <f t="shared" si="19"/>
        <v>2024</v>
      </c>
      <c r="J125" t="str">
        <f>IF(F125="","Missing Date",
IF(ISNUMBER(F125),"Valid","Invalid Date"))</f>
        <v>Valid</v>
      </c>
      <c r="K125" t="str">
        <f t="shared" si="20"/>
        <v>Valid</v>
      </c>
      <c r="L125">
        <f>G125-F125</f>
        <v>1</v>
      </c>
      <c r="M125" t="s">
        <v>711</v>
      </c>
      <c r="N125" t="s">
        <v>168</v>
      </c>
      <c r="O125" t="str">
        <f t="shared" si="21"/>
        <v>Sneha Kapoor</v>
      </c>
      <c r="P125" t="s">
        <v>41</v>
      </c>
      <c r="Q125" t="str">
        <f t="shared" si="22"/>
        <v>Small Business</v>
      </c>
      <c r="R125" t="s">
        <v>712</v>
      </c>
      <c r="S125" t="str">
        <f t="shared" si="23"/>
        <v>North</v>
      </c>
      <c r="T125" t="s">
        <v>154</v>
      </c>
      <c r="U125" t="str">
        <f t="shared" si="24"/>
        <v>Punjab</v>
      </c>
      <c r="V125" t="s">
        <v>155</v>
      </c>
      <c r="W125" t="str">
        <f t="shared" si="25"/>
        <v>Ludhiana</v>
      </c>
      <c r="X125" t="s">
        <v>86</v>
      </c>
      <c r="Y125" t="str">
        <f t="shared" si="26"/>
        <v>Technology</v>
      </c>
      <c r="Z125" t="s">
        <v>94</v>
      </c>
      <c r="AA125" t="str">
        <f t="shared" si="27"/>
        <v>Copiers</v>
      </c>
      <c r="AB125" t="s">
        <v>713</v>
      </c>
      <c r="AC125" t="s">
        <v>48</v>
      </c>
      <c r="AD125" t="str">
        <f t="shared" si="28"/>
        <v>Same Day</v>
      </c>
      <c r="AE125">
        <v>1</v>
      </c>
      <c r="AF125">
        <v>634.13</v>
      </c>
      <c r="AG125">
        <v>0</v>
      </c>
      <c r="AH125">
        <v>0</v>
      </c>
      <c r="AI125" t="str">
        <f t="shared" si="29"/>
        <v>Valid</v>
      </c>
      <c r="AJ125">
        <v>634.13</v>
      </c>
      <c r="AK125">
        <f t="shared" si="30"/>
        <v>634.13</v>
      </c>
      <c r="AL125">
        <v>453.35</v>
      </c>
      <c r="AM125">
        <v>180.78</v>
      </c>
      <c r="AN125">
        <f t="shared" si="31"/>
        <v>180.77999999999997</v>
      </c>
      <c r="AO125">
        <f t="shared" si="32"/>
        <v>-453.35</v>
      </c>
      <c r="AP125" t="s">
        <v>124</v>
      </c>
      <c r="AQ125" t="str">
        <f t="shared" si="33"/>
        <v>Refunded</v>
      </c>
      <c r="AR125" t="s">
        <v>78</v>
      </c>
      <c r="AS125" t="str">
        <f t="shared" si="34"/>
        <v>Cancelled</v>
      </c>
      <c r="AT125" t="str">
        <f t="shared" si="35"/>
        <v>Clean</v>
      </c>
    </row>
    <row r="126" spans="1:46">
      <c r="A126" t="s">
        <v>714</v>
      </c>
      <c r="B126">
        <f>COUNTIF($D$2:D126,D126)</f>
        <v>2</v>
      </c>
      <c r="C126" t="str">
        <f>IF(COUNTIF($A:$A,A126)=1,
"Unique",
IF(COUNTIFS($A:$A,A126,$N:$N,N126,$AF:$AF,AF126,$AJ:$AJ,AJ126)&gt;1,
"Exact Duplicate",
"Conflicting Duplicate"))</f>
        <v>Unique</v>
      </c>
      <c r="D126" t="s">
        <v>22</v>
      </c>
      <c r="E126" t="s">
        <v>715</v>
      </c>
      <c r="F126" s="2">
        <v>45494</v>
      </c>
      <c r="G126" s="3">
        <v>45497</v>
      </c>
      <c r="H126" s="5" t="str">
        <f t="shared" si="18"/>
        <v>July</v>
      </c>
      <c r="I126" s="5">
        <f t="shared" si="19"/>
        <v>2024</v>
      </c>
      <c r="J126" t="str">
        <f>IF(F126="","Missing Date",
IF(ISNUMBER(F126),"Valid","Invalid Date"))</f>
        <v>Valid</v>
      </c>
      <c r="K126" t="str">
        <f t="shared" si="20"/>
        <v>Valid</v>
      </c>
      <c r="L126">
        <f>G126-F126</f>
        <v>3</v>
      </c>
      <c r="M126" t="s">
        <v>716</v>
      </c>
      <c r="N126" t="s">
        <v>53</v>
      </c>
      <c r="O126" t="str">
        <f t="shared" si="21"/>
        <v>Isha Nair</v>
      </c>
      <c r="P126" t="s">
        <v>108</v>
      </c>
      <c r="Q126" t="str">
        <f t="shared" si="22"/>
        <v>Corporate</v>
      </c>
      <c r="R126" t="s">
        <v>62</v>
      </c>
      <c r="S126" t="str">
        <f t="shared" si="23"/>
        <v>South</v>
      </c>
      <c r="T126" t="s">
        <v>229</v>
      </c>
      <c r="U126" t="str">
        <f t="shared" si="24"/>
        <v>Karnataka</v>
      </c>
      <c r="V126" t="s">
        <v>230</v>
      </c>
      <c r="W126" t="str">
        <f t="shared" si="25"/>
        <v>Bengaluru</v>
      </c>
      <c r="X126" t="s">
        <v>86</v>
      </c>
      <c r="Y126" t="str">
        <f t="shared" si="26"/>
        <v>Technology</v>
      </c>
      <c r="Z126" t="s">
        <v>94</v>
      </c>
      <c r="AA126" t="str">
        <f t="shared" si="27"/>
        <v>Copiers</v>
      </c>
      <c r="AB126" t="s">
        <v>717</v>
      </c>
      <c r="AC126" t="s">
        <v>67</v>
      </c>
      <c r="AD126" t="str">
        <f t="shared" si="28"/>
        <v>Standard Class</v>
      </c>
      <c r="AE126">
        <v>9</v>
      </c>
      <c r="AF126">
        <v>465.06</v>
      </c>
      <c r="AG126">
        <v>-0.15</v>
      </c>
      <c r="AH126">
        <v>-0.15</v>
      </c>
      <c r="AI126" t="str">
        <f t="shared" si="29"/>
        <v>Invalid - Negative Discount</v>
      </c>
      <c r="AJ126">
        <v>4185.54</v>
      </c>
      <c r="AK126">
        <f t="shared" si="30"/>
        <v>4813.3709999999992</v>
      </c>
      <c r="AL126">
        <v>3443.74</v>
      </c>
      <c r="AM126">
        <v>741.8</v>
      </c>
      <c r="AN126">
        <f t="shared" si="31"/>
        <v>1369.6309999999994</v>
      </c>
      <c r="AO126">
        <f t="shared" si="32"/>
        <v>-3443.74</v>
      </c>
      <c r="AP126" t="s">
        <v>34</v>
      </c>
      <c r="AQ126" t="str">
        <f t="shared" si="33"/>
        <v>Paid</v>
      </c>
      <c r="AR126" t="s">
        <v>35</v>
      </c>
      <c r="AS126" t="str">
        <f t="shared" si="34"/>
        <v>Completed</v>
      </c>
      <c r="AT126" t="str">
        <f t="shared" si="35"/>
        <v>Clean</v>
      </c>
    </row>
    <row r="127" spans="1:46">
      <c r="A127" t="s">
        <v>718</v>
      </c>
      <c r="B127">
        <f>COUNTIF($D$2:D127,D127)</f>
        <v>1</v>
      </c>
      <c r="C127" t="str">
        <f>IF(COUNTIF($A:$A,A127)=1,
"Unique",
IF(COUNTIFS($A:$A,A127,$N:$N,N127,$AF:$AF,AF127,$AJ:$AJ,AJ127)&gt;1,
"Exact Duplicate",
"Conflicting Duplicate"))</f>
        <v>Unique</v>
      </c>
      <c r="D127" t="s">
        <v>719</v>
      </c>
      <c r="E127" t="s">
        <v>720</v>
      </c>
      <c r="F127" s="3">
        <v>45855</v>
      </c>
      <c r="G127" s="3">
        <v>45856</v>
      </c>
      <c r="H127" s="5" t="str">
        <f t="shared" si="18"/>
        <v>July</v>
      </c>
      <c r="I127" s="5">
        <f t="shared" si="19"/>
        <v>2025</v>
      </c>
      <c r="J127" t="str">
        <f>IF(F127="","Missing Date",
IF(ISNUMBER(F127),"Valid","Invalid Date"))</f>
        <v>Valid</v>
      </c>
      <c r="K127" t="str">
        <f t="shared" si="20"/>
        <v>Valid</v>
      </c>
      <c r="L127">
        <f>G127-F127</f>
        <v>1</v>
      </c>
      <c r="M127" t="s">
        <v>721</v>
      </c>
      <c r="N127" t="s">
        <v>93</v>
      </c>
      <c r="O127" t="str">
        <f t="shared" si="21"/>
        <v>Neha Gupta</v>
      </c>
      <c r="P127" t="s">
        <v>41</v>
      </c>
      <c r="Q127" t="str">
        <f t="shared" si="22"/>
        <v>Small Business</v>
      </c>
      <c r="R127" t="s">
        <v>73</v>
      </c>
      <c r="S127" t="str">
        <f t="shared" si="23"/>
        <v>West</v>
      </c>
      <c r="T127" t="s">
        <v>28</v>
      </c>
      <c r="U127" t="str">
        <f t="shared" si="24"/>
        <v>Rajasthan</v>
      </c>
      <c r="V127" t="s">
        <v>135</v>
      </c>
      <c r="W127" t="str">
        <f t="shared" si="25"/>
        <v>Udaipur</v>
      </c>
      <c r="X127" t="s">
        <v>45</v>
      </c>
      <c r="Y127" t="str">
        <f t="shared" si="26"/>
        <v>Furniture</v>
      </c>
      <c r="Z127" t="s">
        <v>46</v>
      </c>
      <c r="AA127" t="str">
        <f t="shared" si="27"/>
        <v>Tables</v>
      </c>
      <c r="AB127" t="s">
        <v>722</v>
      </c>
      <c r="AC127" t="s">
        <v>48</v>
      </c>
      <c r="AD127" t="str">
        <f t="shared" si="28"/>
        <v>Same Day</v>
      </c>
      <c r="AE127">
        <v>6</v>
      </c>
      <c r="AF127">
        <v>3235.27</v>
      </c>
      <c r="AG127">
        <v>0.25</v>
      </c>
      <c r="AH127">
        <v>0.25</v>
      </c>
      <c r="AI127" t="str">
        <f t="shared" si="29"/>
        <v>Valid</v>
      </c>
      <c r="AJ127">
        <v>14558.72</v>
      </c>
      <c r="AK127">
        <f t="shared" si="30"/>
        <v>14558.715</v>
      </c>
      <c r="AL127">
        <v>9591.48</v>
      </c>
      <c r="AM127">
        <v>4967.24</v>
      </c>
      <c r="AN127">
        <f t="shared" si="31"/>
        <v>4967.2350000000006</v>
      </c>
      <c r="AO127">
        <f t="shared" si="32"/>
        <v>-9591.48</v>
      </c>
      <c r="AP127" t="s">
        <v>124</v>
      </c>
      <c r="AQ127" t="str">
        <f t="shared" si="33"/>
        <v>Refunded</v>
      </c>
      <c r="AR127" t="s">
        <v>125</v>
      </c>
      <c r="AS127" t="str">
        <f t="shared" si="34"/>
        <v>Returned</v>
      </c>
      <c r="AT127" t="str">
        <f t="shared" si="35"/>
        <v>Clean</v>
      </c>
    </row>
    <row r="128" spans="1:46">
      <c r="A128" t="s">
        <v>723</v>
      </c>
      <c r="B128">
        <f>COUNTIF($D$2:D128,D128)</f>
        <v>1</v>
      </c>
      <c r="C128" t="str">
        <f>IF(COUNTIF($A:$A,A128)=1,
"Unique",
IF(COUNTIFS($A:$A,A128,$N:$N,N128,$AF:$AF,AF128,$AJ:$AJ,AJ128)&gt;1,
"Exact Duplicate",
"Conflicting Duplicate"))</f>
        <v>Unique</v>
      </c>
      <c r="D128" t="s">
        <v>724</v>
      </c>
      <c r="E128" t="s">
        <v>725</v>
      </c>
      <c r="F128" s="3">
        <v>45924</v>
      </c>
      <c r="G128" s="2">
        <v>45926</v>
      </c>
      <c r="H128" s="5" t="str">
        <f t="shared" si="18"/>
        <v>September</v>
      </c>
      <c r="I128" s="5">
        <f t="shared" si="19"/>
        <v>2025</v>
      </c>
      <c r="J128" t="str">
        <f>IF(F128="","Missing Date",
IF(ISNUMBER(F128),"Valid","Invalid Date"))</f>
        <v>Valid</v>
      </c>
      <c r="K128" t="str">
        <f t="shared" si="20"/>
        <v>Valid</v>
      </c>
      <c r="L128">
        <f>G128-F128</f>
        <v>2</v>
      </c>
      <c r="M128" t="s">
        <v>726</v>
      </c>
      <c r="N128" t="s">
        <v>142</v>
      </c>
      <c r="O128" t="str">
        <f t="shared" si="21"/>
        <v>Priya Menon</v>
      </c>
      <c r="P128" t="s">
        <v>108</v>
      </c>
      <c r="Q128" t="str">
        <f t="shared" si="22"/>
        <v>Corporate</v>
      </c>
      <c r="R128" t="s">
        <v>27</v>
      </c>
      <c r="S128" t="str">
        <f t="shared" si="23"/>
        <v>North</v>
      </c>
      <c r="T128" t="s">
        <v>506</v>
      </c>
      <c r="U128" t="str">
        <f t="shared" si="24"/>
        <v>Delhi</v>
      </c>
      <c r="V128" t="s">
        <v>507</v>
      </c>
      <c r="W128" t="str">
        <f t="shared" si="25"/>
        <v>New Delhi</v>
      </c>
      <c r="X128" t="s">
        <v>86</v>
      </c>
      <c r="Y128" t="str">
        <f t="shared" si="26"/>
        <v>Technology</v>
      </c>
      <c r="Z128" t="s">
        <v>94</v>
      </c>
      <c r="AA128" t="str">
        <f t="shared" si="27"/>
        <v>Copiers</v>
      </c>
      <c r="AB128" t="s">
        <v>727</v>
      </c>
      <c r="AC128" t="s">
        <v>67</v>
      </c>
      <c r="AD128" t="str">
        <f t="shared" si="28"/>
        <v>Standard Class</v>
      </c>
      <c r="AE128">
        <v>3</v>
      </c>
      <c r="AF128">
        <v>1593.86</v>
      </c>
      <c r="AG128">
        <v>0.1</v>
      </c>
      <c r="AH128">
        <v>0.1</v>
      </c>
      <c r="AI128" t="str">
        <f t="shared" si="29"/>
        <v>Valid</v>
      </c>
      <c r="AJ128">
        <v>4303.42</v>
      </c>
      <c r="AK128">
        <f t="shared" si="30"/>
        <v>4303.4220000000005</v>
      </c>
      <c r="AL128">
        <v>2568.5700000000002</v>
      </c>
      <c r="AM128">
        <v>1734.85</v>
      </c>
      <c r="AN128">
        <f t="shared" si="31"/>
        <v>1734.8520000000003</v>
      </c>
      <c r="AO128">
        <f t="shared" si="32"/>
        <v>-2568.5700000000002</v>
      </c>
      <c r="AP128" t="s">
        <v>34</v>
      </c>
      <c r="AQ128" t="str">
        <f t="shared" si="33"/>
        <v>Paid</v>
      </c>
      <c r="AR128" t="s">
        <v>35</v>
      </c>
      <c r="AS128" t="str">
        <f t="shared" si="34"/>
        <v>Completed</v>
      </c>
      <c r="AT128" t="str">
        <f t="shared" si="35"/>
        <v>Clean</v>
      </c>
    </row>
    <row r="129" spans="1:46">
      <c r="A129" t="s">
        <v>728</v>
      </c>
      <c r="B129">
        <f>COUNTIF($D$2:D129,D129)</f>
        <v>1</v>
      </c>
      <c r="C129" t="str">
        <f>IF(COUNTIF($A:$A,A129)=1,
"Unique",
IF(COUNTIFS($A:$A,A129,$N:$N,N129,$AF:$AF,AF129,$AJ:$AJ,AJ129)&gt;1,
"Exact Duplicate",
"Conflicting Duplicate"))</f>
        <v>Exact Duplicate</v>
      </c>
      <c r="D129" t="s">
        <v>191</v>
      </c>
      <c r="E129" t="s">
        <v>729</v>
      </c>
      <c r="F129" s="3">
        <v>45687</v>
      </c>
      <c r="G129" s="3">
        <v>45683</v>
      </c>
      <c r="H129" s="5" t="str">
        <f t="shared" si="18"/>
        <v>January</v>
      </c>
      <c r="I129" s="5">
        <f t="shared" si="19"/>
        <v>2025</v>
      </c>
      <c r="J129" t="str">
        <f>IF(F129="","Missing Date",
IF(ISNUMBER(F129),"Valid","Invalid Date"))</f>
        <v>Valid</v>
      </c>
      <c r="K129" t="str">
        <f t="shared" si="20"/>
        <v>Valid</v>
      </c>
      <c r="L129">
        <f>G129-F129</f>
        <v>-4</v>
      </c>
      <c r="M129" t="s">
        <v>730</v>
      </c>
      <c r="N129" t="s">
        <v>142</v>
      </c>
      <c r="O129" t="str">
        <f t="shared" si="21"/>
        <v>Priya Menon</v>
      </c>
      <c r="P129" t="s">
        <v>108</v>
      </c>
      <c r="Q129" t="str">
        <f t="shared" si="22"/>
        <v>Corporate</v>
      </c>
      <c r="R129" t="s">
        <v>73</v>
      </c>
      <c r="S129" t="str">
        <f t="shared" si="23"/>
        <v>West</v>
      </c>
      <c r="T129" t="s">
        <v>84</v>
      </c>
      <c r="U129" t="str">
        <f t="shared" si="24"/>
        <v>Madhya Pradesh</v>
      </c>
      <c r="V129" t="s">
        <v>85</v>
      </c>
      <c r="W129" t="str">
        <f t="shared" si="25"/>
        <v>Indore</v>
      </c>
      <c r="X129" t="s">
        <v>30</v>
      </c>
      <c r="Y129" t="str">
        <f t="shared" si="26"/>
        <v>Office Supplies</v>
      </c>
      <c r="Z129" t="s">
        <v>156</v>
      </c>
      <c r="AA129" t="str">
        <f t="shared" si="27"/>
        <v>Storage</v>
      </c>
      <c r="AB129" t="s">
        <v>731</v>
      </c>
      <c r="AC129" t="s">
        <v>33</v>
      </c>
      <c r="AD129" t="str">
        <f t="shared" si="28"/>
        <v>Second Class</v>
      </c>
      <c r="AE129">
        <v>2</v>
      </c>
      <c r="AF129">
        <v>3039.3</v>
      </c>
      <c r="AG129">
        <v>0.05</v>
      </c>
      <c r="AH129">
        <v>0.05</v>
      </c>
      <c r="AI129" t="str">
        <f t="shared" si="29"/>
        <v>Valid</v>
      </c>
      <c r="AJ129">
        <v>5774.67</v>
      </c>
      <c r="AK129">
        <f t="shared" si="30"/>
        <v>5774.67</v>
      </c>
      <c r="AL129">
        <v>3518.36</v>
      </c>
      <c r="AM129">
        <v>2256.31</v>
      </c>
      <c r="AN129">
        <f t="shared" si="31"/>
        <v>2256.31</v>
      </c>
      <c r="AO129">
        <f t="shared" si="32"/>
        <v>-3518.36</v>
      </c>
      <c r="AP129" t="s">
        <v>34</v>
      </c>
      <c r="AQ129" t="str">
        <f t="shared" si="33"/>
        <v>Paid</v>
      </c>
      <c r="AR129" t="s">
        <v>35</v>
      </c>
      <c r="AS129" t="str">
        <f t="shared" si="34"/>
        <v>Completed</v>
      </c>
      <c r="AT129" t="str">
        <f t="shared" si="35"/>
        <v>Clean</v>
      </c>
    </row>
    <row r="130" spans="1:46">
      <c r="A130" t="s">
        <v>732</v>
      </c>
      <c r="B130">
        <f>COUNTIF($D$2:D130,D130)</f>
        <v>1</v>
      </c>
      <c r="C130" t="str">
        <f>IF(COUNTIF($A:$A,A130)=1,
"Unique",
IF(COUNTIFS($A:$A,A130,$N:$N,N130,$AF:$AF,AF130,$AJ:$AJ,AJ130)&gt;1,
"Exact Duplicate",
"Conflicting Duplicate"))</f>
        <v>Unique</v>
      </c>
      <c r="D130" t="s">
        <v>733</v>
      </c>
      <c r="E130" t="s">
        <v>734</v>
      </c>
      <c r="F130" s="2">
        <v>45639</v>
      </c>
      <c r="G130" s="2">
        <v>45642</v>
      </c>
      <c r="H130" s="5" t="str">
        <f t="shared" si="18"/>
        <v>December</v>
      </c>
      <c r="I130" s="5">
        <f t="shared" si="19"/>
        <v>2024</v>
      </c>
      <c r="J130" t="str">
        <f>IF(F130="","Missing Date",
IF(ISNUMBER(F130),"Valid","Invalid Date"))</f>
        <v>Valid</v>
      </c>
      <c r="K130" t="str">
        <f t="shared" si="20"/>
        <v>Valid</v>
      </c>
      <c r="L130">
        <f>G130-F130</f>
        <v>3</v>
      </c>
      <c r="M130" t="s">
        <v>735</v>
      </c>
      <c r="N130" t="s">
        <v>93</v>
      </c>
      <c r="O130" t="str">
        <f t="shared" si="21"/>
        <v>Neha Gupta</v>
      </c>
      <c r="P130" t="s">
        <v>41</v>
      </c>
      <c r="Q130" t="str">
        <f t="shared" si="22"/>
        <v>Small Business</v>
      </c>
      <c r="R130" t="s">
        <v>42</v>
      </c>
      <c r="S130" t="str">
        <f t="shared" si="23"/>
        <v>East</v>
      </c>
      <c r="T130" t="s">
        <v>43</v>
      </c>
      <c r="U130" t="str">
        <f t="shared" si="24"/>
        <v>Odisha</v>
      </c>
      <c r="V130" t="s">
        <v>44</v>
      </c>
      <c r="W130" t="str">
        <f t="shared" si="25"/>
        <v>Bhubaneswar</v>
      </c>
      <c r="X130" t="s">
        <v>45</v>
      </c>
      <c r="Y130" t="str">
        <f t="shared" si="26"/>
        <v>Furniture</v>
      </c>
      <c r="Z130" t="s">
        <v>65</v>
      </c>
      <c r="AA130" t="str">
        <f t="shared" si="27"/>
        <v>Furnishings</v>
      </c>
      <c r="AB130" t="s">
        <v>736</v>
      </c>
      <c r="AC130" t="s">
        <v>67</v>
      </c>
      <c r="AD130" t="str">
        <f t="shared" si="28"/>
        <v>Standard Class</v>
      </c>
      <c r="AE130">
        <v>5</v>
      </c>
      <c r="AF130">
        <v>923.45</v>
      </c>
      <c r="AG130">
        <v>0.05</v>
      </c>
      <c r="AH130">
        <v>0.05</v>
      </c>
      <c r="AI130" t="str">
        <f t="shared" si="29"/>
        <v>Valid</v>
      </c>
      <c r="AJ130">
        <v>4386.3900000000003</v>
      </c>
      <c r="AK130">
        <f t="shared" si="30"/>
        <v>4386.3874999999998</v>
      </c>
      <c r="AL130">
        <v>3366.88</v>
      </c>
      <c r="AM130">
        <v>1019.51</v>
      </c>
      <c r="AN130">
        <f t="shared" si="31"/>
        <v>1019.5074999999997</v>
      </c>
      <c r="AO130">
        <f t="shared" si="32"/>
        <v>-3366.88</v>
      </c>
      <c r="AP130" t="s">
        <v>34</v>
      </c>
      <c r="AQ130" t="str">
        <f t="shared" si="33"/>
        <v>Paid</v>
      </c>
      <c r="AR130" t="s">
        <v>125</v>
      </c>
      <c r="AS130" t="str">
        <f t="shared" si="34"/>
        <v>Returned</v>
      </c>
      <c r="AT130" t="str">
        <f t="shared" si="35"/>
        <v>Clean</v>
      </c>
    </row>
    <row r="131" spans="1:46">
      <c r="A131" t="s">
        <v>737</v>
      </c>
      <c r="B131">
        <f>COUNTIF($D$2:D131,D131)</f>
        <v>2</v>
      </c>
      <c r="C131" t="str">
        <f>IF(COUNTIF($A:$A,A131)=1,
"Unique",
IF(COUNTIFS($A:$A,A131,$N:$N,N131,$AF:$AF,AF131,$AJ:$AJ,AJ131)&gt;1,
"Exact Duplicate",
"Conflicting Duplicate"))</f>
        <v>Unique</v>
      </c>
      <c r="D131" t="s">
        <v>406</v>
      </c>
      <c r="E131" t="s">
        <v>738</v>
      </c>
      <c r="F131" s="3">
        <v>45492</v>
      </c>
      <c r="G131" s="3">
        <v>45498</v>
      </c>
      <c r="H131" s="5" t="str">
        <f t="shared" ref="H131:H194" si="36">TEXT(DATE(2024,MONTH(F131),1),"MMMM")</f>
        <v>July</v>
      </c>
      <c r="I131" s="5">
        <f t="shared" ref="I131:I194" si="37">YEAR(F131)</f>
        <v>2024</v>
      </c>
      <c r="J131" t="str">
        <f>IF(F131="","Missing Date",
IF(ISNUMBER(F131),"Valid","Invalid Date"))</f>
        <v>Valid</v>
      </c>
      <c r="K131" t="str">
        <f t="shared" ref="K131:K194" si="38">IF(G131="","Missing Date",
IF(ISNUMBER(G131),"Valid","Invalid Date"))</f>
        <v>Valid</v>
      </c>
      <c r="L131">
        <f>G131-F131</f>
        <v>6</v>
      </c>
      <c r="M131" t="s">
        <v>739</v>
      </c>
      <c r="N131" t="s">
        <v>53</v>
      </c>
      <c r="O131" t="str">
        <f t="shared" ref="O131:O194" si="39">TRIM(PROPER(CLEAN(N131)))</f>
        <v>Isha Nair</v>
      </c>
      <c r="P131" t="s">
        <v>41</v>
      </c>
      <c r="Q131" t="str">
        <f t="shared" ref="Q131:Q194" si="40">TRIM(PROPER(CLEAN(P131)))</f>
        <v>Small Business</v>
      </c>
      <c r="R131" t="s">
        <v>73</v>
      </c>
      <c r="S131" t="str">
        <f t="shared" ref="S131:S194" si="41">TRIM(PROPER(CLEAN(R131)))</f>
        <v>West</v>
      </c>
      <c r="T131" t="s">
        <v>249</v>
      </c>
      <c r="U131" t="str">
        <f t="shared" ref="U131:U194" si="42">TRIM(PROPER(CLEAN(T131)))</f>
        <v>Goa</v>
      </c>
      <c r="V131" t="s">
        <v>250</v>
      </c>
      <c r="W131" t="str">
        <f t="shared" ref="W131:W194" si="43">TRIM(PROPER(CLEAN(V131)))</f>
        <v>Panaji</v>
      </c>
      <c r="X131" t="s">
        <v>30</v>
      </c>
      <c r="Y131" t="str">
        <f t="shared" ref="Y131:Y194" si="44">TRIM(PROPER(CLEAN(X131)))</f>
        <v>Office Supplies</v>
      </c>
      <c r="Z131" t="s">
        <v>198</v>
      </c>
      <c r="AA131" t="str">
        <f t="shared" ref="AA131:AA194" si="45">TRIM(PROPER(CLEAN(Z131)))</f>
        <v>Binders</v>
      </c>
      <c r="AB131" t="s">
        <v>740</v>
      </c>
      <c r="AC131" t="s">
        <v>67</v>
      </c>
      <c r="AD131" t="str">
        <f t="shared" ref="AD131:AD194" si="46">TRIM(PROPER(CLEAN(AC131)))</f>
        <v>Standard Class</v>
      </c>
      <c r="AE131">
        <v>7</v>
      </c>
      <c r="AF131">
        <v>2741.29</v>
      </c>
      <c r="AG131">
        <v>0.05</v>
      </c>
      <c r="AH131">
        <v>0.05</v>
      </c>
      <c r="AI131" t="str">
        <f t="shared" ref="AI131:AI194" si="47">IF(AG131="","Missing Discount",IF(AG131&lt;0,"Invalid - Negative Discount",IF(AG131&gt;1,"Invalid - Above Range","Valid")))</f>
        <v>Valid</v>
      </c>
      <c r="AJ131">
        <v>18229.580000000002</v>
      </c>
      <c r="AK131">
        <f t="shared" ref="AK131:AK194" si="48">AE131*AF131*(1-AH131)</f>
        <v>18229.5785</v>
      </c>
      <c r="AL131">
        <v>15139.15</v>
      </c>
      <c r="AM131">
        <v>3090.43</v>
      </c>
      <c r="AN131">
        <f t="shared" ref="AN131:AN194" si="49">AK131-AL131</f>
        <v>3090.4285</v>
      </c>
      <c r="AO131">
        <f t="shared" ref="AO131:AO194" si="50">AN131-AK131</f>
        <v>-15139.15</v>
      </c>
      <c r="AP131" t="s">
        <v>34</v>
      </c>
      <c r="AQ131" t="str">
        <f t="shared" ref="AQ131:AQ194" si="51">TRIM(PROPER(CLEAN(AP131)))</f>
        <v>Paid</v>
      </c>
      <c r="AR131" t="s">
        <v>35</v>
      </c>
      <c r="AS131" t="str">
        <f t="shared" ref="AS131:AS194" si="52">TRIM(PROPER(CLEAN(AR131)))</f>
        <v>Completed</v>
      </c>
      <c r="AT131" t="str">
        <f t="shared" ref="AT131:AT194" si="53">IF(OR(AH131="Unknown",AJ131="Unknown",AM131="Unknown",A131="Unknown"),"Needs Review","Clean")</f>
        <v>Clean</v>
      </c>
    </row>
    <row r="132" spans="1:46">
      <c r="A132" t="s">
        <v>741</v>
      </c>
      <c r="B132">
        <f>COUNTIF($D$2:D132,D132)</f>
        <v>1</v>
      </c>
      <c r="C132" t="str">
        <f>IF(COUNTIF($A:$A,A132)=1,
"Unique",
IF(COUNTIFS($A:$A,A132,$N:$N,N132,$AF:$AF,AF132,$AJ:$AJ,AJ132)&gt;1,
"Exact Duplicate",
"Conflicting Duplicate"))</f>
        <v>Unique</v>
      </c>
      <c r="D132" t="s">
        <v>742</v>
      </c>
      <c r="E132" t="s">
        <v>743</v>
      </c>
      <c r="F132" s="3">
        <v>45318</v>
      </c>
      <c r="G132" s="2">
        <v>45324</v>
      </c>
      <c r="H132" s="5" t="str">
        <f t="shared" si="36"/>
        <v>January</v>
      </c>
      <c r="I132" s="5">
        <f t="shared" si="37"/>
        <v>2024</v>
      </c>
      <c r="J132" t="str">
        <f>IF(F132="","Missing Date",
IF(ISNUMBER(F132),"Valid","Invalid Date"))</f>
        <v>Valid</v>
      </c>
      <c r="K132" t="str">
        <f t="shared" si="38"/>
        <v>Valid</v>
      </c>
      <c r="L132">
        <f>G132-F132</f>
        <v>6</v>
      </c>
      <c r="M132" t="s">
        <v>744</v>
      </c>
      <c r="N132" t="s">
        <v>61</v>
      </c>
      <c r="O132" t="str">
        <f t="shared" si="39"/>
        <v>Arjun Bose</v>
      </c>
      <c r="P132" t="s">
        <v>26</v>
      </c>
      <c r="Q132" t="str">
        <f t="shared" si="40"/>
        <v>Consumer</v>
      </c>
      <c r="R132" t="s">
        <v>73</v>
      </c>
      <c r="S132" t="str">
        <f t="shared" si="41"/>
        <v>West</v>
      </c>
      <c r="T132" t="s">
        <v>235</v>
      </c>
      <c r="U132" t="str">
        <f t="shared" si="42"/>
        <v>Gujarat</v>
      </c>
      <c r="V132" t="s">
        <v>236</v>
      </c>
      <c r="W132" t="str">
        <f t="shared" si="43"/>
        <v>Ahmedabad</v>
      </c>
      <c r="X132" t="s">
        <v>30</v>
      </c>
      <c r="Y132" t="str">
        <f t="shared" si="44"/>
        <v>Office Supplies</v>
      </c>
      <c r="Z132" t="s">
        <v>109</v>
      </c>
      <c r="AA132" t="str">
        <f t="shared" si="45"/>
        <v>Labels</v>
      </c>
      <c r="AB132" t="s">
        <v>745</v>
      </c>
      <c r="AC132" t="s">
        <v>48</v>
      </c>
      <c r="AD132" t="str">
        <f t="shared" si="46"/>
        <v>Same Day</v>
      </c>
      <c r="AE132">
        <v>5</v>
      </c>
      <c r="AF132">
        <v>218.42</v>
      </c>
      <c r="AG132">
        <v>0.2</v>
      </c>
      <c r="AH132">
        <v>0.2</v>
      </c>
      <c r="AI132" t="str">
        <f t="shared" si="47"/>
        <v>Valid</v>
      </c>
      <c r="AJ132">
        <v>873.68</v>
      </c>
      <c r="AK132">
        <f t="shared" si="48"/>
        <v>873.68</v>
      </c>
      <c r="AL132">
        <v>661.72</v>
      </c>
      <c r="AM132">
        <v>211.96</v>
      </c>
      <c r="AN132">
        <f t="shared" si="49"/>
        <v>211.95999999999992</v>
      </c>
      <c r="AO132">
        <f t="shared" si="50"/>
        <v>-661.72</v>
      </c>
      <c r="AP132" t="s">
        <v>137</v>
      </c>
      <c r="AQ132" t="str">
        <f t="shared" si="51"/>
        <v>Pending</v>
      </c>
      <c r="AR132" t="s">
        <v>78</v>
      </c>
      <c r="AS132" t="str">
        <f t="shared" si="52"/>
        <v>Cancelled</v>
      </c>
      <c r="AT132" t="str">
        <f t="shared" si="53"/>
        <v>Clean</v>
      </c>
    </row>
    <row r="133" spans="1:46">
      <c r="A133" t="s">
        <v>746</v>
      </c>
      <c r="B133">
        <f>COUNTIF($D$2:D133,D133)</f>
        <v>1</v>
      </c>
      <c r="C133" t="str">
        <f>IF(COUNTIF($A:$A,A133)=1,
"Unique",
IF(COUNTIFS($A:$A,A133,$N:$N,N133,$AF:$AF,AF133,$AJ:$AJ,AJ133)&gt;1,
"Exact Duplicate",
"Conflicting Duplicate"))</f>
        <v>Unique</v>
      </c>
      <c r="D133" t="s">
        <v>747</v>
      </c>
      <c r="E133" t="s">
        <v>748</v>
      </c>
      <c r="F133" s="3">
        <v>45929</v>
      </c>
      <c r="G133" s="3">
        <v>45757</v>
      </c>
      <c r="H133" s="5" t="str">
        <f t="shared" si="36"/>
        <v>September</v>
      </c>
      <c r="I133" s="5">
        <f t="shared" si="37"/>
        <v>2025</v>
      </c>
      <c r="J133" t="str">
        <f>IF(F133="","Missing Date",
IF(ISNUMBER(F133),"Valid","Invalid Date"))</f>
        <v>Valid</v>
      </c>
      <c r="K133" t="str">
        <f t="shared" si="38"/>
        <v>Valid</v>
      </c>
      <c r="L133">
        <f>G133-F133</f>
        <v>-172</v>
      </c>
      <c r="M133" t="s">
        <v>749</v>
      </c>
      <c r="N133" t="s">
        <v>72</v>
      </c>
      <c r="O133" t="str">
        <f t="shared" si="39"/>
        <v>Ananya Rao</v>
      </c>
      <c r="P133" t="s">
        <v>115</v>
      </c>
      <c r="Q133" t="str">
        <f t="shared" si="40"/>
        <v>Home Office</v>
      </c>
      <c r="R133" t="s">
        <v>42</v>
      </c>
      <c r="S133" t="str">
        <f t="shared" si="41"/>
        <v>East</v>
      </c>
      <c r="T133" t="s">
        <v>311</v>
      </c>
      <c r="U133" t="str">
        <f t="shared" si="42"/>
        <v>Jharkhand</v>
      </c>
      <c r="V133" t="s">
        <v>312</v>
      </c>
      <c r="W133" t="str">
        <f t="shared" si="43"/>
        <v>Ranchi</v>
      </c>
      <c r="X133" t="s">
        <v>30</v>
      </c>
      <c r="Y133" t="str">
        <f t="shared" si="44"/>
        <v>Office Supplies</v>
      </c>
      <c r="Z133" t="s">
        <v>31</v>
      </c>
      <c r="AA133" t="str">
        <f t="shared" si="45"/>
        <v>Paper</v>
      </c>
      <c r="AB133" t="s">
        <v>750</v>
      </c>
      <c r="AC133" t="s">
        <v>48</v>
      </c>
      <c r="AD133" t="str">
        <f t="shared" si="46"/>
        <v>Same Day</v>
      </c>
      <c r="AE133">
        <v>9</v>
      </c>
      <c r="AF133">
        <v>373.91</v>
      </c>
      <c r="AG133">
        <v>0.2</v>
      </c>
      <c r="AH133">
        <v>0.2</v>
      </c>
      <c r="AI133" t="str">
        <f t="shared" si="47"/>
        <v>Valid</v>
      </c>
      <c r="AJ133">
        <v>2692.15</v>
      </c>
      <c r="AK133">
        <f t="shared" si="48"/>
        <v>2692.152</v>
      </c>
      <c r="AL133">
        <v>2044.49</v>
      </c>
      <c r="AM133">
        <v>647.66</v>
      </c>
      <c r="AN133">
        <f t="shared" si="49"/>
        <v>647.66200000000003</v>
      </c>
      <c r="AO133">
        <f t="shared" si="50"/>
        <v>-2044.49</v>
      </c>
      <c r="AP133" t="s">
        <v>34</v>
      </c>
      <c r="AQ133" t="str">
        <f t="shared" si="51"/>
        <v>Paid</v>
      </c>
      <c r="AR133" t="s">
        <v>35</v>
      </c>
      <c r="AS133" t="str">
        <f t="shared" si="52"/>
        <v>Completed</v>
      </c>
      <c r="AT133" t="str">
        <f t="shared" si="53"/>
        <v>Clean</v>
      </c>
    </row>
    <row r="134" spans="1:46">
      <c r="A134" t="s">
        <v>751</v>
      </c>
      <c r="B134">
        <f>COUNTIF($D$2:D134,D134)</f>
        <v>1</v>
      </c>
      <c r="C134" t="str">
        <f>IF(COUNTIF($A:$A,A134)=1,
"Unique",
IF(COUNTIFS($A:$A,A134,$N:$N,N134,$AF:$AF,AF134,$AJ:$AJ,AJ134)&gt;1,
"Exact Duplicate",
"Conflicting Duplicate"))</f>
        <v>Unique</v>
      </c>
      <c r="D134" t="s">
        <v>752</v>
      </c>
      <c r="E134" t="s">
        <v>752</v>
      </c>
      <c r="F134" s="2">
        <v>45393</v>
      </c>
      <c r="G134" s="2">
        <v>45393</v>
      </c>
      <c r="H134" s="5" t="str">
        <f t="shared" si="36"/>
        <v>April</v>
      </c>
      <c r="I134" s="5">
        <f t="shared" si="37"/>
        <v>2024</v>
      </c>
      <c r="J134" t="str">
        <f>IF(F134="","Missing Date",
IF(ISNUMBER(F134),"Valid","Invalid Date"))</f>
        <v>Valid</v>
      </c>
      <c r="K134" t="str">
        <f t="shared" si="38"/>
        <v>Valid</v>
      </c>
      <c r="L134">
        <f>G134-F134</f>
        <v>0</v>
      </c>
      <c r="M134" t="s">
        <v>753</v>
      </c>
      <c r="N134" t="s">
        <v>366</v>
      </c>
      <c r="O134" t="str">
        <f t="shared" si="39"/>
        <v>Kabir Singh</v>
      </c>
      <c r="P134" t="s">
        <v>108</v>
      </c>
      <c r="Q134" t="str">
        <f t="shared" si="40"/>
        <v>Corporate</v>
      </c>
      <c r="R134" t="s">
        <v>42</v>
      </c>
      <c r="S134" t="str">
        <f t="shared" si="41"/>
        <v>East</v>
      </c>
      <c r="T134" t="s">
        <v>216</v>
      </c>
      <c r="U134" t="str">
        <f t="shared" si="42"/>
        <v>Assam</v>
      </c>
      <c r="V134" t="s">
        <v>217</v>
      </c>
      <c r="W134" t="str">
        <f t="shared" si="43"/>
        <v>Guwahati</v>
      </c>
      <c r="X134" t="s">
        <v>86</v>
      </c>
      <c r="Y134" t="str">
        <f t="shared" si="44"/>
        <v>Technology</v>
      </c>
      <c r="Z134" t="s">
        <v>382</v>
      </c>
      <c r="AA134" t="str">
        <f t="shared" si="45"/>
        <v>Machines</v>
      </c>
      <c r="AB134" t="s">
        <v>754</v>
      </c>
      <c r="AC134" t="s">
        <v>56</v>
      </c>
      <c r="AD134" t="str">
        <f t="shared" si="46"/>
        <v>First Class</v>
      </c>
      <c r="AE134">
        <v>2</v>
      </c>
      <c r="AF134">
        <v>533.08000000000004</v>
      </c>
      <c r="AG134">
        <v>0</v>
      </c>
      <c r="AH134">
        <v>0</v>
      </c>
      <c r="AI134" t="str">
        <f t="shared" si="47"/>
        <v>Valid</v>
      </c>
      <c r="AJ134">
        <v>1066.1600000000001</v>
      </c>
      <c r="AK134">
        <f t="shared" si="48"/>
        <v>1066.1600000000001</v>
      </c>
      <c r="AL134">
        <v>656.3</v>
      </c>
      <c r="AM134">
        <v>409.86</v>
      </c>
      <c r="AN134">
        <f t="shared" si="49"/>
        <v>409.86000000000013</v>
      </c>
      <c r="AO134">
        <f t="shared" si="50"/>
        <v>-656.3</v>
      </c>
      <c r="AP134" t="s">
        <v>200</v>
      </c>
      <c r="AQ134" t="str">
        <f t="shared" si="51"/>
        <v>Failed</v>
      </c>
      <c r="AR134" t="s">
        <v>78</v>
      </c>
      <c r="AS134" t="str">
        <f t="shared" si="52"/>
        <v>Cancelled</v>
      </c>
      <c r="AT134" t="str">
        <f t="shared" si="53"/>
        <v>Clean</v>
      </c>
    </row>
    <row r="135" spans="1:46">
      <c r="A135" t="s">
        <v>755</v>
      </c>
      <c r="B135">
        <f>COUNTIF($D$2:D135,D135)</f>
        <v>2</v>
      </c>
      <c r="C135" t="str">
        <f>IF(COUNTIF($A:$A,A135)=1,
"Unique",
IF(COUNTIFS($A:$A,A135,$N:$N,N135,$AF:$AF,AF135,$AJ:$AJ,AJ135)&gt;1,
"Exact Duplicate",
"Conflicting Duplicate"))</f>
        <v>Exact Duplicate</v>
      </c>
      <c r="D135" t="s">
        <v>756</v>
      </c>
      <c r="E135" t="s">
        <v>757</v>
      </c>
      <c r="F135" s="3">
        <v>45639</v>
      </c>
      <c r="G135" s="3">
        <v>45644</v>
      </c>
      <c r="H135" s="5" t="str">
        <f t="shared" si="36"/>
        <v>December</v>
      </c>
      <c r="I135" s="5">
        <f t="shared" si="37"/>
        <v>2024</v>
      </c>
      <c r="J135" t="str">
        <f>IF(F135="","Missing Date",
IF(ISNUMBER(F135),"Valid","Invalid Date"))</f>
        <v>Valid</v>
      </c>
      <c r="K135" t="str">
        <f t="shared" si="38"/>
        <v>Valid</v>
      </c>
      <c r="L135">
        <f>G135-F135</f>
        <v>5</v>
      </c>
      <c r="M135" t="s">
        <v>758</v>
      </c>
      <c r="N135" t="s">
        <v>25</v>
      </c>
      <c r="O135" t="str">
        <f t="shared" si="39"/>
        <v>Karan Malhotra</v>
      </c>
      <c r="P135" t="s">
        <v>26</v>
      </c>
      <c r="Q135" t="str">
        <f t="shared" si="40"/>
        <v>Consumer</v>
      </c>
      <c r="R135" t="s">
        <v>73</v>
      </c>
      <c r="S135" t="str">
        <f t="shared" si="41"/>
        <v>West</v>
      </c>
      <c r="T135" t="s">
        <v>249</v>
      </c>
      <c r="U135" t="str">
        <f t="shared" si="42"/>
        <v>Goa</v>
      </c>
      <c r="V135" t="s">
        <v>250</v>
      </c>
      <c r="W135" t="str">
        <f t="shared" si="43"/>
        <v>Panaji</v>
      </c>
      <c r="X135" t="s">
        <v>86</v>
      </c>
      <c r="Y135" t="str">
        <f t="shared" si="44"/>
        <v>Technology</v>
      </c>
      <c r="Z135" t="s">
        <v>223</v>
      </c>
      <c r="AA135" t="str">
        <f t="shared" si="45"/>
        <v>Phones</v>
      </c>
      <c r="AB135" t="s">
        <v>759</v>
      </c>
      <c r="AC135" t="s">
        <v>33</v>
      </c>
      <c r="AD135" t="str">
        <f t="shared" si="46"/>
        <v>Second Class</v>
      </c>
      <c r="AE135">
        <v>8</v>
      </c>
      <c r="AF135">
        <v>3372.15</v>
      </c>
      <c r="AG135">
        <v>0.15</v>
      </c>
      <c r="AH135">
        <v>0.15</v>
      </c>
      <c r="AI135" t="str">
        <f t="shared" si="47"/>
        <v>Valid</v>
      </c>
      <c r="AJ135">
        <v>22930.62</v>
      </c>
      <c r="AK135">
        <f t="shared" si="48"/>
        <v>22930.62</v>
      </c>
      <c r="AL135">
        <v>16875.55</v>
      </c>
      <c r="AM135">
        <v>6055.07</v>
      </c>
      <c r="AN135">
        <f t="shared" si="49"/>
        <v>6055.07</v>
      </c>
      <c r="AO135">
        <f t="shared" si="50"/>
        <v>-16875.55</v>
      </c>
      <c r="AP135" t="s">
        <v>34</v>
      </c>
      <c r="AQ135" t="str">
        <f t="shared" si="51"/>
        <v>Paid</v>
      </c>
      <c r="AR135" t="s">
        <v>35</v>
      </c>
      <c r="AS135" t="str">
        <f t="shared" si="52"/>
        <v>Completed</v>
      </c>
      <c r="AT135" t="str">
        <f t="shared" si="53"/>
        <v>Clean</v>
      </c>
    </row>
    <row r="136" spans="1:46">
      <c r="A136" t="s">
        <v>760</v>
      </c>
      <c r="B136">
        <f>COUNTIF($D$2:D136,D136)</f>
        <v>1</v>
      </c>
      <c r="C136" t="str">
        <f>IF(COUNTIF($A:$A,A136)=1,
"Unique",
IF(COUNTIFS($A:$A,A136,$N:$N,N136,$AF:$AF,AF136,$AJ:$AJ,AJ136)&gt;1,
"Exact Duplicate",
"Conflicting Duplicate"))</f>
        <v>Unique</v>
      </c>
      <c r="D136" t="s">
        <v>761</v>
      </c>
      <c r="E136" t="s">
        <v>762</v>
      </c>
      <c r="F136" s="3">
        <v>45852</v>
      </c>
      <c r="G136" s="3">
        <v>45852</v>
      </c>
      <c r="H136" s="5" t="str">
        <f t="shared" si="36"/>
        <v>July</v>
      </c>
      <c r="I136" s="5">
        <f t="shared" si="37"/>
        <v>2025</v>
      </c>
      <c r="J136" t="str">
        <f>IF(F136="","Missing Date",
IF(ISNUMBER(F136),"Valid","Invalid Date"))</f>
        <v>Valid</v>
      </c>
      <c r="K136" t="str">
        <f t="shared" si="38"/>
        <v>Valid</v>
      </c>
      <c r="L136">
        <f>G136-F136</f>
        <v>0</v>
      </c>
      <c r="M136" t="s">
        <v>763</v>
      </c>
      <c r="N136" t="s">
        <v>83</v>
      </c>
      <c r="O136" t="str">
        <f t="shared" si="39"/>
        <v>Vikram Iyer</v>
      </c>
      <c r="P136" t="s">
        <v>115</v>
      </c>
      <c r="Q136" t="str">
        <f t="shared" si="40"/>
        <v>Home Office</v>
      </c>
      <c r="R136" t="s">
        <v>42</v>
      </c>
      <c r="S136" t="str">
        <f t="shared" si="41"/>
        <v>East</v>
      </c>
      <c r="T136" t="s">
        <v>121</v>
      </c>
      <c r="U136" t="str">
        <f t="shared" si="42"/>
        <v>West Bengal</v>
      </c>
      <c r="V136" t="s">
        <v>122</v>
      </c>
      <c r="W136" t="str">
        <f t="shared" si="43"/>
        <v>Kolkata</v>
      </c>
      <c r="X136" t="s">
        <v>45</v>
      </c>
      <c r="Y136" t="str">
        <f t="shared" si="44"/>
        <v>Furniture</v>
      </c>
      <c r="Z136" t="s">
        <v>204</v>
      </c>
      <c r="AA136" t="str">
        <f t="shared" si="45"/>
        <v>Bookcases</v>
      </c>
      <c r="AB136" t="s">
        <v>764</v>
      </c>
      <c r="AC136" t="s">
        <v>4104</v>
      </c>
      <c r="AD136" t="str">
        <f t="shared" si="46"/>
        <v>Unknown</v>
      </c>
      <c r="AE136">
        <v>5</v>
      </c>
      <c r="AF136">
        <v>383.1</v>
      </c>
      <c r="AG136">
        <v>0.25</v>
      </c>
      <c r="AH136">
        <v>0.25</v>
      </c>
      <c r="AI136" t="str">
        <f t="shared" si="47"/>
        <v>Valid</v>
      </c>
      <c r="AJ136">
        <v>1436.62</v>
      </c>
      <c r="AK136">
        <f t="shared" si="48"/>
        <v>1436.625</v>
      </c>
      <c r="AL136">
        <v>912.52</v>
      </c>
      <c r="AM136">
        <v>524.1</v>
      </c>
      <c r="AN136">
        <f t="shared" si="49"/>
        <v>524.10500000000002</v>
      </c>
      <c r="AO136">
        <f t="shared" si="50"/>
        <v>-912.52</v>
      </c>
      <c r="AP136" t="s">
        <v>137</v>
      </c>
      <c r="AQ136" t="str">
        <f t="shared" si="51"/>
        <v>Pending</v>
      </c>
      <c r="AR136" t="s">
        <v>78</v>
      </c>
      <c r="AS136" t="str">
        <f t="shared" si="52"/>
        <v>Cancelled</v>
      </c>
      <c r="AT136" t="str">
        <f t="shared" si="53"/>
        <v>Clean</v>
      </c>
    </row>
    <row r="137" spans="1:46">
      <c r="A137" t="s">
        <v>765</v>
      </c>
      <c r="B137">
        <f>COUNTIF($D$2:D137,D137)</f>
        <v>1</v>
      </c>
      <c r="C137" t="str">
        <f>IF(COUNTIF($A:$A,A137)=1,
"Unique",
IF(COUNTIFS($A:$A,A137,$N:$N,N137,$AF:$AF,AF137,$AJ:$AJ,AJ137)&gt;1,
"Exact Duplicate",
"Conflicting Duplicate"))</f>
        <v>Unique</v>
      </c>
      <c r="D137" t="s">
        <v>766</v>
      </c>
      <c r="E137" t="s">
        <v>766</v>
      </c>
      <c r="F137" s="3">
        <v>45893</v>
      </c>
      <c r="G137" s="3">
        <v>45893</v>
      </c>
      <c r="H137" s="5" t="str">
        <f t="shared" si="36"/>
        <v>August</v>
      </c>
      <c r="I137" s="5">
        <f t="shared" si="37"/>
        <v>2025</v>
      </c>
      <c r="J137" t="str">
        <f>IF(F137="","Missing Date",
IF(ISNUMBER(F137),"Valid","Invalid Date"))</f>
        <v>Valid</v>
      </c>
      <c r="K137" t="str">
        <f t="shared" si="38"/>
        <v>Valid</v>
      </c>
      <c r="L137">
        <f>G137-F137</f>
        <v>0</v>
      </c>
      <c r="M137" t="s">
        <v>767</v>
      </c>
      <c r="N137" t="s">
        <v>210</v>
      </c>
      <c r="O137" t="str">
        <f t="shared" si="39"/>
        <v>Diya Patel</v>
      </c>
      <c r="P137" t="s">
        <v>41</v>
      </c>
      <c r="Q137" t="str">
        <f t="shared" si="40"/>
        <v>Small Business</v>
      </c>
      <c r="R137" t="s">
        <v>62</v>
      </c>
      <c r="S137" t="str">
        <f t="shared" si="41"/>
        <v>South</v>
      </c>
      <c r="T137" t="s">
        <v>242</v>
      </c>
      <c r="U137" t="str">
        <f t="shared" si="42"/>
        <v>Kerala</v>
      </c>
      <c r="V137" t="s">
        <v>243</v>
      </c>
      <c r="W137" t="str">
        <f t="shared" si="43"/>
        <v>Kochi</v>
      </c>
      <c r="X137" t="s">
        <v>45</v>
      </c>
      <c r="Y137" t="str">
        <f t="shared" si="44"/>
        <v>Furniture</v>
      </c>
      <c r="Z137" t="s">
        <v>204</v>
      </c>
      <c r="AA137" t="str">
        <f t="shared" si="45"/>
        <v>Bookcases</v>
      </c>
      <c r="AB137" t="s">
        <v>768</v>
      </c>
      <c r="AC137" t="s">
        <v>67</v>
      </c>
      <c r="AD137" t="str">
        <f t="shared" si="46"/>
        <v>Standard Class</v>
      </c>
      <c r="AE137">
        <v>1</v>
      </c>
      <c r="AF137">
        <v>3424.78</v>
      </c>
      <c r="AG137">
        <v>0</v>
      </c>
      <c r="AH137">
        <v>0</v>
      </c>
      <c r="AI137" t="str">
        <f t="shared" si="47"/>
        <v>Valid</v>
      </c>
      <c r="AJ137">
        <v>3424.78</v>
      </c>
      <c r="AK137">
        <f t="shared" si="48"/>
        <v>3424.78</v>
      </c>
      <c r="AL137">
        <v>1951.45</v>
      </c>
      <c r="AM137">
        <v>1473.33</v>
      </c>
      <c r="AN137">
        <f t="shared" si="49"/>
        <v>1473.3300000000002</v>
      </c>
      <c r="AO137">
        <f t="shared" si="50"/>
        <v>-1951.45</v>
      </c>
      <c r="AP137" t="s">
        <v>34</v>
      </c>
      <c r="AQ137" t="str">
        <f t="shared" si="51"/>
        <v>Paid</v>
      </c>
      <c r="AR137" t="s">
        <v>35</v>
      </c>
      <c r="AS137" t="str">
        <f t="shared" si="52"/>
        <v>Completed</v>
      </c>
      <c r="AT137" t="str">
        <f t="shared" si="53"/>
        <v>Clean</v>
      </c>
    </row>
    <row r="138" spans="1:46">
      <c r="A138" t="s">
        <v>769</v>
      </c>
      <c r="B138">
        <f>COUNTIF($D$2:D138,D138)</f>
        <v>1</v>
      </c>
      <c r="C138" t="str">
        <f>IF(COUNTIF($A:$A,A138)=1,
"Unique",
IF(COUNTIFS($A:$A,A138,$N:$N,N138,$AF:$AF,AF138,$AJ:$AJ,AJ138)&gt;1,
"Exact Duplicate",
"Conflicting Duplicate"))</f>
        <v>Unique</v>
      </c>
      <c r="D138" t="s">
        <v>770</v>
      </c>
      <c r="E138" t="s">
        <v>771</v>
      </c>
      <c r="F138" s="3">
        <v>45902</v>
      </c>
      <c r="G138" s="3">
        <v>45703</v>
      </c>
      <c r="H138" s="5" t="str">
        <f t="shared" si="36"/>
        <v>September</v>
      </c>
      <c r="I138" s="5">
        <f t="shared" si="37"/>
        <v>2025</v>
      </c>
      <c r="J138" t="str">
        <f>IF(F138="","Missing Date",
IF(ISNUMBER(F138),"Valid","Invalid Date"))</f>
        <v>Valid</v>
      </c>
      <c r="K138" t="str">
        <f t="shared" si="38"/>
        <v>Valid</v>
      </c>
      <c r="L138">
        <f>G138-F138</f>
        <v>-199</v>
      </c>
      <c r="M138" t="s">
        <v>772</v>
      </c>
      <c r="N138" t="s">
        <v>40</v>
      </c>
      <c r="O138" t="str">
        <f t="shared" si="39"/>
        <v>Mira Das</v>
      </c>
      <c r="P138" t="s">
        <v>115</v>
      </c>
      <c r="Q138" t="str">
        <f t="shared" si="40"/>
        <v>Home Office</v>
      </c>
      <c r="R138" t="s">
        <v>42</v>
      </c>
      <c r="S138" t="str">
        <f t="shared" si="41"/>
        <v>East</v>
      </c>
      <c r="T138" t="s">
        <v>311</v>
      </c>
      <c r="U138" t="str">
        <f t="shared" si="42"/>
        <v>Jharkhand</v>
      </c>
      <c r="V138" t="s">
        <v>312</v>
      </c>
      <c r="W138" t="str">
        <f t="shared" si="43"/>
        <v>Ranchi</v>
      </c>
      <c r="X138" t="s">
        <v>30</v>
      </c>
      <c r="Y138" t="str">
        <f t="shared" si="44"/>
        <v>Office Supplies</v>
      </c>
      <c r="Z138" t="s">
        <v>198</v>
      </c>
      <c r="AA138" t="str">
        <f t="shared" si="45"/>
        <v>Binders</v>
      </c>
      <c r="AB138" t="s">
        <v>773</v>
      </c>
      <c r="AC138" t="s">
        <v>774</v>
      </c>
      <c r="AD138" t="str">
        <f t="shared" si="46"/>
        <v>Standard Class</v>
      </c>
      <c r="AE138">
        <v>9</v>
      </c>
      <c r="AF138">
        <v>4330.33</v>
      </c>
      <c r="AG138">
        <v>0.2</v>
      </c>
      <c r="AH138">
        <v>0.2</v>
      </c>
      <c r="AI138" t="str">
        <f t="shared" si="47"/>
        <v>Valid</v>
      </c>
      <c r="AJ138">
        <v>31178.38</v>
      </c>
      <c r="AK138">
        <f t="shared" si="48"/>
        <v>31178.376000000004</v>
      </c>
      <c r="AL138">
        <v>21421.09</v>
      </c>
      <c r="AM138">
        <v>9757.2900000000009</v>
      </c>
      <c r="AN138">
        <f t="shared" si="49"/>
        <v>9757.2860000000037</v>
      </c>
      <c r="AO138">
        <f t="shared" si="50"/>
        <v>-21421.09</v>
      </c>
      <c r="AP138" t="s">
        <v>34</v>
      </c>
      <c r="AQ138" t="str">
        <f t="shared" si="51"/>
        <v>Paid</v>
      </c>
      <c r="AR138" t="s">
        <v>35</v>
      </c>
      <c r="AS138" t="str">
        <f t="shared" si="52"/>
        <v>Completed</v>
      </c>
      <c r="AT138" t="str">
        <f t="shared" si="53"/>
        <v>Clean</v>
      </c>
    </row>
    <row r="139" spans="1:46">
      <c r="A139" t="s">
        <v>775</v>
      </c>
      <c r="B139">
        <f>COUNTIF($D$2:D139,D139)</f>
        <v>1</v>
      </c>
      <c r="C139" t="str">
        <f>IF(COUNTIF($A:$A,A139)=1,
"Unique",
IF(COUNTIFS($A:$A,A139,$N:$N,N139,$AF:$AF,AF139,$AJ:$AJ,AJ139)&gt;1,
"Exact Duplicate",
"Conflicting Duplicate"))</f>
        <v>Unique</v>
      </c>
      <c r="D139" t="s">
        <v>776</v>
      </c>
      <c r="E139" t="s">
        <v>777</v>
      </c>
      <c r="F139" s="3">
        <v>45666</v>
      </c>
      <c r="G139" s="3">
        <v>45901</v>
      </c>
      <c r="H139" s="5" t="str">
        <f t="shared" si="36"/>
        <v>January</v>
      </c>
      <c r="I139" s="5">
        <f t="shared" si="37"/>
        <v>2025</v>
      </c>
      <c r="J139" t="str">
        <f>IF(F139="","Missing Date",
IF(ISNUMBER(F139),"Valid","Invalid Date"))</f>
        <v>Valid</v>
      </c>
      <c r="K139" t="str">
        <f t="shared" si="38"/>
        <v>Valid</v>
      </c>
      <c r="L139">
        <f>G139-F139</f>
        <v>235</v>
      </c>
      <c r="M139" t="s">
        <v>778</v>
      </c>
      <c r="N139" t="s">
        <v>168</v>
      </c>
      <c r="O139" t="str">
        <f t="shared" si="39"/>
        <v>Sneha Kapoor</v>
      </c>
      <c r="P139" t="s">
        <v>41</v>
      </c>
      <c r="Q139" t="str">
        <f t="shared" si="40"/>
        <v>Small Business</v>
      </c>
      <c r="R139" t="s">
        <v>27</v>
      </c>
      <c r="S139" t="str">
        <f t="shared" si="41"/>
        <v>North</v>
      </c>
      <c r="T139" t="s">
        <v>28</v>
      </c>
      <c r="U139" t="str">
        <f t="shared" si="42"/>
        <v>Rajasthan</v>
      </c>
      <c r="V139" t="s">
        <v>29</v>
      </c>
      <c r="W139" t="str">
        <f t="shared" si="43"/>
        <v>Jaipur</v>
      </c>
      <c r="X139" t="s">
        <v>45</v>
      </c>
      <c r="Y139" t="str">
        <f t="shared" si="44"/>
        <v>Furniture</v>
      </c>
      <c r="Z139" t="s">
        <v>76</v>
      </c>
      <c r="AA139" t="str">
        <f t="shared" si="45"/>
        <v>Chairs</v>
      </c>
      <c r="AB139" t="s">
        <v>779</v>
      </c>
      <c r="AC139" t="s">
        <v>48</v>
      </c>
      <c r="AD139" t="str">
        <f t="shared" si="46"/>
        <v>Same Day</v>
      </c>
      <c r="AE139">
        <v>8</v>
      </c>
      <c r="AF139">
        <v>2667.07</v>
      </c>
      <c r="AG139">
        <v>0.1</v>
      </c>
      <c r="AH139">
        <v>0.1</v>
      </c>
      <c r="AI139" t="str">
        <f t="shared" si="47"/>
        <v>Valid</v>
      </c>
      <c r="AJ139">
        <v>19202.900000000001</v>
      </c>
      <c r="AK139">
        <f t="shared" si="48"/>
        <v>19202.904000000002</v>
      </c>
      <c r="AL139">
        <v>15526.62</v>
      </c>
      <c r="AM139">
        <v>3676.28</v>
      </c>
      <c r="AN139">
        <f t="shared" si="49"/>
        <v>3676.2840000000015</v>
      </c>
      <c r="AO139">
        <f t="shared" si="50"/>
        <v>-15526.62</v>
      </c>
      <c r="AP139" t="s">
        <v>34</v>
      </c>
      <c r="AQ139" t="str">
        <f t="shared" si="51"/>
        <v>Paid</v>
      </c>
      <c r="AR139" t="s">
        <v>35</v>
      </c>
      <c r="AS139" t="str">
        <f t="shared" si="52"/>
        <v>Completed</v>
      </c>
      <c r="AT139" t="str">
        <f t="shared" si="53"/>
        <v>Clean</v>
      </c>
    </row>
    <row r="140" spans="1:46">
      <c r="A140" t="s">
        <v>780</v>
      </c>
      <c r="B140">
        <f>COUNTIF($D$2:D140,D140)</f>
        <v>1</v>
      </c>
      <c r="C140" t="str">
        <f>IF(COUNTIF($A:$A,A140)=1,
"Unique",
IF(COUNTIFS($A:$A,A140,$N:$N,N140,$AF:$AF,AF140,$AJ:$AJ,AJ140)&gt;1,
"Exact Duplicate",
"Conflicting Duplicate"))</f>
        <v>Unique</v>
      </c>
      <c r="D140" t="s">
        <v>781</v>
      </c>
      <c r="E140" t="s">
        <v>782</v>
      </c>
      <c r="F140" s="3">
        <v>45311</v>
      </c>
      <c r="G140" s="3">
        <v>45317</v>
      </c>
      <c r="H140" s="5" t="str">
        <f t="shared" si="36"/>
        <v>January</v>
      </c>
      <c r="I140" s="5">
        <f t="shared" si="37"/>
        <v>2024</v>
      </c>
      <c r="J140" t="str">
        <f>IF(F140="","Missing Date",
IF(ISNUMBER(F140),"Valid","Invalid Date"))</f>
        <v>Valid</v>
      </c>
      <c r="K140" t="str">
        <f t="shared" si="38"/>
        <v>Valid</v>
      </c>
      <c r="L140">
        <f>G140-F140</f>
        <v>6</v>
      </c>
      <c r="M140" t="s">
        <v>783</v>
      </c>
      <c r="N140" t="s">
        <v>210</v>
      </c>
      <c r="O140" t="str">
        <f t="shared" si="39"/>
        <v>Diya Patel</v>
      </c>
      <c r="P140" t="s">
        <v>115</v>
      </c>
      <c r="Q140" t="str">
        <f t="shared" si="40"/>
        <v>Home Office</v>
      </c>
      <c r="R140" t="s">
        <v>42</v>
      </c>
      <c r="S140" t="str">
        <f t="shared" si="41"/>
        <v>East</v>
      </c>
      <c r="T140" t="s">
        <v>311</v>
      </c>
      <c r="U140" t="str">
        <f t="shared" si="42"/>
        <v>Jharkhand</v>
      </c>
      <c r="V140" t="s">
        <v>312</v>
      </c>
      <c r="W140" t="str">
        <f t="shared" si="43"/>
        <v>Ranchi</v>
      </c>
      <c r="X140" t="s">
        <v>86</v>
      </c>
      <c r="Y140" t="str">
        <f t="shared" si="44"/>
        <v>Technology</v>
      </c>
      <c r="Z140" t="s">
        <v>382</v>
      </c>
      <c r="AA140" t="str">
        <f t="shared" si="45"/>
        <v>Machines</v>
      </c>
      <c r="AB140" t="s">
        <v>784</v>
      </c>
      <c r="AC140" t="s">
        <v>67</v>
      </c>
      <c r="AD140" t="str">
        <f t="shared" si="46"/>
        <v>Standard Class</v>
      </c>
      <c r="AE140">
        <v>8</v>
      </c>
      <c r="AF140">
        <v>4003.05</v>
      </c>
      <c r="AG140">
        <v>0.25</v>
      </c>
      <c r="AH140">
        <v>0.25</v>
      </c>
      <c r="AI140" t="str">
        <f t="shared" si="47"/>
        <v>Valid</v>
      </c>
      <c r="AJ140">
        <v>24018.3</v>
      </c>
      <c r="AK140">
        <f t="shared" si="48"/>
        <v>24018.300000000003</v>
      </c>
      <c r="AL140">
        <v>14070.78</v>
      </c>
      <c r="AM140">
        <v>9947.52</v>
      </c>
      <c r="AN140">
        <f t="shared" si="49"/>
        <v>9947.5200000000023</v>
      </c>
      <c r="AO140">
        <f t="shared" si="50"/>
        <v>-14070.78</v>
      </c>
      <c r="AP140" t="s">
        <v>34</v>
      </c>
      <c r="AQ140" t="str">
        <f t="shared" si="51"/>
        <v>Paid</v>
      </c>
      <c r="AR140" t="s">
        <v>35</v>
      </c>
      <c r="AS140" t="str">
        <f t="shared" si="52"/>
        <v>Completed</v>
      </c>
      <c r="AT140" t="str">
        <f t="shared" si="53"/>
        <v>Clean</v>
      </c>
    </row>
    <row r="141" spans="1:46">
      <c r="A141" t="s">
        <v>785</v>
      </c>
      <c r="B141">
        <f>COUNTIF($D$2:D141,D141)</f>
        <v>2</v>
      </c>
      <c r="C141" t="str">
        <f>IF(COUNTIF($A:$A,A141)=1,
"Unique",
IF(COUNTIFS($A:$A,A141,$N:$N,N141,$AF:$AF,AF141,$AJ:$AJ,AJ141)&gt;1,
"Exact Duplicate",
"Conflicting Duplicate"))</f>
        <v>Unique</v>
      </c>
      <c r="D141" t="s">
        <v>786</v>
      </c>
      <c r="E141" t="s">
        <v>787</v>
      </c>
      <c r="F141" s="3">
        <v>45718</v>
      </c>
      <c r="G141" s="3">
        <v>45841</v>
      </c>
      <c r="H141" s="5" t="str">
        <f t="shared" si="36"/>
        <v>March</v>
      </c>
      <c r="I141" s="5">
        <f t="shared" si="37"/>
        <v>2025</v>
      </c>
      <c r="J141" t="str">
        <f>IF(F141="","Missing Date",
IF(ISNUMBER(F141),"Valid","Invalid Date"))</f>
        <v>Valid</v>
      </c>
      <c r="K141" t="str">
        <f t="shared" si="38"/>
        <v>Valid</v>
      </c>
      <c r="L141">
        <f>G141-F141</f>
        <v>123</v>
      </c>
      <c r="M141" t="s">
        <v>788</v>
      </c>
      <c r="N141" t="s">
        <v>93</v>
      </c>
      <c r="O141" t="str">
        <f t="shared" si="39"/>
        <v>Neha Gupta</v>
      </c>
      <c r="P141" t="s">
        <v>115</v>
      </c>
      <c r="Q141" t="str">
        <f t="shared" si="40"/>
        <v>Home Office</v>
      </c>
      <c r="R141" t="s">
        <v>62</v>
      </c>
      <c r="S141" t="str">
        <f t="shared" si="41"/>
        <v>South</v>
      </c>
      <c r="T141" t="s">
        <v>229</v>
      </c>
      <c r="U141" t="str">
        <f t="shared" si="42"/>
        <v>Karnataka</v>
      </c>
      <c r="V141" t="s">
        <v>230</v>
      </c>
      <c r="W141" t="str">
        <f t="shared" si="43"/>
        <v>Bengaluru</v>
      </c>
      <c r="X141" t="s">
        <v>30</v>
      </c>
      <c r="Y141" t="str">
        <f t="shared" si="44"/>
        <v>Office Supplies</v>
      </c>
      <c r="Z141" t="s">
        <v>109</v>
      </c>
      <c r="AA141" t="str">
        <f t="shared" si="45"/>
        <v>Labels</v>
      </c>
      <c r="AB141" t="s">
        <v>789</v>
      </c>
      <c r="AC141" t="s">
        <v>67</v>
      </c>
      <c r="AD141" t="str">
        <f t="shared" si="46"/>
        <v>Standard Class</v>
      </c>
      <c r="AE141">
        <v>8</v>
      </c>
      <c r="AF141">
        <v>1287.6300000000001</v>
      </c>
      <c r="AG141">
        <v>0</v>
      </c>
      <c r="AH141">
        <v>0</v>
      </c>
      <c r="AI141" t="str">
        <f t="shared" si="47"/>
        <v>Valid</v>
      </c>
      <c r="AJ141">
        <v>10301.040000000001</v>
      </c>
      <c r="AK141">
        <f t="shared" si="48"/>
        <v>10301.040000000001</v>
      </c>
      <c r="AL141">
        <v>6564.06</v>
      </c>
      <c r="AM141">
        <v>3736.98</v>
      </c>
      <c r="AN141">
        <f t="shared" si="49"/>
        <v>3736.9800000000005</v>
      </c>
      <c r="AO141">
        <f t="shared" si="50"/>
        <v>-6564.06</v>
      </c>
      <c r="AP141" t="s">
        <v>34</v>
      </c>
      <c r="AQ141" t="str">
        <f t="shared" si="51"/>
        <v>Paid</v>
      </c>
      <c r="AR141" t="s">
        <v>35</v>
      </c>
      <c r="AS141" t="str">
        <f t="shared" si="52"/>
        <v>Completed</v>
      </c>
      <c r="AT141" t="str">
        <f t="shared" si="53"/>
        <v>Clean</v>
      </c>
    </row>
    <row r="142" spans="1:46">
      <c r="A142" t="s">
        <v>790</v>
      </c>
      <c r="B142">
        <f>COUNTIF($D$2:D142,D142)</f>
        <v>1</v>
      </c>
      <c r="C142" t="str">
        <f>IF(COUNTIF($A:$A,A142)=1,
"Unique",
IF(COUNTIFS($A:$A,A142,$N:$N,N142,$AF:$AF,AF142,$AJ:$AJ,AJ142)&gt;1,
"Exact Duplicate",
"Conflicting Duplicate"))</f>
        <v>Unique</v>
      </c>
      <c r="D142" t="s">
        <v>791</v>
      </c>
      <c r="E142" t="s">
        <v>792</v>
      </c>
      <c r="F142" s="3">
        <v>45443</v>
      </c>
      <c r="G142" s="2">
        <v>45297</v>
      </c>
      <c r="H142" s="5" t="str">
        <f t="shared" si="36"/>
        <v>May</v>
      </c>
      <c r="I142" s="5">
        <f t="shared" si="37"/>
        <v>2024</v>
      </c>
      <c r="J142" t="str">
        <f>IF(F142="","Missing Date",
IF(ISNUMBER(F142),"Valid","Invalid Date"))</f>
        <v>Valid</v>
      </c>
      <c r="K142" t="str">
        <f t="shared" si="38"/>
        <v>Valid</v>
      </c>
      <c r="L142">
        <f>G142-F142</f>
        <v>-146</v>
      </c>
      <c r="M142" t="s">
        <v>793</v>
      </c>
      <c r="N142" t="s">
        <v>40</v>
      </c>
      <c r="O142" t="str">
        <f t="shared" si="39"/>
        <v>Mira Das</v>
      </c>
      <c r="P142" t="s">
        <v>108</v>
      </c>
      <c r="Q142" t="str">
        <f t="shared" si="40"/>
        <v>Corporate</v>
      </c>
      <c r="R142" t="s">
        <v>62</v>
      </c>
      <c r="S142" t="str">
        <f t="shared" si="41"/>
        <v>South</v>
      </c>
      <c r="T142" t="s">
        <v>229</v>
      </c>
      <c r="U142" t="str">
        <f t="shared" si="42"/>
        <v>Karnataka</v>
      </c>
      <c r="V142" t="s">
        <v>230</v>
      </c>
      <c r="W142" t="str">
        <f t="shared" si="43"/>
        <v>Bengaluru</v>
      </c>
      <c r="X142" t="s">
        <v>45</v>
      </c>
      <c r="Y142" t="str">
        <f t="shared" si="44"/>
        <v>Furniture</v>
      </c>
      <c r="Z142" t="s">
        <v>204</v>
      </c>
      <c r="AA142" t="str">
        <f t="shared" si="45"/>
        <v>Bookcases</v>
      </c>
      <c r="AB142" t="s">
        <v>794</v>
      </c>
      <c r="AC142" t="s">
        <v>48</v>
      </c>
      <c r="AD142" t="str">
        <f t="shared" si="46"/>
        <v>Same Day</v>
      </c>
      <c r="AE142">
        <v>3</v>
      </c>
      <c r="AF142">
        <v>2914.55</v>
      </c>
      <c r="AG142">
        <v>0</v>
      </c>
      <c r="AH142">
        <v>0</v>
      </c>
      <c r="AI142" t="str">
        <f t="shared" si="47"/>
        <v>Valid</v>
      </c>
      <c r="AJ142">
        <v>8743.65</v>
      </c>
      <c r="AK142">
        <f t="shared" si="48"/>
        <v>8743.6500000000015</v>
      </c>
      <c r="AL142">
        <v>6603.76</v>
      </c>
      <c r="AM142">
        <v>2139.89</v>
      </c>
      <c r="AN142">
        <f t="shared" si="49"/>
        <v>2139.8900000000012</v>
      </c>
      <c r="AO142">
        <f t="shared" si="50"/>
        <v>-6603.76</v>
      </c>
      <c r="AP142" t="s">
        <v>34</v>
      </c>
      <c r="AQ142" t="str">
        <f t="shared" si="51"/>
        <v>Paid</v>
      </c>
      <c r="AR142" t="s">
        <v>35</v>
      </c>
      <c r="AS142" t="str">
        <f t="shared" si="52"/>
        <v>Completed</v>
      </c>
      <c r="AT142" t="str">
        <f t="shared" si="53"/>
        <v>Clean</v>
      </c>
    </row>
    <row r="143" spans="1:46">
      <c r="A143" t="s">
        <v>795</v>
      </c>
      <c r="B143">
        <f>COUNTIF($D$2:D143,D143)</f>
        <v>1</v>
      </c>
      <c r="C143" t="str">
        <f>IF(COUNTIF($A:$A,A143)=1,
"Unique",
IF(COUNTIFS($A:$A,A143,$N:$N,N143,$AF:$AF,AF143,$AJ:$AJ,AJ143)&gt;1,
"Exact Duplicate",
"Conflicting Duplicate"))</f>
        <v>Unique</v>
      </c>
      <c r="D143" t="s">
        <v>796</v>
      </c>
      <c r="E143" t="s">
        <v>797</v>
      </c>
      <c r="F143" s="3">
        <v>45374</v>
      </c>
      <c r="G143" s="3">
        <v>45380</v>
      </c>
      <c r="H143" s="5" t="str">
        <f t="shared" si="36"/>
        <v>March</v>
      </c>
      <c r="I143" s="5">
        <f t="shared" si="37"/>
        <v>2024</v>
      </c>
      <c r="J143" t="str">
        <f>IF(F143="","Missing Date",
IF(ISNUMBER(F143),"Valid","Invalid Date"))</f>
        <v>Valid</v>
      </c>
      <c r="K143" t="str">
        <f t="shared" si="38"/>
        <v>Valid</v>
      </c>
      <c r="L143">
        <f>G143-F143</f>
        <v>6</v>
      </c>
      <c r="M143" t="s">
        <v>798</v>
      </c>
      <c r="N143" t="s">
        <v>142</v>
      </c>
      <c r="O143" t="str">
        <f t="shared" si="39"/>
        <v>Priya Menon</v>
      </c>
      <c r="P143" t="s">
        <v>108</v>
      </c>
      <c r="Q143" t="str">
        <f t="shared" si="40"/>
        <v>Corporate</v>
      </c>
      <c r="R143" t="s">
        <v>27</v>
      </c>
      <c r="S143" t="str">
        <f t="shared" si="41"/>
        <v>North</v>
      </c>
      <c r="T143" t="s">
        <v>506</v>
      </c>
      <c r="U143" t="str">
        <f t="shared" si="42"/>
        <v>Delhi</v>
      </c>
      <c r="V143" t="s">
        <v>507</v>
      </c>
      <c r="W143" t="str">
        <f t="shared" si="43"/>
        <v>New Delhi</v>
      </c>
      <c r="X143" t="s">
        <v>45</v>
      </c>
      <c r="Y143" t="str">
        <f t="shared" si="44"/>
        <v>Furniture</v>
      </c>
      <c r="Z143" t="s">
        <v>204</v>
      </c>
      <c r="AA143" t="str">
        <f t="shared" si="45"/>
        <v>Bookcases</v>
      </c>
      <c r="AB143" t="s">
        <v>799</v>
      </c>
      <c r="AC143" t="s">
        <v>48</v>
      </c>
      <c r="AD143" t="str">
        <f t="shared" si="46"/>
        <v>Same Day</v>
      </c>
      <c r="AE143">
        <v>7</v>
      </c>
      <c r="AF143">
        <v>634.29</v>
      </c>
      <c r="AG143">
        <v>0.1</v>
      </c>
      <c r="AH143">
        <v>0.1</v>
      </c>
      <c r="AI143" t="str">
        <f t="shared" si="47"/>
        <v>Valid</v>
      </c>
      <c r="AJ143">
        <v>3996.03</v>
      </c>
      <c r="AK143">
        <f t="shared" si="48"/>
        <v>3996.027</v>
      </c>
      <c r="AL143">
        <v>2859.51</v>
      </c>
      <c r="AM143">
        <v>1136.52</v>
      </c>
      <c r="AN143">
        <f t="shared" si="49"/>
        <v>1136.5169999999998</v>
      </c>
      <c r="AO143">
        <f t="shared" si="50"/>
        <v>-2859.51</v>
      </c>
      <c r="AP143" t="s">
        <v>34</v>
      </c>
      <c r="AQ143" t="str">
        <f t="shared" si="51"/>
        <v>Paid</v>
      </c>
      <c r="AR143" t="s">
        <v>125</v>
      </c>
      <c r="AS143" t="str">
        <f t="shared" si="52"/>
        <v>Returned</v>
      </c>
      <c r="AT143" t="str">
        <f t="shared" si="53"/>
        <v>Clean</v>
      </c>
    </row>
    <row r="144" spans="1:46">
      <c r="A144" t="s">
        <v>800</v>
      </c>
      <c r="B144">
        <f>COUNTIF($D$2:D144,D144)</f>
        <v>1</v>
      </c>
      <c r="C144" t="str">
        <f>IF(COUNTIF($A:$A,A144)=1,
"Unique",
IF(COUNTIFS($A:$A,A144,$N:$N,N144,$AF:$AF,AF144,$AJ:$AJ,AJ144)&gt;1,
"Exact Duplicate",
"Conflicting Duplicate"))</f>
        <v>Conflicting Duplicate</v>
      </c>
      <c r="D144" t="s">
        <v>801</v>
      </c>
      <c r="E144" t="s">
        <v>802</v>
      </c>
      <c r="F144" s="2">
        <v>45381</v>
      </c>
      <c r="G144" s="2">
        <v>45377</v>
      </c>
      <c r="H144" s="5" t="str">
        <f t="shared" si="36"/>
        <v>March</v>
      </c>
      <c r="I144" s="5">
        <f t="shared" si="37"/>
        <v>2024</v>
      </c>
      <c r="J144" t="str">
        <f>IF(F144="","Missing Date",
IF(ISNUMBER(F144),"Valid","Invalid Date"))</f>
        <v>Valid</v>
      </c>
      <c r="K144" t="str">
        <f t="shared" si="38"/>
        <v>Valid</v>
      </c>
      <c r="L144">
        <f>G144-F144</f>
        <v>-4</v>
      </c>
      <c r="M144" t="s">
        <v>803</v>
      </c>
      <c r="N144" t="s">
        <v>107</v>
      </c>
      <c r="O144" t="str">
        <f t="shared" si="39"/>
        <v>Aditi Sen</v>
      </c>
      <c r="P144" t="s">
        <v>115</v>
      </c>
      <c r="Q144" t="str">
        <f t="shared" si="40"/>
        <v>Home Office</v>
      </c>
      <c r="R144" t="s">
        <v>27</v>
      </c>
      <c r="S144" t="str">
        <f t="shared" si="41"/>
        <v>North</v>
      </c>
      <c r="T144" t="s">
        <v>28</v>
      </c>
      <c r="U144" t="str">
        <f t="shared" si="42"/>
        <v>Rajasthan</v>
      </c>
      <c r="V144" t="s">
        <v>29</v>
      </c>
      <c r="W144" t="str">
        <f t="shared" si="43"/>
        <v>Jaipur</v>
      </c>
      <c r="X144" t="s">
        <v>86</v>
      </c>
      <c r="Y144" t="str">
        <f t="shared" si="44"/>
        <v>Technology</v>
      </c>
      <c r="Z144" t="s">
        <v>223</v>
      </c>
      <c r="AA144" t="str">
        <f t="shared" si="45"/>
        <v>Phones</v>
      </c>
      <c r="AB144" t="s">
        <v>804</v>
      </c>
      <c r="AC144" t="s">
        <v>33</v>
      </c>
      <c r="AD144" t="str">
        <f t="shared" si="46"/>
        <v>Second Class</v>
      </c>
      <c r="AE144">
        <v>5</v>
      </c>
      <c r="AF144">
        <v>907.54</v>
      </c>
      <c r="AG144">
        <v>0.15</v>
      </c>
      <c r="AH144">
        <v>0.15</v>
      </c>
      <c r="AI144" t="str">
        <f t="shared" si="47"/>
        <v>Valid</v>
      </c>
      <c r="AJ144">
        <v>3857.04</v>
      </c>
      <c r="AK144">
        <f t="shared" si="48"/>
        <v>3857.0449999999996</v>
      </c>
      <c r="AL144">
        <v>2769.26</v>
      </c>
      <c r="AM144">
        <v>1087.78</v>
      </c>
      <c r="AN144">
        <f t="shared" si="49"/>
        <v>1087.7849999999994</v>
      </c>
      <c r="AO144">
        <f t="shared" si="50"/>
        <v>-2769.26</v>
      </c>
      <c r="AP144" t="s">
        <v>34</v>
      </c>
      <c r="AQ144" t="str">
        <f t="shared" si="51"/>
        <v>Paid</v>
      </c>
      <c r="AR144" t="s">
        <v>35</v>
      </c>
      <c r="AS144" t="str">
        <f t="shared" si="52"/>
        <v>Completed</v>
      </c>
      <c r="AT144" t="str">
        <f t="shared" si="53"/>
        <v>Clean</v>
      </c>
    </row>
    <row r="145" spans="1:46">
      <c r="A145" t="s">
        <v>805</v>
      </c>
      <c r="B145">
        <f>COUNTIF($D$2:D145,D145)</f>
        <v>2</v>
      </c>
      <c r="C145" t="str">
        <f>IF(COUNTIF($A:$A,A145)=1,
"Unique",
IF(COUNTIFS($A:$A,A145,$N:$N,N145,$AF:$AF,AF145,$AJ:$AJ,AJ145)&gt;1,
"Exact Duplicate",
"Conflicting Duplicate"))</f>
        <v>Unique</v>
      </c>
      <c r="D145" t="s">
        <v>542</v>
      </c>
      <c r="E145" t="s">
        <v>806</v>
      </c>
      <c r="F145" s="3">
        <v>45375</v>
      </c>
      <c r="G145" s="3">
        <v>45377</v>
      </c>
      <c r="H145" s="5" t="str">
        <f t="shared" si="36"/>
        <v>March</v>
      </c>
      <c r="I145" s="5">
        <f t="shared" si="37"/>
        <v>2024</v>
      </c>
      <c r="J145" t="str">
        <f>IF(F145="","Missing Date",
IF(ISNUMBER(F145),"Valid","Invalid Date"))</f>
        <v>Valid</v>
      </c>
      <c r="K145" t="str">
        <f t="shared" si="38"/>
        <v>Valid</v>
      </c>
      <c r="L145">
        <f>G145-F145</f>
        <v>2</v>
      </c>
      <c r="M145" t="s">
        <v>807</v>
      </c>
      <c r="N145" t="s">
        <v>142</v>
      </c>
      <c r="O145" t="str">
        <f t="shared" si="39"/>
        <v>Priya Menon</v>
      </c>
      <c r="P145" t="s">
        <v>26</v>
      </c>
      <c r="Q145" t="str">
        <f t="shared" si="40"/>
        <v>Consumer</v>
      </c>
      <c r="R145" t="s">
        <v>73</v>
      </c>
      <c r="S145" t="str">
        <f t="shared" si="41"/>
        <v>West</v>
      </c>
      <c r="T145" t="s">
        <v>235</v>
      </c>
      <c r="U145" t="str">
        <f t="shared" si="42"/>
        <v>Gujarat</v>
      </c>
      <c r="V145" t="s">
        <v>236</v>
      </c>
      <c r="W145" t="str">
        <f t="shared" si="43"/>
        <v>Ahmedabad</v>
      </c>
      <c r="X145" t="s">
        <v>30</v>
      </c>
      <c r="Y145" t="str">
        <f t="shared" si="44"/>
        <v>Office Supplies</v>
      </c>
      <c r="Z145" t="s">
        <v>31</v>
      </c>
      <c r="AA145" t="str">
        <f t="shared" si="45"/>
        <v>Paper</v>
      </c>
      <c r="AB145" t="s">
        <v>808</v>
      </c>
      <c r="AC145" t="s">
        <v>33</v>
      </c>
      <c r="AD145" t="str">
        <f t="shared" si="46"/>
        <v>Second Class</v>
      </c>
      <c r="AE145">
        <v>1</v>
      </c>
      <c r="AF145">
        <v>3409.5</v>
      </c>
      <c r="AG145">
        <v>0.1</v>
      </c>
      <c r="AH145">
        <v>0.1</v>
      </c>
      <c r="AI145" t="str">
        <f t="shared" si="47"/>
        <v>Valid</v>
      </c>
      <c r="AJ145">
        <v>3068.55</v>
      </c>
      <c r="AK145">
        <f t="shared" si="48"/>
        <v>3068.55</v>
      </c>
      <c r="AL145">
        <v>1916.16</v>
      </c>
      <c r="AM145">
        <v>1152.3900000000001</v>
      </c>
      <c r="AN145">
        <f t="shared" si="49"/>
        <v>1152.3900000000001</v>
      </c>
      <c r="AO145">
        <f t="shared" si="50"/>
        <v>-1916.16</v>
      </c>
      <c r="AP145" t="s">
        <v>34</v>
      </c>
      <c r="AQ145" t="str">
        <f t="shared" si="51"/>
        <v>Paid</v>
      </c>
      <c r="AR145" t="s">
        <v>125</v>
      </c>
      <c r="AS145" t="str">
        <f t="shared" si="52"/>
        <v>Returned</v>
      </c>
      <c r="AT145" t="str">
        <f t="shared" si="53"/>
        <v>Clean</v>
      </c>
    </row>
    <row r="146" spans="1:46">
      <c r="A146" t="s">
        <v>809</v>
      </c>
      <c r="B146">
        <f>COUNTIF($D$2:D146,D146)</f>
        <v>1</v>
      </c>
      <c r="C146" t="str">
        <f>IF(COUNTIF($A:$A,A146)=1,
"Unique",
IF(COUNTIFS($A:$A,A146,$N:$N,N146,$AF:$AF,AF146,$AJ:$AJ,AJ146)&gt;1,
"Exact Duplicate",
"Conflicting Duplicate"))</f>
        <v>Unique</v>
      </c>
      <c r="D146" t="s">
        <v>578</v>
      </c>
      <c r="E146" t="s">
        <v>810</v>
      </c>
      <c r="F146" s="3">
        <v>45479</v>
      </c>
      <c r="G146" s="3">
        <v>45458</v>
      </c>
      <c r="H146" s="5" t="str">
        <f t="shared" si="36"/>
        <v>July</v>
      </c>
      <c r="I146" s="5">
        <f t="shared" si="37"/>
        <v>2024</v>
      </c>
      <c r="J146" t="str">
        <f>IF(F146="","Missing Date",
IF(ISNUMBER(F146),"Valid","Invalid Date"))</f>
        <v>Valid</v>
      </c>
      <c r="K146" t="str">
        <f t="shared" si="38"/>
        <v>Valid</v>
      </c>
      <c r="L146">
        <f>G146-F146</f>
        <v>-21</v>
      </c>
      <c r="M146" t="s">
        <v>811</v>
      </c>
      <c r="N146" t="s">
        <v>366</v>
      </c>
      <c r="O146" t="str">
        <f t="shared" si="39"/>
        <v>Kabir Singh</v>
      </c>
      <c r="P146" t="s">
        <v>41</v>
      </c>
      <c r="Q146" t="str">
        <f t="shared" si="40"/>
        <v>Small Business</v>
      </c>
      <c r="R146" t="s">
        <v>62</v>
      </c>
      <c r="S146" t="str">
        <f t="shared" si="41"/>
        <v>South</v>
      </c>
      <c r="T146" t="s">
        <v>63</v>
      </c>
      <c r="U146" t="str">
        <f t="shared" si="42"/>
        <v>Telangana</v>
      </c>
      <c r="V146" t="s">
        <v>64</v>
      </c>
      <c r="W146" t="str">
        <f t="shared" si="43"/>
        <v>Hyderabad</v>
      </c>
      <c r="X146" t="s">
        <v>86</v>
      </c>
      <c r="Y146" t="str">
        <f t="shared" si="44"/>
        <v>Technology</v>
      </c>
      <c r="Z146" t="s">
        <v>87</v>
      </c>
      <c r="AA146" t="str">
        <f t="shared" si="45"/>
        <v>Accessories</v>
      </c>
      <c r="AB146" t="s">
        <v>812</v>
      </c>
      <c r="AC146" t="s">
        <v>56</v>
      </c>
      <c r="AD146" t="str">
        <f t="shared" si="46"/>
        <v>First Class</v>
      </c>
      <c r="AE146">
        <v>7</v>
      </c>
      <c r="AF146">
        <v>2147.9899999999998</v>
      </c>
      <c r="AG146">
        <v>0.25</v>
      </c>
      <c r="AH146">
        <v>0.25</v>
      </c>
      <c r="AI146" t="str">
        <f t="shared" si="47"/>
        <v>Valid</v>
      </c>
      <c r="AJ146">
        <v>11276.95</v>
      </c>
      <c r="AK146">
        <f t="shared" si="48"/>
        <v>11276.947499999998</v>
      </c>
      <c r="AL146">
        <v>6908.76</v>
      </c>
      <c r="AM146">
        <v>4368.1899999999996</v>
      </c>
      <c r="AN146">
        <f t="shared" si="49"/>
        <v>4368.1874999999982</v>
      </c>
      <c r="AO146">
        <f t="shared" si="50"/>
        <v>-6908.76</v>
      </c>
      <c r="AP146" t="s">
        <v>124</v>
      </c>
      <c r="AQ146" t="str">
        <f t="shared" si="51"/>
        <v>Refunded</v>
      </c>
      <c r="AR146" t="s">
        <v>125</v>
      </c>
      <c r="AS146" t="str">
        <f t="shared" si="52"/>
        <v>Returned</v>
      </c>
      <c r="AT146" t="str">
        <f t="shared" si="53"/>
        <v>Clean</v>
      </c>
    </row>
    <row r="147" spans="1:46">
      <c r="A147" t="s">
        <v>813</v>
      </c>
      <c r="B147">
        <f>COUNTIF($D$2:D147,D147)</f>
        <v>1</v>
      </c>
      <c r="C147" t="str">
        <f>IF(COUNTIF($A:$A,A147)=1,
"Unique",
IF(COUNTIFS($A:$A,A147,$N:$N,N147,$AF:$AF,AF147,$AJ:$AJ,AJ147)&gt;1,
"Exact Duplicate",
"Conflicting Duplicate"))</f>
        <v>Unique</v>
      </c>
      <c r="D147" t="s">
        <v>814</v>
      </c>
      <c r="E147" t="s">
        <v>815</v>
      </c>
      <c r="F147" s="3">
        <v>45965</v>
      </c>
      <c r="G147" s="3">
        <v>45760</v>
      </c>
      <c r="H147" s="5" t="str">
        <f t="shared" si="36"/>
        <v>November</v>
      </c>
      <c r="I147" s="5">
        <f t="shared" si="37"/>
        <v>2025</v>
      </c>
      <c r="J147" t="str">
        <f>IF(F147="","Missing Date",
IF(ISNUMBER(F147),"Valid","Invalid Date"))</f>
        <v>Valid</v>
      </c>
      <c r="K147" t="str">
        <f t="shared" si="38"/>
        <v>Valid</v>
      </c>
      <c r="L147">
        <f>G147-F147</f>
        <v>-205</v>
      </c>
      <c r="M147" t="s">
        <v>816</v>
      </c>
      <c r="N147" t="s">
        <v>40</v>
      </c>
      <c r="O147" t="str">
        <f t="shared" si="39"/>
        <v>Mira Das</v>
      </c>
      <c r="P147" t="s">
        <v>41</v>
      </c>
      <c r="Q147" t="str">
        <f t="shared" si="40"/>
        <v>Small Business</v>
      </c>
      <c r="R147" t="s">
        <v>73</v>
      </c>
      <c r="S147" t="str">
        <f t="shared" si="41"/>
        <v>West</v>
      </c>
      <c r="T147" t="s">
        <v>249</v>
      </c>
      <c r="U147" t="str">
        <f t="shared" si="42"/>
        <v>Goa</v>
      </c>
      <c r="V147" t="s">
        <v>250</v>
      </c>
      <c r="W147" t="str">
        <f t="shared" si="43"/>
        <v>Panaji</v>
      </c>
      <c r="X147" t="s">
        <v>30</v>
      </c>
      <c r="Y147" t="str">
        <f t="shared" si="44"/>
        <v>Office Supplies</v>
      </c>
      <c r="Z147" t="s">
        <v>31</v>
      </c>
      <c r="AA147" t="str">
        <f t="shared" si="45"/>
        <v>Paper</v>
      </c>
      <c r="AB147" t="s">
        <v>817</v>
      </c>
      <c r="AC147" t="s">
        <v>67</v>
      </c>
      <c r="AD147" t="str">
        <f t="shared" si="46"/>
        <v>Standard Class</v>
      </c>
      <c r="AE147">
        <v>4</v>
      </c>
      <c r="AF147">
        <v>4182.1499999999996</v>
      </c>
      <c r="AG147">
        <v>0.1</v>
      </c>
      <c r="AH147">
        <v>0.1</v>
      </c>
      <c r="AI147" t="str">
        <f t="shared" si="47"/>
        <v>Valid</v>
      </c>
      <c r="AJ147">
        <v>15055.74</v>
      </c>
      <c r="AK147">
        <f t="shared" si="48"/>
        <v>15055.74</v>
      </c>
      <c r="AL147">
        <v>9808.83</v>
      </c>
      <c r="AM147">
        <v>5246.91</v>
      </c>
      <c r="AN147">
        <f t="shared" si="49"/>
        <v>5246.91</v>
      </c>
      <c r="AO147">
        <f t="shared" si="50"/>
        <v>-9808.83</v>
      </c>
      <c r="AP147" t="s">
        <v>34</v>
      </c>
      <c r="AQ147" t="str">
        <f t="shared" si="51"/>
        <v>Paid</v>
      </c>
      <c r="AR147" t="s">
        <v>35</v>
      </c>
      <c r="AS147" t="str">
        <f t="shared" si="52"/>
        <v>Completed</v>
      </c>
      <c r="AT147" t="str">
        <f t="shared" si="53"/>
        <v>Clean</v>
      </c>
    </row>
    <row r="148" spans="1:46">
      <c r="A148" t="s">
        <v>818</v>
      </c>
      <c r="B148">
        <f>COUNTIF($D$2:D148,D148)</f>
        <v>1</v>
      </c>
      <c r="C148" t="str">
        <f>IF(COUNTIF($A:$A,A148)=1,
"Unique",
IF(COUNTIFS($A:$A,A148,$N:$N,N148,$AF:$AF,AF148,$AJ:$AJ,AJ148)&gt;1,
"Exact Duplicate",
"Conflicting Duplicate"))</f>
        <v>Unique</v>
      </c>
      <c r="D148" t="s">
        <v>819</v>
      </c>
      <c r="E148" t="s">
        <v>820</v>
      </c>
      <c r="F148" s="2">
        <v>45868</v>
      </c>
      <c r="G148" s="3">
        <v>45870</v>
      </c>
      <c r="H148" s="5" t="str">
        <f t="shared" si="36"/>
        <v>July</v>
      </c>
      <c r="I148" s="5">
        <f t="shared" si="37"/>
        <v>2025</v>
      </c>
      <c r="J148" t="str">
        <f>IF(F148="","Missing Date",
IF(ISNUMBER(F148),"Valid","Invalid Date"))</f>
        <v>Valid</v>
      </c>
      <c r="K148" t="str">
        <f t="shared" si="38"/>
        <v>Valid</v>
      </c>
      <c r="L148">
        <f>G148-F148</f>
        <v>2</v>
      </c>
      <c r="M148" t="s">
        <v>821</v>
      </c>
      <c r="N148" t="s">
        <v>168</v>
      </c>
      <c r="O148" t="str">
        <f t="shared" si="39"/>
        <v>Sneha Kapoor</v>
      </c>
      <c r="P148" t="s">
        <v>41</v>
      </c>
      <c r="Q148" t="str">
        <f t="shared" si="40"/>
        <v>Small Business</v>
      </c>
      <c r="R148" t="s">
        <v>62</v>
      </c>
      <c r="S148" t="str">
        <f t="shared" si="41"/>
        <v>South</v>
      </c>
      <c r="T148" t="s">
        <v>339</v>
      </c>
      <c r="U148" t="str">
        <f t="shared" si="42"/>
        <v>Tamil Nadu</v>
      </c>
      <c r="V148" t="s">
        <v>340</v>
      </c>
      <c r="W148" t="str">
        <f t="shared" si="43"/>
        <v>Chennai</v>
      </c>
      <c r="X148" t="s">
        <v>30</v>
      </c>
      <c r="Y148" t="str">
        <f t="shared" si="44"/>
        <v>Office Supplies</v>
      </c>
      <c r="Z148" t="s">
        <v>156</v>
      </c>
      <c r="AA148" t="str">
        <f t="shared" si="45"/>
        <v>Storage</v>
      </c>
      <c r="AB148" t="s">
        <v>822</v>
      </c>
      <c r="AC148" t="s">
        <v>48</v>
      </c>
      <c r="AD148" t="str">
        <f t="shared" si="46"/>
        <v>Same Day</v>
      </c>
      <c r="AE148">
        <v>9</v>
      </c>
      <c r="AF148">
        <v>3165.43</v>
      </c>
      <c r="AG148">
        <v>0.1</v>
      </c>
      <c r="AH148">
        <v>0.1</v>
      </c>
      <c r="AI148" t="str">
        <f t="shared" si="47"/>
        <v>Valid</v>
      </c>
      <c r="AJ148">
        <v>25639.98</v>
      </c>
      <c r="AK148">
        <f t="shared" si="48"/>
        <v>25639.983</v>
      </c>
      <c r="AL148">
        <v>21635.08</v>
      </c>
      <c r="AM148">
        <v>4004.9</v>
      </c>
      <c r="AN148">
        <f t="shared" si="49"/>
        <v>4004.9029999999984</v>
      </c>
      <c r="AO148">
        <f t="shared" si="50"/>
        <v>-21635.08</v>
      </c>
      <c r="AP148" t="s">
        <v>34</v>
      </c>
      <c r="AQ148" t="str">
        <f t="shared" si="51"/>
        <v>Paid</v>
      </c>
      <c r="AR148" t="s">
        <v>35</v>
      </c>
      <c r="AS148" t="str">
        <f t="shared" si="52"/>
        <v>Completed</v>
      </c>
      <c r="AT148" t="str">
        <f t="shared" si="53"/>
        <v>Clean</v>
      </c>
    </row>
    <row r="149" spans="1:46">
      <c r="A149" t="s">
        <v>823</v>
      </c>
      <c r="B149">
        <f>COUNTIF($D$2:D149,D149)</f>
        <v>2</v>
      </c>
      <c r="C149" t="str">
        <f>IF(COUNTIF($A:$A,A149)=1,
"Unique",
IF(COUNTIFS($A:$A,A149,$N:$N,N149,$AF:$AF,AF149,$AJ:$AJ,AJ149)&gt;1,
"Exact Duplicate",
"Conflicting Duplicate"))</f>
        <v>Unique</v>
      </c>
      <c r="D149" t="s">
        <v>824</v>
      </c>
      <c r="E149" t="s">
        <v>825</v>
      </c>
      <c r="F149" s="3">
        <v>45649</v>
      </c>
      <c r="G149" s="3">
        <v>45656</v>
      </c>
      <c r="H149" s="5" t="str">
        <f t="shared" si="36"/>
        <v>December</v>
      </c>
      <c r="I149" s="5">
        <f t="shared" si="37"/>
        <v>2024</v>
      </c>
      <c r="J149" t="str">
        <f>IF(F149="","Missing Date",
IF(ISNUMBER(F149),"Valid","Invalid Date"))</f>
        <v>Valid</v>
      </c>
      <c r="K149" t="str">
        <f t="shared" si="38"/>
        <v>Valid</v>
      </c>
      <c r="L149">
        <f>G149-F149</f>
        <v>7</v>
      </c>
      <c r="M149" t="s">
        <v>826</v>
      </c>
      <c r="N149" t="s">
        <v>142</v>
      </c>
      <c r="O149" t="str">
        <f t="shared" si="39"/>
        <v>Priya Menon</v>
      </c>
      <c r="P149" t="s">
        <v>115</v>
      </c>
      <c r="Q149" t="str">
        <f t="shared" si="40"/>
        <v>Home Office</v>
      </c>
      <c r="R149" t="s">
        <v>73</v>
      </c>
      <c r="S149" t="str">
        <f t="shared" si="41"/>
        <v>West</v>
      </c>
      <c r="T149" t="s">
        <v>249</v>
      </c>
      <c r="U149" t="str">
        <f t="shared" si="42"/>
        <v>Goa</v>
      </c>
      <c r="V149" t="s">
        <v>250</v>
      </c>
      <c r="W149" t="str">
        <f t="shared" si="43"/>
        <v>Panaji</v>
      </c>
      <c r="X149" t="s">
        <v>45</v>
      </c>
      <c r="Y149" t="str">
        <f t="shared" si="44"/>
        <v>Furniture</v>
      </c>
      <c r="Z149" t="s">
        <v>65</v>
      </c>
      <c r="AA149" t="str">
        <f t="shared" si="45"/>
        <v>Furnishings</v>
      </c>
      <c r="AB149" t="s">
        <v>827</v>
      </c>
      <c r="AC149" t="s">
        <v>56</v>
      </c>
      <c r="AD149" t="str">
        <f t="shared" si="46"/>
        <v>First Class</v>
      </c>
      <c r="AE149">
        <v>8</v>
      </c>
      <c r="AF149">
        <v>386.1</v>
      </c>
      <c r="AG149">
        <v>0.1</v>
      </c>
      <c r="AH149">
        <v>0.1</v>
      </c>
      <c r="AI149" t="str">
        <f t="shared" si="47"/>
        <v>Valid</v>
      </c>
      <c r="AJ149">
        <v>2779.92</v>
      </c>
      <c r="AK149">
        <f t="shared" si="48"/>
        <v>2779.92</v>
      </c>
      <c r="AL149">
        <v>1744.05</v>
      </c>
      <c r="AM149">
        <v>1035.8699999999999</v>
      </c>
      <c r="AN149">
        <f t="shared" si="49"/>
        <v>1035.8700000000001</v>
      </c>
      <c r="AO149">
        <f t="shared" si="50"/>
        <v>-1744.05</v>
      </c>
      <c r="AP149" t="s">
        <v>34</v>
      </c>
      <c r="AQ149" t="str">
        <f t="shared" si="51"/>
        <v>Paid</v>
      </c>
      <c r="AR149" t="s">
        <v>35</v>
      </c>
      <c r="AS149" t="str">
        <f t="shared" si="52"/>
        <v>Completed</v>
      </c>
      <c r="AT149" t="str">
        <f t="shared" si="53"/>
        <v>Clean</v>
      </c>
    </row>
    <row r="150" spans="1:46">
      <c r="A150" t="s">
        <v>828</v>
      </c>
      <c r="B150">
        <f>COUNTIF($D$2:D150,D150)</f>
        <v>2</v>
      </c>
      <c r="C150" t="str">
        <f>IF(COUNTIF($A:$A,A150)=1,
"Unique",
IF(COUNTIFS($A:$A,A150,$N:$N,N150,$AF:$AF,AF150,$AJ:$AJ,AJ150)&gt;1,
"Exact Duplicate",
"Conflicting Duplicate"))</f>
        <v>Unique</v>
      </c>
      <c r="D150" t="s">
        <v>829</v>
      </c>
      <c r="E150" t="s">
        <v>830</v>
      </c>
      <c r="F150" s="2">
        <v>45902</v>
      </c>
      <c r="G150" s="3">
        <v>45701</v>
      </c>
      <c r="H150" s="5" t="str">
        <f t="shared" si="36"/>
        <v>September</v>
      </c>
      <c r="I150" s="5">
        <f t="shared" si="37"/>
        <v>2025</v>
      </c>
      <c r="J150" t="str">
        <f>IF(F150="","Missing Date",
IF(ISNUMBER(F150),"Valid","Invalid Date"))</f>
        <v>Valid</v>
      </c>
      <c r="K150" t="str">
        <f t="shared" si="38"/>
        <v>Valid</v>
      </c>
      <c r="L150">
        <f>G150-F150</f>
        <v>-201</v>
      </c>
      <c r="M150" t="s">
        <v>831</v>
      </c>
      <c r="N150" t="s">
        <v>40</v>
      </c>
      <c r="O150" t="str">
        <f t="shared" si="39"/>
        <v>Mira Das</v>
      </c>
      <c r="P150" t="s">
        <v>115</v>
      </c>
      <c r="Q150" t="str">
        <f t="shared" si="40"/>
        <v>Home Office</v>
      </c>
      <c r="R150" t="s">
        <v>73</v>
      </c>
      <c r="S150" t="str">
        <f t="shared" si="41"/>
        <v>West</v>
      </c>
      <c r="T150" t="s">
        <v>84</v>
      </c>
      <c r="U150" t="str">
        <f t="shared" si="42"/>
        <v>Madhya Pradesh</v>
      </c>
      <c r="V150" t="s">
        <v>85</v>
      </c>
      <c r="W150" t="str">
        <f t="shared" si="43"/>
        <v>Indore</v>
      </c>
      <c r="X150" t="s">
        <v>86</v>
      </c>
      <c r="Y150" t="str">
        <f t="shared" si="44"/>
        <v>Technology</v>
      </c>
      <c r="Z150" t="s">
        <v>223</v>
      </c>
      <c r="AA150" t="str">
        <f t="shared" si="45"/>
        <v>Phones</v>
      </c>
      <c r="AB150" t="s">
        <v>832</v>
      </c>
      <c r="AC150" t="s">
        <v>4104</v>
      </c>
      <c r="AD150" t="str">
        <f t="shared" si="46"/>
        <v>Unknown</v>
      </c>
      <c r="AE150">
        <v>8</v>
      </c>
      <c r="AF150">
        <v>1696.07</v>
      </c>
      <c r="AG150">
        <v>0.25</v>
      </c>
      <c r="AH150">
        <v>0.25</v>
      </c>
      <c r="AI150" t="str">
        <f t="shared" si="47"/>
        <v>Valid</v>
      </c>
      <c r="AJ150">
        <v>10176.42</v>
      </c>
      <c r="AK150">
        <f t="shared" si="48"/>
        <v>10176.42</v>
      </c>
      <c r="AL150">
        <v>7604.47</v>
      </c>
      <c r="AM150">
        <v>2571.9499999999998</v>
      </c>
      <c r="AN150">
        <f t="shared" si="49"/>
        <v>2571.9499999999998</v>
      </c>
      <c r="AO150">
        <f t="shared" si="50"/>
        <v>-7604.47</v>
      </c>
      <c r="AP150" t="s">
        <v>34</v>
      </c>
      <c r="AQ150" t="str">
        <f t="shared" si="51"/>
        <v>Paid</v>
      </c>
      <c r="AR150" t="s">
        <v>35</v>
      </c>
      <c r="AS150" t="str">
        <f t="shared" si="52"/>
        <v>Completed</v>
      </c>
      <c r="AT150" t="str">
        <f t="shared" si="53"/>
        <v>Clean</v>
      </c>
    </row>
    <row r="151" spans="1:46">
      <c r="A151" t="s">
        <v>833</v>
      </c>
      <c r="B151">
        <f>COUNTIF($D$2:D151,D151)</f>
        <v>1</v>
      </c>
      <c r="C151" t="str">
        <f>IF(COUNTIF($A:$A,A151)=1,
"Unique",
IF(COUNTIFS($A:$A,A151,$N:$N,N151,$AF:$AF,AF151,$AJ:$AJ,AJ151)&gt;1,
"Exact Duplicate",
"Conflicting Duplicate"))</f>
        <v>Unique</v>
      </c>
      <c r="D151" t="s">
        <v>834</v>
      </c>
      <c r="E151" t="s">
        <v>834</v>
      </c>
      <c r="F151" s="3">
        <v>45321</v>
      </c>
      <c r="G151" s="3">
        <v>45321</v>
      </c>
      <c r="H151" s="5" t="str">
        <f t="shared" si="36"/>
        <v>January</v>
      </c>
      <c r="I151" s="5">
        <f t="shared" si="37"/>
        <v>2024</v>
      </c>
      <c r="J151" t="str">
        <f>IF(F151="","Missing Date",
IF(ISNUMBER(F151),"Valid","Invalid Date"))</f>
        <v>Valid</v>
      </c>
      <c r="K151" t="str">
        <f t="shared" si="38"/>
        <v>Valid</v>
      </c>
      <c r="L151">
        <f>G151-F151</f>
        <v>0</v>
      </c>
      <c r="M151" t="s">
        <v>835</v>
      </c>
      <c r="N151" t="s">
        <v>162</v>
      </c>
      <c r="O151" t="str">
        <f t="shared" si="39"/>
        <v>Aarav Sharma</v>
      </c>
      <c r="P151" t="s">
        <v>41</v>
      </c>
      <c r="Q151" t="str">
        <f t="shared" si="40"/>
        <v>Small Business</v>
      </c>
      <c r="R151" t="s">
        <v>836</v>
      </c>
      <c r="S151" t="str">
        <f t="shared" si="41"/>
        <v>West</v>
      </c>
      <c r="T151" t="s">
        <v>28</v>
      </c>
      <c r="U151" t="str">
        <f t="shared" si="42"/>
        <v>Rajasthan</v>
      </c>
      <c r="V151" t="s">
        <v>135</v>
      </c>
      <c r="W151" t="str">
        <f t="shared" si="43"/>
        <v>Udaipur</v>
      </c>
      <c r="X151" t="s">
        <v>86</v>
      </c>
      <c r="Y151" t="str">
        <f t="shared" si="44"/>
        <v>Technology</v>
      </c>
      <c r="Z151" t="s">
        <v>94</v>
      </c>
      <c r="AA151" t="str">
        <f t="shared" si="45"/>
        <v>Copiers</v>
      </c>
      <c r="AB151" t="s">
        <v>837</v>
      </c>
      <c r="AC151" t="s">
        <v>48</v>
      </c>
      <c r="AD151" t="str">
        <f t="shared" si="46"/>
        <v>Same Day</v>
      </c>
      <c r="AE151">
        <v>7</v>
      </c>
      <c r="AF151">
        <v>2527.61</v>
      </c>
      <c r="AG151">
        <v>0.25</v>
      </c>
      <c r="AH151">
        <v>0.25</v>
      </c>
      <c r="AI151" t="str">
        <f t="shared" si="47"/>
        <v>Valid</v>
      </c>
      <c r="AJ151">
        <v>13269.95</v>
      </c>
      <c r="AK151">
        <f t="shared" si="48"/>
        <v>13269.952499999999</v>
      </c>
      <c r="AL151">
        <v>8977.1</v>
      </c>
      <c r="AM151">
        <v>4292.8500000000004</v>
      </c>
      <c r="AN151">
        <f t="shared" si="49"/>
        <v>4292.8524999999991</v>
      </c>
      <c r="AO151">
        <f t="shared" si="50"/>
        <v>-8977.1</v>
      </c>
      <c r="AP151" t="s">
        <v>34</v>
      </c>
      <c r="AQ151" t="str">
        <f t="shared" si="51"/>
        <v>Paid</v>
      </c>
      <c r="AR151" t="s">
        <v>35</v>
      </c>
      <c r="AS151" t="str">
        <f t="shared" si="52"/>
        <v>Completed</v>
      </c>
      <c r="AT151" t="str">
        <f t="shared" si="53"/>
        <v>Clean</v>
      </c>
    </row>
    <row r="152" spans="1:46">
      <c r="A152" t="s">
        <v>838</v>
      </c>
      <c r="B152">
        <f>COUNTIF($D$2:D152,D152)</f>
        <v>2</v>
      </c>
      <c r="C152" t="str">
        <f>IF(COUNTIF($A:$A,A152)=1,
"Unique",
IF(COUNTIFS($A:$A,A152,$N:$N,N152,$AF:$AF,AF152,$AJ:$AJ,AJ152)&gt;1,
"Exact Duplicate",
"Conflicting Duplicate"))</f>
        <v>Unique</v>
      </c>
      <c r="D152" t="s">
        <v>839</v>
      </c>
      <c r="E152" t="s">
        <v>840</v>
      </c>
      <c r="F152" s="3">
        <v>45385</v>
      </c>
      <c r="G152" s="3">
        <v>45629</v>
      </c>
      <c r="H152" s="5" t="str">
        <f t="shared" si="36"/>
        <v>April</v>
      </c>
      <c r="I152" s="5">
        <f t="shared" si="37"/>
        <v>2024</v>
      </c>
      <c r="J152" t="str">
        <f>IF(F152="","Missing Date",
IF(ISNUMBER(F152),"Valid","Invalid Date"))</f>
        <v>Valid</v>
      </c>
      <c r="K152" t="str">
        <f t="shared" si="38"/>
        <v>Valid</v>
      </c>
      <c r="L152">
        <f>G152-F152</f>
        <v>244</v>
      </c>
      <c r="M152" t="s">
        <v>841</v>
      </c>
      <c r="N152" t="s">
        <v>61</v>
      </c>
      <c r="O152" t="str">
        <f t="shared" si="39"/>
        <v>Arjun Bose</v>
      </c>
      <c r="P152" t="s">
        <v>26</v>
      </c>
      <c r="Q152" t="str">
        <f t="shared" si="40"/>
        <v>Consumer</v>
      </c>
      <c r="R152" t="s">
        <v>4104</v>
      </c>
      <c r="S152" t="s">
        <v>4104</v>
      </c>
      <c r="T152" t="s">
        <v>235</v>
      </c>
      <c r="U152" t="str">
        <f t="shared" si="42"/>
        <v>Gujarat</v>
      </c>
      <c r="V152" t="s">
        <v>236</v>
      </c>
      <c r="W152" t="str">
        <f t="shared" si="43"/>
        <v>Ahmedabad</v>
      </c>
      <c r="X152" t="s">
        <v>45</v>
      </c>
      <c r="Y152" t="str">
        <f t="shared" si="44"/>
        <v>Furniture</v>
      </c>
      <c r="Z152" t="s">
        <v>204</v>
      </c>
      <c r="AA152" t="str">
        <f t="shared" si="45"/>
        <v>Bookcases</v>
      </c>
      <c r="AB152" t="s">
        <v>842</v>
      </c>
      <c r="AC152" t="s">
        <v>56</v>
      </c>
      <c r="AD152" t="str">
        <f t="shared" si="46"/>
        <v>First Class</v>
      </c>
      <c r="AE152">
        <v>1</v>
      </c>
      <c r="AF152">
        <v>1554.12</v>
      </c>
      <c r="AG152">
        <v>0.1</v>
      </c>
      <c r="AH152">
        <v>0.1</v>
      </c>
      <c r="AI152" t="str">
        <f t="shared" si="47"/>
        <v>Valid</v>
      </c>
      <c r="AJ152">
        <v>1398.71</v>
      </c>
      <c r="AK152">
        <f t="shared" si="48"/>
        <v>1398.7079999999999</v>
      </c>
      <c r="AL152">
        <v>1056.92</v>
      </c>
      <c r="AM152">
        <v>341.79</v>
      </c>
      <c r="AN152">
        <f t="shared" si="49"/>
        <v>341.78799999999978</v>
      </c>
      <c r="AO152">
        <f t="shared" si="50"/>
        <v>-1056.92</v>
      </c>
      <c r="AP152" t="s">
        <v>34</v>
      </c>
      <c r="AQ152" t="str">
        <f t="shared" si="51"/>
        <v>Paid</v>
      </c>
      <c r="AR152" t="s">
        <v>35</v>
      </c>
      <c r="AS152" t="str">
        <f t="shared" si="52"/>
        <v>Completed</v>
      </c>
      <c r="AT152" t="str">
        <f t="shared" si="53"/>
        <v>Clean</v>
      </c>
    </row>
    <row r="153" spans="1:46">
      <c r="A153" t="s">
        <v>843</v>
      </c>
      <c r="B153">
        <f>COUNTIF($D$2:D153,D153)</f>
        <v>1</v>
      </c>
      <c r="C153" t="str">
        <f>IF(COUNTIF($A:$A,A153)=1,
"Unique",
IF(COUNTIFS($A:$A,A153,$N:$N,N153,$AF:$AF,AF153,$AJ:$AJ,AJ153)&gt;1,
"Exact Duplicate",
"Conflicting Duplicate"))</f>
        <v>Unique</v>
      </c>
      <c r="D153" t="s">
        <v>844</v>
      </c>
      <c r="E153" t="s">
        <v>845</v>
      </c>
      <c r="F153" s="2">
        <v>45470</v>
      </c>
      <c r="G153" s="3">
        <v>45470</v>
      </c>
      <c r="H153" s="5" t="str">
        <f t="shared" si="36"/>
        <v>June</v>
      </c>
      <c r="I153" s="5">
        <f t="shared" si="37"/>
        <v>2024</v>
      </c>
      <c r="J153" t="str">
        <f>IF(F153="","Missing Date",
IF(ISNUMBER(F153),"Valid","Invalid Date"))</f>
        <v>Valid</v>
      </c>
      <c r="K153" t="str">
        <f t="shared" si="38"/>
        <v>Valid</v>
      </c>
      <c r="L153">
        <f>G153-F153</f>
        <v>0</v>
      </c>
      <c r="M153" t="s">
        <v>846</v>
      </c>
      <c r="N153" t="s">
        <v>93</v>
      </c>
      <c r="O153" t="str">
        <f t="shared" si="39"/>
        <v>Neha Gupta</v>
      </c>
      <c r="P153" t="s">
        <v>115</v>
      </c>
      <c r="Q153" t="str">
        <f t="shared" si="40"/>
        <v>Home Office</v>
      </c>
      <c r="R153" t="s">
        <v>4104</v>
      </c>
      <c r="S153" t="s">
        <v>4104</v>
      </c>
      <c r="T153" t="s">
        <v>84</v>
      </c>
      <c r="U153" t="str">
        <f t="shared" si="42"/>
        <v>Madhya Pradesh</v>
      </c>
      <c r="V153" t="s">
        <v>85</v>
      </c>
      <c r="W153" t="str">
        <f t="shared" si="43"/>
        <v>Indore</v>
      </c>
      <c r="X153" t="s">
        <v>86</v>
      </c>
      <c r="Y153" t="str">
        <f t="shared" si="44"/>
        <v>Technology</v>
      </c>
      <c r="Z153" t="s">
        <v>94</v>
      </c>
      <c r="AA153" t="str">
        <f t="shared" si="45"/>
        <v>Copiers</v>
      </c>
      <c r="AB153" t="s">
        <v>847</v>
      </c>
      <c r="AC153" t="s">
        <v>67</v>
      </c>
      <c r="AD153" t="str">
        <f t="shared" si="46"/>
        <v>Standard Class</v>
      </c>
      <c r="AE153">
        <v>2</v>
      </c>
      <c r="AF153">
        <v>3859.11</v>
      </c>
      <c r="AG153">
        <v>0</v>
      </c>
      <c r="AH153">
        <v>0</v>
      </c>
      <c r="AI153" t="str">
        <f t="shared" si="47"/>
        <v>Valid</v>
      </c>
      <c r="AJ153">
        <v>7718.22</v>
      </c>
      <c r="AK153">
        <f t="shared" si="48"/>
        <v>7718.22</v>
      </c>
      <c r="AL153">
        <v>5355.93</v>
      </c>
      <c r="AM153">
        <v>2362.29</v>
      </c>
      <c r="AN153">
        <f t="shared" si="49"/>
        <v>2362.29</v>
      </c>
      <c r="AO153">
        <f t="shared" si="50"/>
        <v>-5355.93</v>
      </c>
      <c r="AP153" t="s">
        <v>137</v>
      </c>
      <c r="AQ153" t="str">
        <f t="shared" si="51"/>
        <v>Pending</v>
      </c>
      <c r="AR153" t="s">
        <v>125</v>
      </c>
      <c r="AS153" t="str">
        <f t="shared" si="52"/>
        <v>Returned</v>
      </c>
      <c r="AT153" t="str">
        <f t="shared" si="53"/>
        <v>Clean</v>
      </c>
    </row>
    <row r="154" spans="1:46">
      <c r="A154" t="s">
        <v>848</v>
      </c>
      <c r="B154">
        <f>COUNTIF($D$2:D154,D154)</f>
        <v>1</v>
      </c>
      <c r="C154" t="str">
        <f>IF(COUNTIF($A:$A,A154)=1,
"Unique",
IF(COUNTIFS($A:$A,A154,$N:$N,N154,$AF:$AF,AF154,$AJ:$AJ,AJ154)&gt;1,
"Exact Duplicate",
"Conflicting Duplicate"))</f>
        <v>Unique</v>
      </c>
      <c r="D154" t="s">
        <v>849</v>
      </c>
      <c r="E154" t="s">
        <v>850</v>
      </c>
      <c r="F154" s="2">
        <v>45457</v>
      </c>
      <c r="G154" s="3">
        <v>45460</v>
      </c>
      <c r="H154" s="5" t="str">
        <f t="shared" si="36"/>
        <v>June</v>
      </c>
      <c r="I154" s="5">
        <f t="shared" si="37"/>
        <v>2024</v>
      </c>
      <c r="J154" t="str">
        <f>IF(F154="","Missing Date",
IF(ISNUMBER(F154),"Valid","Invalid Date"))</f>
        <v>Valid</v>
      </c>
      <c r="K154" t="str">
        <f t="shared" si="38"/>
        <v>Valid</v>
      </c>
      <c r="L154">
        <f>G154-F154</f>
        <v>3</v>
      </c>
      <c r="M154" t="s">
        <v>851</v>
      </c>
      <c r="N154" t="s">
        <v>366</v>
      </c>
      <c r="O154" t="str">
        <f t="shared" si="39"/>
        <v>Kabir Singh</v>
      </c>
      <c r="P154" t="s">
        <v>41</v>
      </c>
      <c r="Q154" t="str">
        <f t="shared" si="40"/>
        <v>Small Business</v>
      </c>
      <c r="R154" t="s">
        <v>62</v>
      </c>
      <c r="S154" t="str">
        <f t="shared" si="41"/>
        <v>South</v>
      </c>
      <c r="T154" t="s">
        <v>242</v>
      </c>
      <c r="U154" t="str">
        <f t="shared" si="42"/>
        <v>Kerala</v>
      </c>
      <c r="V154" t="s">
        <v>243</v>
      </c>
      <c r="W154" t="str">
        <f t="shared" si="43"/>
        <v>Kochi</v>
      </c>
      <c r="X154" t="s">
        <v>45</v>
      </c>
      <c r="Y154" t="str">
        <f t="shared" si="44"/>
        <v>Furniture</v>
      </c>
      <c r="Z154" t="s">
        <v>46</v>
      </c>
      <c r="AA154" t="str">
        <f t="shared" si="45"/>
        <v>Tables</v>
      </c>
      <c r="AB154" t="s">
        <v>852</v>
      </c>
      <c r="AC154" t="s">
        <v>33</v>
      </c>
      <c r="AD154" t="str">
        <f t="shared" si="46"/>
        <v>Second Class</v>
      </c>
      <c r="AE154">
        <v>6</v>
      </c>
      <c r="AF154">
        <v>1088.04</v>
      </c>
      <c r="AG154">
        <v>0.1</v>
      </c>
      <c r="AH154">
        <v>0.1</v>
      </c>
      <c r="AI154" t="str">
        <f t="shared" si="47"/>
        <v>Valid</v>
      </c>
      <c r="AJ154">
        <v>5875.42</v>
      </c>
      <c r="AK154">
        <f t="shared" si="48"/>
        <v>5875.4160000000002</v>
      </c>
      <c r="AL154">
        <v>4380.55</v>
      </c>
      <c r="AM154">
        <v>1494.87</v>
      </c>
      <c r="AN154">
        <f t="shared" si="49"/>
        <v>1494.866</v>
      </c>
      <c r="AO154">
        <f t="shared" si="50"/>
        <v>-4380.55</v>
      </c>
      <c r="AP154" t="s">
        <v>137</v>
      </c>
      <c r="AQ154" t="str">
        <f t="shared" si="51"/>
        <v>Pending</v>
      </c>
      <c r="AR154" t="s">
        <v>125</v>
      </c>
      <c r="AS154" t="str">
        <f t="shared" si="52"/>
        <v>Returned</v>
      </c>
      <c r="AT154" t="str">
        <f t="shared" si="53"/>
        <v>Clean</v>
      </c>
    </row>
    <row r="155" spans="1:46">
      <c r="A155" t="s">
        <v>853</v>
      </c>
      <c r="B155">
        <f>COUNTIF($D$2:D155,D155)</f>
        <v>1</v>
      </c>
      <c r="C155" t="str">
        <f>IF(COUNTIF($A:$A,A155)=1,
"Unique",
IF(COUNTIFS($A:$A,A155,$N:$N,N155,$AF:$AF,AF155,$AJ:$AJ,AJ155)&gt;1,
"Exact Duplicate",
"Conflicting Duplicate"))</f>
        <v>Unique</v>
      </c>
      <c r="D155" t="s">
        <v>854</v>
      </c>
      <c r="E155" t="s">
        <v>855</v>
      </c>
      <c r="F155" s="2">
        <v>45923</v>
      </c>
      <c r="G155" s="3">
        <v>45925</v>
      </c>
      <c r="H155" s="5" t="str">
        <f t="shared" si="36"/>
        <v>September</v>
      </c>
      <c r="I155" s="5">
        <f t="shared" si="37"/>
        <v>2025</v>
      </c>
      <c r="J155" t="str">
        <f>IF(F155="","Missing Date",
IF(ISNUMBER(F155),"Valid","Invalid Date"))</f>
        <v>Valid</v>
      </c>
      <c r="K155" t="str">
        <f t="shared" si="38"/>
        <v>Valid</v>
      </c>
      <c r="L155">
        <f>G155-F155</f>
        <v>2</v>
      </c>
      <c r="M155" t="s">
        <v>856</v>
      </c>
      <c r="N155" t="s">
        <v>107</v>
      </c>
      <c r="O155" t="str">
        <f t="shared" si="39"/>
        <v>Aditi Sen</v>
      </c>
      <c r="P155" t="s">
        <v>26</v>
      </c>
      <c r="Q155" t="str">
        <f t="shared" si="40"/>
        <v>Consumer</v>
      </c>
      <c r="R155" t="s">
        <v>42</v>
      </c>
      <c r="S155" t="str">
        <f t="shared" si="41"/>
        <v>East</v>
      </c>
      <c r="T155" t="s">
        <v>43</v>
      </c>
      <c r="U155" t="str">
        <f t="shared" si="42"/>
        <v>Odisha</v>
      </c>
      <c r="V155" t="s">
        <v>44</v>
      </c>
      <c r="W155" t="str">
        <f t="shared" si="43"/>
        <v>Bhubaneswar</v>
      </c>
      <c r="X155" t="s">
        <v>30</v>
      </c>
      <c r="Y155" t="str">
        <f t="shared" si="44"/>
        <v>Office Supplies</v>
      </c>
      <c r="Z155" t="s">
        <v>109</v>
      </c>
      <c r="AA155" t="str">
        <f t="shared" si="45"/>
        <v>Labels</v>
      </c>
      <c r="AB155" t="s">
        <v>857</v>
      </c>
      <c r="AC155" t="s">
        <v>67</v>
      </c>
      <c r="AD155" t="str">
        <f t="shared" si="46"/>
        <v>Standard Class</v>
      </c>
      <c r="AE155">
        <v>7</v>
      </c>
      <c r="AF155">
        <v>3280.31</v>
      </c>
      <c r="AG155">
        <v>0</v>
      </c>
      <c r="AH155">
        <v>0</v>
      </c>
      <c r="AI155" t="str">
        <f t="shared" si="47"/>
        <v>Valid</v>
      </c>
      <c r="AJ155">
        <v>22962.17</v>
      </c>
      <c r="AK155">
        <f t="shared" si="48"/>
        <v>22962.17</v>
      </c>
      <c r="AL155">
        <v>15716.5</v>
      </c>
      <c r="AM155">
        <v>7245.67</v>
      </c>
      <c r="AN155">
        <f t="shared" si="49"/>
        <v>7245.6699999999983</v>
      </c>
      <c r="AO155">
        <f t="shared" si="50"/>
        <v>-15716.5</v>
      </c>
      <c r="AP155" t="s">
        <v>124</v>
      </c>
      <c r="AQ155" t="str">
        <f t="shared" si="51"/>
        <v>Refunded</v>
      </c>
      <c r="AR155" t="s">
        <v>125</v>
      </c>
      <c r="AS155" t="str">
        <f t="shared" si="52"/>
        <v>Returned</v>
      </c>
      <c r="AT155" t="str">
        <f t="shared" si="53"/>
        <v>Clean</v>
      </c>
    </row>
    <row r="156" spans="1:46">
      <c r="A156" t="s">
        <v>858</v>
      </c>
      <c r="B156">
        <f>COUNTIF($D$2:D156,D156)</f>
        <v>2</v>
      </c>
      <c r="C156" t="str">
        <f>IF(COUNTIF($A:$A,A156)=1,
"Unique",
IF(COUNTIFS($A:$A,A156,$N:$N,N156,$AF:$AF,AF156,$AJ:$AJ,AJ156)&gt;1,
"Exact Duplicate",
"Conflicting Duplicate"))</f>
        <v>Unique</v>
      </c>
      <c r="D156" t="s">
        <v>859</v>
      </c>
      <c r="E156" t="s">
        <v>860</v>
      </c>
      <c r="F156" s="2">
        <v>45628</v>
      </c>
      <c r="G156" s="3">
        <v>45333</v>
      </c>
      <c r="H156" s="5" t="str">
        <f t="shared" si="36"/>
        <v>December</v>
      </c>
      <c r="I156" s="5">
        <f t="shared" si="37"/>
        <v>2024</v>
      </c>
      <c r="J156" t="str">
        <f>IF(F156="","Missing Date",
IF(ISNUMBER(F156),"Valid","Invalid Date"))</f>
        <v>Valid</v>
      </c>
      <c r="K156" t="str">
        <f t="shared" si="38"/>
        <v>Valid</v>
      </c>
      <c r="L156">
        <f>G156-F156</f>
        <v>-295</v>
      </c>
      <c r="M156" t="s">
        <v>669</v>
      </c>
      <c r="N156" t="s">
        <v>142</v>
      </c>
      <c r="O156" t="str">
        <f t="shared" si="39"/>
        <v>Priya Menon</v>
      </c>
      <c r="P156" t="s">
        <v>26</v>
      </c>
      <c r="Q156" t="str">
        <f t="shared" si="40"/>
        <v>Consumer</v>
      </c>
      <c r="R156" t="s">
        <v>62</v>
      </c>
      <c r="S156" t="str">
        <f t="shared" si="41"/>
        <v>South</v>
      </c>
      <c r="T156" t="s">
        <v>339</v>
      </c>
      <c r="U156" t="str">
        <f t="shared" si="42"/>
        <v>Tamil Nadu</v>
      </c>
      <c r="V156" t="s">
        <v>340</v>
      </c>
      <c r="W156" t="str">
        <f t="shared" si="43"/>
        <v>Chennai</v>
      </c>
      <c r="X156" t="s">
        <v>45</v>
      </c>
      <c r="Y156" t="str">
        <f t="shared" si="44"/>
        <v>Furniture</v>
      </c>
      <c r="Z156" t="s">
        <v>204</v>
      </c>
      <c r="AA156" t="str">
        <f t="shared" si="45"/>
        <v>Bookcases</v>
      </c>
      <c r="AB156" t="s">
        <v>861</v>
      </c>
      <c r="AC156" t="s">
        <v>48</v>
      </c>
      <c r="AD156" t="str">
        <f t="shared" si="46"/>
        <v>Same Day</v>
      </c>
      <c r="AE156">
        <v>1</v>
      </c>
      <c r="AF156">
        <v>2599.12</v>
      </c>
      <c r="AG156">
        <v>0.15</v>
      </c>
      <c r="AH156">
        <v>0.15</v>
      </c>
      <c r="AI156" t="str">
        <f t="shared" si="47"/>
        <v>Valid</v>
      </c>
      <c r="AJ156">
        <v>2209.25</v>
      </c>
      <c r="AK156">
        <f t="shared" si="48"/>
        <v>2209.252</v>
      </c>
      <c r="AL156">
        <v>1523.78</v>
      </c>
      <c r="AM156">
        <v>685.47</v>
      </c>
      <c r="AN156">
        <f t="shared" si="49"/>
        <v>685.47199999999998</v>
      </c>
      <c r="AO156">
        <f t="shared" si="50"/>
        <v>-1523.78</v>
      </c>
      <c r="AP156" t="s">
        <v>34</v>
      </c>
      <c r="AQ156" t="str">
        <f t="shared" si="51"/>
        <v>Paid</v>
      </c>
      <c r="AR156" t="s">
        <v>35</v>
      </c>
      <c r="AS156" t="str">
        <f t="shared" si="52"/>
        <v>Completed</v>
      </c>
      <c r="AT156" t="str">
        <f t="shared" si="53"/>
        <v>Clean</v>
      </c>
    </row>
    <row r="157" spans="1:46">
      <c r="A157" t="s">
        <v>862</v>
      </c>
      <c r="B157">
        <f>COUNTIF($D$2:D157,D157)</f>
        <v>1</v>
      </c>
      <c r="C157" t="str">
        <f>IF(COUNTIF($A:$A,A157)=1,
"Unique",
IF(COUNTIFS($A:$A,A157,$N:$N,N157,$AF:$AF,AF157,$AJ:$AJ,AJ157)&gt;1,
"Exact Duplicate",
"Conflicting Duplicate"))</f>
        <v>Unique</v>
      </c>
      <c r="D157" t="s">
        <v>559</v>
      </c>
      <c r="E157" t="s">
        <v>440</v>
      </c>
      <c r="F157" s="3">
        <v>45683</v>
      </c>
      <c r="G157" s="2">
        <v>45718</v>
      </c>
      <c r="H157" s="5" t="str">
        <f t="shared" si="36"/>
        <v>January</v>
      </c>
      <c r="I157" s="5">
        <f t="shared" si="37"/>
        <v>2025</v>
      </c>
      <c r="J157" t="str">
        <f>IF(F157="","Missing Date",
IF(ISNUMBER(F157),"Valid","Invalid Date"))</f>
        <v>Valid</v>
      </c>
      <c r="K157" t="str">
        <f t="shared" si="38"/>
        <v>Valid</v>
      </c>
      <c r="L157">
        <f>G157-F157</f>
        <v>35</v>
      </c>
      <c r="M157" t="s">
        <v>863</v>
      </c>
      <c r="N157" t="s">
        <v>25</v>
      </c>
      <c r="O157" t="str">
        <f t="shared" si="39"/>
        <v>Karan Malhotra</v>
      </c>
      <c r="P157" t="s">
        <v>108</v>
      </c>
      <c r="Q157" t="str">
        <f t="shared" si="40"/>
        <v>Corporate</v>
      </c>
      <c r="R157" t="s">
        <v>73</v>
      </c>
      <c r="S157" t="str">
        <f t="shared" si="41"/>
        <v>West</v>
      </c>
      <c r="T157" t="s">
        <v>28</v>
      </c>
      <c r="U157" t="str">
        <f t="shared" si="42"/>
        <v>Rajasthan</v>
      </c>
      <c r="V157" t="s">
        <v>135</v>
      </c>
      <c r="W157" t="str">
        <f t="shared" si="43"/>
        <v>Udaipur</v>
      </c>
      <c r="X157" t="s">
        <v>45</v>
      </c>
      <c r="Y157" t="str">
        <f t="shared" si="44"/>
        <v>Furniture</v>
      </c>
      <c r="Z157" t="s">
        <v>65</v>
      </c>
      <c r="AA157" t="str">
        <f t="shared" si="45"/>
        <v>Furnishings</v>
      </c>
      <c r="AB157" t="s">
        <v>864</v>
      </c>
      <c r="AC157" t="s">
        <v>48</v>
      </c>
      <c r="AD157" t="str">
        <f t="shared" si="46"/>
        <v>Same Day</v>
      </c>
      <c r="AE157">
        <v>3</v>
      </c>
      <c r="AF157">
        <v>2859.32</v>
      </c>
      <c r="AG157">
        <v>0.1</v>
      </c>
      <c r="AH157">
        <v>0.1</v>
      </c>
      <c r="AI157" t="str">
        <f t="shared" si="47"/>
        <v>Valid</v>
      </c>
      <c r="AJ157">
        <v>7720.16</v>
      </c>
      <c r="AK157">
        <f t="shared" si="48"/>
        <v>7720.1640000000007</v>
      </c>
      <c r="AL157">
        <v>5881</v>
      </c>
      <c r="AM157">
        <v>1839.16</v>
      </c>
      <c r="AN157">
        <f t="shared" si="49"/>
        <v>1839.1640000000007</v>
      </c>
      <c r="AO157">
        <f t="shared" si="50"/>
        <v>-5881</v>
      </c>
      <c r="AP157" t="s">
        <v>124</v>
      </c>
      <c r="AQ157" t="str">
        <f t="shared" si="51"/>
        <v>Refunded</v>
      </c>
      <c r="AR157" t="s">
        <v>125</v>
      </c>
      <c r="AS157" t="str">
        <f t="shared" si="52"/>
        <v>Returned</v>
      </c>
      <c r="AT157" t="str">
        <f t="shared" si="53"/>
        <v>Clean</v>
      </c>
    </row>
    <row r="158" spans="1:46">
      <c r="A158" t="s">
        <v>865</v>
      </c>
      <c r="B158">
        <f>COUNTIF($D$2:D158,D158)</f>
        <v>1</v>
      </c>
      <c r="C158" t="str">
        <f>IF(COUNTIF($A:$A,A158)=1,
"Unique",
IF(COUNTIFS($A:$A,A158,$N:$N,N158,$AF:$AF,AF158,$AJ:$AJ,AJ158)&gt;1,
"Exact Duplicate",
"Conflicting Duplicate"))</f>
        <v>Unique</v>
      </c>
      <c r="D158" t="s">
        <v>866</v>
      </c>
      <c r="E158" t="s">
        <v>867</v>
      </c>
      <c r="F158" s="3">
        <v>45743</v>
      </c>
      <c r="G158" s="2">
        <v>45743</v>
      </c>
      <c r="H158" s="5" t="str">
        <f t="shared" si="36"/>
        <v>March</v>
      </c>
      <c r="I158" s="5">
        <f t="shared" si="37"/>
        <v>2025</v>
      </c>
      <c r="J158" t="str">
        <f>IF(F158="","Missing Date",
IF(ISNUMBER(F158),"Valid","Invalid Date"))</f>
        <v>Valid</v>
      </c>
      <c r="K158" t="str">
        <f t="shared" si="38"/>
        <v>Valid</v>
      </c>
      <c r="L158">
        <f>G158-F158</f>
        <v>0</v>
      </c>
      <c r="M158" t="s">
        <v>868</v>
      </c>
      <c r="N158" t="s">
        <v>83</v>
      </c>
      <c r="O158" t="str">
        <f t="shared" si="39"/>
        <v>Vikram Iyer</v>
      </c>
      <c r="P158" t="s">
        <v>41</v>
      </c>
      <c r="Q158" t="str">
        <f t="shared" si="40"/>
        <v>Small Business</v>
      </c>
      <c r="R158" t="s">
        <v>42</v>
      </c>
      <c r="S158" t="str">
        <f t="shared" si="41"/>
        <v>East</v>
      </c>
      <c r="T158" t="s">
        <v>186</v>
      </c>
      <c r="U158" t="str">
        <f t="shared" si="42"/>
        <v>Bihar</v>
      </c>
      <c r="V158" t="s">
        <v>187</v>
      </c>
      <c r="W158" t="str">
        <f t="shared" si="43"/>
        <v>Patna</v>
      </c>
      <c r="X158" t="s">
        <v>86</v>
      </c>
      <c r="Y158" t="str">
        <f t="shared" si="44"/>
        <v>Technology</v>
      </c>
      <c r="Z158" t="s">
        <v>382</v>
      </c>
      <c r="AA158" t="str">
        <f t="shared" si="45"/>
        <v>Machines</v>
      </c>
      <c r="AB158" t="s">
        <v>869</v>
      </c>
      <c r="AC158" t="s">
        <v>33</v>
      </c>
      <c r="AD158" t="str">
        <f t="shared" si="46"/>
        <v>Second Class</v>
      </c>
      <c r="AE158">
        <v>7</v>
      </c>
      <c r="AF158">
        <v>2305.37</v>
      </c>
      <c r="AG158">
        <v>0.25</v>
      </c>
      <c r="AH158">
        <v>0.25</v>
      </c>
      <c r="AI158" t="str">
        <f t="shared" si="47"/>
        <v>Valid</v>
      </c>
      <c r="AJ158">
        <v>12103.19</v>
      </c>
      <c r="AK158">
        <f t="shared" si="48"/>
        <v>12103.192500000001</v>
      </c>
      <c r="AL158">
        <v>6717.87</v>
      </c>
      <c r="AM158">
        <v>5385.32</v>
      </c>
      <c r="AN158">
        <f t="shared" si="49"/>
        <v>5385.3225000000011</v>
      </c>
      <c r="AO158">
        <f t="shared" si="50"/>
        <v>-6717.87</v>
      </c>
      <c r="AP158" t="s">
        <v>34</v>
      </c>
      <c r="AQ158" t="str">
        <f t="shared" si="51"/>
        <v>Paid</v>
      </c>
      <c r="AR158" t="s">
        <v>35</v>
      </c>
      <c r="AS158" t="str">
        <f t="shared" si="52"/>
        <v>Completed</v>
      </c>
      <c r="AT158" t="str">
        <f t="shared" si="53"/>
        <v>Clean</v>
      </c>
    </row>
    <row r="159" spans="1:46">
      <c r="A159" t="s">
        <v>870</v>
      </c>
      <c r="B159">
        <f>COUNTIF($D$2:D159,D159)</f>
        <v>1</v>
      </c>
      <c r="C159" t="str">
        <f>IF(COUNTIF($A:$A,A159)=1,
"Unique",
IF(COUNTIFS($A:$A,A159,$N:$N,N159,$AF:$AF,AF159,$AJ:$AJ,AJ159)&gt;1,
"Exact Duplicate",
"Conflicting Duplicate"))</f>
        <v>Unique</v>
      </c>
      <c r="D159" t="s">
        <v>871</v>
      </c>
      <c r="E159" t="s">
        <v>872</v>
      </c>
      <c r="F159" s="3">
        <v>45587</v>
      </c>
      <c r="G159" s="3">
        <v>45589</v>
      </c>
      <c r="H159" s="5" t="str">
        <f t="shared" si="36"/>
        <v>October</v>
      </c>
      <c r="I159" s="5">
        <f t="shared" si="37"/>
        <v>2024</v>
      </c>
      <c r="J159" t="str">
        <f>IF(F159="","Missing Date",
IF(ISNUMBER(F159),"Valid","Invalid Date"))</f>
        <v>Valid</v>
      </c>
      <c r="K159" t="str">
        <f t="shared" si="38"/>
        <v>Valid</v>
      </c>
      <c r="L159">
        <f>G159-F159</f>
        <v>2</v>
      </c>
      <c r="M159" t="s">
        <v>873</v>
      </c>
      <c r="N159" t="s">
        <v>180</v>
      </c>
      <c r="O159" t="str">
        <f t="shared" si="39"/>
        <v>Rohan Mehta</v>
      </c>
      <c r="P159" t="s">
        <v>41</v>
      </c>
      <c r="Q159" t="str">
        <f t="shared" si="40"/>
        <v>Small Business</v>
      </c>
      <c r="R159" t="s">
        <v>62</v>
      </c>
      <c r="S159" t="str">
        <f t="shared" si="41"/>
        <v>South</v>
      </c>
      <c r="T159" t="s">
        <v>100</v>
      </c>
      <c r="U159" t="str">
        <f t="shared" si="42"/>
        <v>Andhra Pradesh</v>
      </c>
      <c r="V159" t="s">
        <v>101</v>
      </c>
      <c r="W159" t="str">
        <f t="shared" si="43"/>
        <v>Vijayawada</v>
      </c>
      <c r="X159" t="s">
        <v>45</v>
      </c>
      <c r="Y159" t="str">
        <f t="shared" si="44"/>
        <v>Furniture</v>
      </c>
      <c r="Z159" t="s">
        <v>204</v>
      </c>
      <c r="AA159" t="str">
        <f t="shared" si="45"/>
        <v>Bookcases</v>
      </c>
      <c r="AB159" t="s">
        <v>874</v>
      </c>
      <c r="AC159" t="s">
        <v>67</v>
      </c>
      <c r="AD159" t="str">
        <f t="shared" si="46"/>
        <v>Standard Class</v>
      </c>
      <c r="AE159">
        <v>3</v>
      </c>
      <c r="AF159">
        <v>915.84</v>
      </c>
      <c r="AG159">
        <v>0.15</v>
      </c>
      <c r="AH159">
        <v>0.15</v>
      </c>
      <c r="AI159" t="str">
        <f t="shared" si="47"/>
        <v>Valid</v>
      </c>
      <c r="AJ159">
        <v>2335.39</v>
      </c>
      <c r="AK159">
        <f t="shared" si="48"/>
        <v>2335.3919999999998</v>
      </c>
      <c r="AL159">
        <v>1466.15</v>
      </c>
      <c r="AM159">
        <v>869.24</v>
      </c>
      <c r="AN159">
        <f t="shared" si="49"/>
        <v>869.24199999999973</v>
      </c>
      <c r="AO159">
        <f t="shared" si="50"/>
        <v>-1466.15</v>
      </c>
      <c r="AP159" t="s">
        <v>34</v>
      </c>
      <c r="AQ159" t="str">
        <f t="shared" si="51"/>
        <v>Paid</v>
      </c>
      <c r="AR159" t="s">
        <v>35</v>
      </c>
      <c r="AS159" t="str">
        <f t="shared" si="52"/>
        <v>Completed</v>
      </c>
      <c r="AT159" t="str">
        <f t="shared" si="53"/>
        <v>Clean</v>
      </c>
    </row>
    <row r="160" spans="1:46">
      <c r="A160" t="s">
        <v>875</v>
      </c>
      <c r="B160">
        <f>COUNTIF($D$2:D160,D160)</f>
        <v>1</v>
      </c>
      <c r="C160" t="str">
        <f>IF(COUNTIF($A:$A,A160)=1,
"Unique",
IF(COUNTIFS($A:$A,A160,$N:$N,N160,$AF:$AF,AF160,$AJ:$AJ,AJ160)&gt;1,
"Exact Duplicate",
"Conflicting Duplicate"))</f>
        <v>Unique</v>
      </c>
      <c r="D160" t="s">
        <v>876</v>
      </c>
      <c r="E160" t="s">
        <v>877</v>
      </c>
      <c r="F160" s="3">
        <v>45544</v>
      </c>
      <c r="G160" s="3">
        <v>45546</v>
      </c>
      <c r="H160" s="5" t="str">
        <f t="shared" si="36"/>
        <v>September</v>
      </c>
      <c r="I160" s="5">
        <f t="shared" si="37"/>
        <v>2024</v>
      </c>
      <c r="J160" t="str">
        <f>IF(F160="","Missing Date",
IF(ISNUMBER(F160),"Valid","Invalid Date"))</f>
        <v>Valid</v>
      </c>
      <c r="K160" t="str">
        <f t="shared" si="38"/>
        <v>Valid</v>
      </c>
      <c r="L160">
        <f>G160-F160</f>
        <v>2</v>
      </c>
      <c r="M160" t="s">
        <v>878</v>
      </c>
      <c r="N160" t="s">
        <v>93</v>
      </c>
      <c r="O160" t="str">
        <f t="shared" si="39"/>
        <v>Neha Gupta</v>
      </c>
      <c r="P160" t="s">
        <v>115</v>
      </c>
      <c r="Q160" t="str">
        <f t="shared" si="40"/>
        <v>Home Office</v>
      </c>
      <c r="R160" t="s">
        <v>62</v>
      </c>
      <c r="S160" t="str">
        <f t="shared" si="41"/>
        <v>South</v>
      </c>
      <c r="T160" t="s">
        <v>63</v>
      </c>
      <c r="U160" t="str">
        <f t="shared" si="42"/>
        <v>Telangana</v>
      </c>
      <c r="V160" t="s">
        <v>64</v>
      </c>
      <c r="W160" t="str">
        <f t="shared" si="43"/>
        <v>Hyderabad</v>
      </c>
      <c r="X160" t="s">
        <v>45</v>
      </c>
      <c r="Y160" t="str">
        <f t="shared" si="44"/>
        <v>Furniture</v>
      </c>
      <c r="Z160" t="s">
        <v>204</v>
      </c>
      <c r="AA160" t="str">
        <f t="shared" si="45"/>
        <v>Bookcases</v>
      </c>
      <c r="AB160" t="s">
        <v>879</v>
      </c>
      <c r="AC160" t="s">
        <v>56</v>
      </c>
      <c r="AD160" t="str">
        <f t="shared" si="46"/>
        <v>First Class</v>
      </c>
      <c r="AE160">
        <v>1</v>
      </c>
      <c r="AF160">
        <v>4199.54</v>
      </c>
      <c r="AG160">
        <v>0.05</v>
      </c>
      <c r="AH160">
        <v>0.05</v>
      </c>
      <c r="AI160" t="str">
        <f t="shared" si="47"/>
        <v>Valid</v>
      </c>
      <c r="AJ160">
        <v>3989.56</v>
      </c>
      <c r="AK160">
        <f t="shared" si="48"/>
        <v>3989.5629999999996</v>
      </c>
      <c r="AL160">
        <v>2381.38</v>
      </c>
      <c r="AM160">
        <v>1608.18</v>
      </c>
      <c r="AN160">
        <f t="shared" si="49"/>
        <v>1608.1829999999995</v>
      </c>
      <c r="AO160">
        <f t="shared" si="50"/>
        <v>-2381.38</v>
      </c>
      <c r="AP160" t="s">
        <v>34</v>
      </c>
      <c r="AQ160" t="str">
        <f t="shared" si="51"/>
        <v>Paid</v>
      </c>
      <c r="AR160" t="s">
        <v>35</v>
      </c>
      <c r="AS160" t="str">
        <f t="shared" si="52"/>
        <v>Completed</v>
      </c>
      <c r="AT160" t="str">
        <f t="shared" si="53"/>
        <v>Clean</v>
      </c>
    </row>
    <row r="161" spans="1:46">
      <c r="A161" t="s">
        <v>880</v>
      </c>
      <c r="B161">
        <f>COUNTIF($D$2:D161,D161)</f>
        <v>2</v>
      </c>
      <c r="C161" t="str">
        <f>IF(COUNTIF($A:$A,A161)=1,
"Unique",
IF(COUNTIFS($A:$A,A161,$N:$N,N161,$AF:$AF,AF161,$AJ:$AJ,AJ161)&gt;1,
"Exact Duplicate",
"Conflicting Duplicate"))</f>
        <v>Unique</v>
      </c>
      <c r="D161" t="s">
        <v>881</v>
      </c>
      <c r="E161" t="s">
        <v>882</v>
      </c>
      <c r="F161" s="3">
        <v>45687</v>
      </c>
      <c r="G161" s="3">
        <v>45749</v>
      </c>
      <c r="H161" s="5" t="str">
        <f t="shared" si="36"/>
        <v>January</v>
      </c>
      <c r="I161" s="5">
        <f t="shared" si="37"/>
        <v>2025</v>
      </c>
      <c r="J161" t="str">
        <f>IF(F161="","Missing Date",
IF(ISNUMBER(F161),"Valid","Invalid Date"))</f>
        <v>Valid</v>
      </c>
      <c r="K161" t="str">
        <f t="shared" si="38"/>
        <v>Valid</v>
      </c>
      <c r="L161">
        <f>G161-F161</f>
        <v>62</v>
      </c>
      <c r="M161" t="s">
        <v>883</v>
      </c>
      <c r="N161" t="s">
        <v>142</v>
      </c>
      <c r="O161" t="str">
        <f t="shared" si="39"/>
        <v>Priya Menon</v>
      </c>
      <c r="P161" t="s">
        <v>108</v>
      </c>
      <c r="Q161" t="str">
        <f t="shared" si="40"/>
        <v>Corporate</v>
      </c>
      <c r="R161" t="s">
        <v>27</v>
      </c>
      <c r="S161" t="str">
        <f t="shared" si="41"/>
        <v>North</v>
      </c>
      <c r="T161" t="s">
        <v>323</v>
      </c>
      <c r="U161" t="str">
        <f t="shared" si="42"/>
        <v>Haryana</v>
      </c>
      <c r="V161" t="s">
        <v>324</v>
      </c>
      <c r="W161" t="str">
        <f t="shared" si="43"/>
        <v>Gurugram</v>
      </c>
      <c r="X161" t="s">
        <v>45</v>
      </c>
      <c r="Y161" t="str">
        <f t="shared" si="44"/>
        <v>Furniture</v>
      </c>
      <c r="Z161" t="s">
        <v>76</v>
      </c>
      <c r="AA161" t="str">
        <f t="shared" si="45"/>
        <v>Chairs</v>
      </c>
      <c r="AB161" t="s">
        <v>884</v>
      </c>
      <c r="AC161" t="s">
        <v>48</v>
      </c>
      <c r="AD161" t="str">
        <f t="shared" si="46"/>
        <v>Same Day</v>
      </c>
      <c r="AE161">
        <v>9</v>
      </c>
      <c r="AF161">
        <v>4430.5</v>
      </c>
      <c r="AG161">
        <v>0.15</v>
      </c>
      <c r="AH161">
        <v>0.15</v>
      </c>
      <c r="AI161" t="str">
        <f t="shared" si="47"/>
        <v>Valid</v>
      </c>
      <c r="AJ161">
        <v>33893.32</v>
      </c>
      <c r="AK161">
        <f t="shared" si="48"/>
        <v>33893.324999999997</v>
      </c>
      <c r="AL161">
        <v>25750.35</v>
      </c>
      <c r="AM161">
        <v>8142.97</v>
      </c>
      <c r="AN161">
        <f t="shared" si="49"/>
        <v>8142.9749999999985</v>
      </c>
      <c r="AO161">
        <f t="shared" si="50"/>
        <v>-25750.35</v>
      </c>
      <c r="AP161" t="s">
        <v>137</v>
      </c>
      <c r="AQ161" t="str">
        <f t="shared" si="51"/>
        <v>Pending</v>
      </c>
      <c r="AR161" t="s">
        <v>78</v>
      </c>
      <c r="AS161" t="str">
        <f t="shared" si="52"/>
        <v>Cancelled</v>
      </c>
      <c r="AT161" t="str">
        <f t="shared" si="53"/>
        <v>Clean</v>
      </c>
    </row>
    <row r="162" spans="1:46">
      <c r="A162" t="s">
        <v>885</v>
      </c>
      <c r="B162">
        <f>COUNTIF($D$2:D162,D162)</f>
        <v>1</v>
      </c>
      <c r="C162" t="str">
        <f>IF(COUNTIF($A:$A,A162)=1,
"Unique",
IF(COUNTIFS($A:$A,A162,$N:$N,N162,$AF:$AF,AF162,$AJ:$AJ,AJ162)&gt;1,
"Exact Duplicate",
"Conflicting Duplicate"))</f>
        <v>Unique</v>
      </c>
      <c r="D162" t="s">
        <v>886</v>
      </c>
      <c r="E162" t="s">
        <v>887</v>
      </c>
      <c r="F162" s="3">
        <v>45879</v>
      </c>
      <c r="G162" s="3">
        <v>45936</v>
      </c>
      <c r="H162" s="5" t="str">
        <f t="shared" si="36"/>
        <v>August</v>
      </c>
      <c r="I162" s="5">
        <f t="shared" si="37"/>
        <v>2025</v>
      </c>
      <c r="J162" t="str">
        <f>IF(F162="","Missing Date",
IF(ISNUMBER(F162),"Valid","Invalid Date"))</f>
        <v>Valid</v>
      </c>
      <c r="K162" t="str">
        <f t="shared" si="38"/>
        <v>Valid</v>
      </c>
      <c r="L162">
        <f>G162-F162</f>
        <v>57</v>
      </c>
      <c r="M162" t="s">
        <v>888</v>
      </c>
      <c r="N162" t="s">
        <v>83</v>
      </c>
      <c r="O162" t="str">
        <f t="shared" si="39"/>
        <v>Vikram Iyer</v>
      </c>
      <c r="P162" t="s">
        <v>41</v>
      </c>
      <c r="Q162" t="str">
        <f t="shared" si="40"/>
        <v>Small Business</v>
      </c>
      <c r="R162" t="s">
        <v>73</v>
      </c>
      <c r="S162" t="str">
        <f t="shared" si="41"/>
        <v>West</v>
      </c>
      <c r="T162" t="s">
        <v>74</v>
      </c>
      <c r="U162" t="str">
        <f t="shared" si="42"/>
        <v>Maharashtra</v>
      </c>
      <c r="V162" t="s">
        <v>75</v>
      </c>
      <c r="W162" t="str">
        <f t="shared" si="43"/>
        <v>Mumbai</v>
      </c>
      <c r="X162" t="s">
        <v>30</v>
      </c>
      <c r="Y162" t="str">
        <f t="shared" si="44"/>
        <v>Office Supplies</v>
      </c>
      <c r="Z162" t="s">
        <v>31</v>
      </c>
      <c r="AA162" t="str">
        <f t="shared" si="45"/>
        <v>Paper</v>
      </c>
      <c r="AB162" t="s">
        <v>889</v>
      </c>
      <c r="AC162" t="s">
        <v>33</v>
      </c>
      <c r="AD162" t="str">
        <f t="shared" si="46"/>
        <v>Second Class</v>
      </c>
      <c r="AE162">
        <v>4</v>
      </c>
      <c r="AF162">
        <v>1260.42</v>
      </c>
      <c r="AG162">
        <v>0.05</v>
      </c>
      <c r="AH162">
        <v>0.05</v>
      </c>
      <c r="AI162" t="str">
        <f t="shared" si="47"/>
        <v>Valid</v>
      </c>
      <c r="AJ162">
        <v>4789.6000000000004</v>
      </c>
      <c r="AK162">
        <f t="shared" si="48"/>
        <v>4789.5960000000005</v>
      </c>
      <c r="AL162">
        <v>4037.64</v>
      </c>
      <c r="AM162">
        <v>751.96</v>
      </c>
      <c r="AN162">
        <f t="shared" si="49"/>
        <v>751.95600000000059</v>
      </c>
      <c r="AO162">
        <f t="shared" si="50"/>
        <v>-4037.64</v>
      </c>
      <c r="AP162" t="s">
        <v>137</v>
      </c>
      <c r="AQ162" t="str">
        <f t="shared" si="51"/>
        <v>Pending</v>
      </c>
      <c r="AR162" t="s">
        <v>78</v>
      </c>
      <c r="AS162" t="str">
        <f t="shared" si="52"/>
        <v>Cancelled</v>
      </c>
      <c r="AT162" t="str">
        <f t="shared" si="53"/>
        <v>Clean</v>
      </c>
    </row>
    <row r="163" spans="1:46">
      <c r="A163" t="s">
        <v>890</v>
      </c>
      <c r="B163">
        <f>COUNTIF($D$2:D163,D163)</f>
        <v>1</v>
      </c>
      <c r="C163" t="str">
        <f>IF(COUNTIF($A:$A,A163)=1,
"Unique",
IF(COUNTIFS($A:$A,A163,$N:$N,N163,$AF:$AF,AF163,$AJ:$AJ,AJ163)&gt;1,
"Exact Duplicate",
"Conflicting Duplicate"))</f>
        <v>Unique</v>
      </c>
      <c r="D163" t="s">
        <v>891</v>
      </c>
      <c r="E163" t="s">
        <v>892</v>
      </c>
      <c r="F163" s="3">
        <v>45862</v>
      </c>
      <c r="G163" s="3">
        <v>45868</v>
      </c>
      <c r="H163" s="5" t="str">
        <f t="shared" si="36"/>
        <v>July</v>
      </c>
      <c r="I163" s="5">
        <f t="shared" si="37"/>
        <v>2025</v>
      </c>
      <c r="J163" t="str">
        <f>IF(F163="","Missing Date",
IF(ISNUMBER(F163),"Valid","Invalid Date"))</f>
        <v>Valid</v>
      </c>
      <c r="K163" t="str">
        <f t="shared" si="38"/>
        <v>Valid</v>
      </c>
      <c r="L163">
        <f>G163-F163</f>
        <v>6</v>
      </c>
      <c r="M163" t="s">
        <v>893</v>
      </c>
      <c r="N163" t="s">
        <v>61</v>
      </c>
      <c r="O163" t="str">
        <f t="shared" si="39"/>
        <v>Arjun Bose</v>
      </c>
      <c r="P163" t="s">
        <v>894</v>
      </c>
      <c r="Q163" t="str">
        <f t="shared" si="40"/>
        <v>Consumer</v>
      </c>
      <c r="R163" t="s">
        <v>73</v>
      </c>
      <c r="S163" t="str">
        <f t="shared" si="41"/>
        <v>West</v>
      </c>
      <c r="T163" t="s">
        <v>28</v>
      </c>
      <c r="U163" t="str">
        <f t="shared" si="42"/>
        <v>Rajasthan</v>
      </c>
      <c r="V163" t="s">
        <v>135</v>
      </c>
      <c r="W163" t="str">
        <f t="shared" si="43"/>
        <v>Udaipur</v>
      </c>
      <c r="X163" t="s">
        <v>30</v>
      </c>
      <c r="Y163" t="str">
        <f t="shared" si="44"/>
        <v>Office Supplies</v>
      </c>
      <c r="Z163" t="s">
        <v>198</v>
      </c>
      <c r="AA163" t="str">
        <f t="shared" si="45"/>
        <v>Binders</v>
      </c>
      <c r="AB163" t="s">
        <v>895</v>
      </c>
      <c r="AC163" t="s">
        <v>67</v>
      </c>
      <c r="AD163" t="str">
        <f t="shared" si="46"/>
        <v>Standard Class</v>
      </c>
      <c r="AE163">
        <v>1</v>
      </c>
      <c r="AF163">
        <v>1643.41</v>
      </c>
      <c r="AG163">
        <v>0</v>
      </c>
      <c r="AH163">
        <v>0</v>
      </c>
      <c r="AI163" t="str">
        <f t="shared" si="47"/>
        <v>Valid</v>
      </c>
      <c r="AJ163">
        <v>1643.41</v>
      </c>
      <c r="AK163">
        <f t="shared" si="48"/>
        <v>1643.41</v>
      </c>
      <c r="AL163">
        <v>907.4</v>
      </c>
      <c r="AM163">
        <v>736.01</v>
      </c>
      <c r="AN163">
        <f t="shared" si="49"/>
        <v>736.0100000000001</v>
      </c>
      <c r="AO163">
        <f t="shared" si="50"/>
        <v>-907.4</v>
      </c>
      <c r="AP163" t="s">
        <v>137</v>
      </c>
      <c r="AQ163" t="str">
        <f t="shared" si="51"/>
        <v>Pending</v>
      </c>
      <c r="AR163" t="s">
        <v>78</v>
      </c>
      <c r="AS163" t="str">
        <f t="shared" si="52"/>
        <v>Cancelled</v>
      </c>
      <c r="AT163" t="str">
        <f t="shared" si="53"/>
        <v>Clean</v>
      </c>
    </row>
    <row r="164" spans="1:46">
      <c r="A164" t="s">
        <v>896</v>
      </c>
      <c r="B164">
        <f>COUNTIF($D$2:D164,D164)</f>
        <v>1</v>
      </c>
      <c r="C164" t="str">
        <f>IF(COUNTIF($A:$A,A164)=1,
"Unique",
IF(COUNTIFS($A:$A,A164,$N:$N,N164,$AF:$AF,AF164,$AJ:$AJ,AJ164)&gt;1,
"Exact Duplicate",
"Conflicting Duplicate"))</f>
        <v>Unique</v>
      </c>
      <c r="D164" t="s">
        <v>897</v>
      </c>
      <c r="E164" t="s">
        <v>898</v>
      </c>
      <c r="F164" s="3">
        <v>45538</v>
      </c>
      <c r="G164" s="2">
        <v>45365</v>
      </c>
      <c r="H164" s="5" t="str">
        <f t="shared" si="36"/>
        <v>September</v>
      </c>
      <c r="I164" s="5">
        <f t="shared" si="37"/>
        <v>2024</v>
      </c>
      <c r="J164" t="str">
        <f>IF(F164="","Missing Date",
IF(ISNUMBER(F164),"Valid","Invalid Date"))</f>
        <v>Valid</v>
      </c>
      <c r="K164" t="str">
        <f t="shared" si="38"/>
        <v>Valid</v>
      </c>
      <c r="L164">
        <f>G164-F164</f>
        <v>-173</v>
      </c>
      <c r="M164" t="s">
        <v>899</v>
      </c>
      <c r="N164" t="s">
        <v>93</v>
      </c>
      <c r="O164" t="str">
        <f t="shared" si="39"/>
        <v>Neha Gupta</v>
      </c>
      <c r="P164" t="s">
        <v>41</v>
      </c>
      <c r="Q164" t="str">
        <f t="shared" si="40"/>
        <v>Small Business</v>
      </c>
      <c r="R164" t="s">
        <v>73</v>
      </c>
      <c r="S164" t="str">
        <f t="shared" si="41"/>
        <v>West</v>
      </c>
      <c r="T164" t="s">
        <v>249</v>
      </c>
      <c r="U164" t="str">
        <f t="shared" si="42"/>
        <v>Goa</v>
      </c>
      <c r="V164" t="s">
        <v>250</v>
      </c>
      <c r="W164" t="str">
        <f t="shared" si="43"/>
        <v>Panaji</v>
      </c>
      <c r="X164" t="s">
        <v>45</v>
      </c>
      <c r="Y164" t="str">
        <f t="shared" si="44"/>
        <v>Furniture</v>
      </c>
      <c r="Z164" t="s">
        <v>65</v>
      </c>
      <c r="AA164" t="str">
        <f t="shared" si="45"/>
        <v>Furnishings</v>
      </c>
      <c r="AB164" t="s">
        <v>900</v>
      </c>
      <c r="AC164" t="s">
        <v>33</v>
      </c>
      <c r="AD164" t="str">
        <f t="shared" si="46"/>
        <v>Second Class</v>
      </c>
      <c r="AE164">
        <v>8</v>
      </c>
      <c r="AF164">
        <v>4472.84</v>
      </c>
      <c r="AG164">
        <v>0</v>
      </c>
      <c r="AH164">
        <v>0</v>
      </c>
      <c r="AI164" t="str">
        <f t="shared" si="47"/>
        <v>Valid</v>
      </c>
      <c r="AJ164">
        <v>35997.620000000003</v>
      </c>
      <c r="AK164">
        <f t="shared" si="48"/>
        <v>35782.720000000001</v>
      </c>
      <c r="AL164">
        <v>26424.41</v>
      </c>
      <c r="AM164">
        <v>9358.31</v>
      </c>
      <c r="AN164">
        <f t="shared" si="49"/>
        <v>9358.3100000000013</v>
      </c>
      <c r="AO164">
        <f t="shared" si="50"/>
        <v>-26424.41</v>
      </c>
      <c r="AP164" t="s">
        <v>137</v>
      </c>
      <c r="AQ164" t="str">
        <f t="shared" si="51"/>
        <v>Pending</v>
      </c>
      <c r="AR164" t="s">
        <v>125</v>
      </c>
      <c r="AS164" t="str">
        <f t="shared" si="52"/>
        <v>Returned</v>
      </c>
      <c r="AT164" t="str">
        <f t="shared" si="53"/>
        <v>Clean</v>
      </c>
    </row>
    <row r="165" spans="1:46">
      <c r="A165" t="s">
        <v>901</v>
      </c>
      <c r="B165">
        <f>COUNTIF($D$2:D165,D165)</f>
        <v>1</v>
      </c>
      <c r="C165" t="str">
        <f>IF(COUNTIF($A:$A,A165)=1,
"Unique",
IF(COUNTIFS($A:$A,A165,$N:$N,N165,$AF:$AF,AF165,$AJ:$AJ,AJ165)&gt;1,
"Exact Duplicate",
"Conflicting Duplicate"))</f>
        <v>Unique</v>
      </c>
      <c r="D165" t="s">
        <v>902</v>
      </c>
      <c r="E165" t="s">
        <v>725</v>
      </c>
      <c r="F165" s="3">
        <v>45921</v>
      </c>
      <c r="G165" s="2">
        <v>45926</v>
      </c>
      <c r="H165" s="5" t="str">
        <f t="shared" si="36"/>
        <v>September</v>
      </c>
      <c r="I165" s="5">
        <f t="shared" si="37"/>
        <v>2025</v>
      </c>
      <c r="J165" t="str">
        <f>IF(F165="","Missing Date",
IF(ISNUMBER(F165),"Valid","Invalid Date"))</f>
        <v>Valid</v>
      </c>
      <c r="K165" t="str">
        <f t="shared" si="38"/>
        <v>Valid</v>
      </c>
      <c r="L165">
        <f>G165-F165</f>
        <v>5</v>
      </c>
      <c r="M165" t="s">
        <v>903</v>
      </c>
      <c r="N165" t="s">
        <v>180</v>
      </c>
      <c r="O165" t="str">
        <f t="shared" si="39"/>
        <v>Rohan Mehta</v>
      </c>
      <c r="P165" t="s">
        <v>115</v>
      </c>
      <c r="Q165" t="str">
        <f t="shared" si="40"/>
        <v>Home Office</v>
      </c>
      <c r="R165" t="s">
        <v>73</v>
      </c>
      <c r="S165" t="str">
        <f t="shared" si="41"/>
        <v>West</v>
      </c>
      <c r="T165" t="s">
        <v>235</v>
      </c>
      <c r="U165" t="str">
        <f t="shared" si="42"/>
        <v>Gujarat</v>
      </c>
      <c r="V165" t="s">
        <v>236</v>
      </c>
      <c r="W165" t="str">
        <f t="shared" si="43"/>
        <v>Ahmedabad</v>
      </c>
      <c r="X165" t="s">
        <v>45</v>
      </c>
      <c r="Y165" t="str">
        <f t="shared" si="44"/>
        <v>Furniture</v>
      </c>
      <c r="Z165" t="s">
        <v>46</v>
      </c>
      <c r="AA165" t="str">
        <f t="shared" si="45"/>
        <v>Tables</v>
      </c>
      <c r="AB165" t="s">
        <v>904</v>
      </c>
      <c r="AC165" t="s">
        <v>4104</v>
      </c>
      <c r="AD165" t="str">
        <f t="shared" si="46"/>
        <v>Unknown</v>
      </c>
      <c r="AE165">
        <v>6</v>
      </c>
      <c r="AF165">
        <v>2903.58</v>
      </c>
      <c r="AG165">
        <v>0.1</v>
      </c>
      <c r="AH165">
        <v>0.1</v>
      </c>
      <c r="AI165" t="str">
        <f t="shared" si="47"/>
        <v>Valid</v>
      </c>
      <c r="AJ165">
        <v>15679.33</v>
      </c>
      <c r="AK165">
        <f t="shared" si="48"/>
        <v>15679.332</v>
      </c>
      <c r="AL165">
        <v>12477.82</v>
      </c>
      <c r="AM165">
        <v>3201.51</v>
      </c>
      <c r="AN165">
        <f t="shared" si="49"/>
        <v>3201.5120000000006</v>
      </c>
      <c r="AO165">
        <f t="shared" si="50"/>
        <v>-12477.82</v>
      </c>
      <c r="AP165" t="s">
        <v>137</v>
      </c>
      <c r="AQ165" t="str">
        <f t="shared" si="51"/>
        <v>Pending</v>
      </c>
      <c r="AR165" t="s">
        <v>125</v>
      </c>
      <c r="AS165" t="str">
        <f t="shared" si="52"/>
        <v>Returned</v>
      </c>
      <c r="AT165" t="str">
        <f t="shared" si="53"/>
        <v>Clean</v>
      </c>
    </row>
    <row r="166" spans="1:46">
      <c r="A166" t="s">
        <v>905</v>
      </c>
      <c r="B166">
        <f>COUNTIF($D$2:D166,D166)</f>
        <v>1</v>
      </c>
      <c r="C166" t="str">
        <f>IF(COUNTIF($A:$A,A166)=1,
"Unique",
IF(COUNTIFS($A:$A,A166,$N:$N,N166,$AF:$AF,AF166,$AJ:$AJ,AJ166)&gt;1,
"Exact Duplicate",
"Conflicting Duplicate"))</f>
        <v>Unique</v>
      </c>
      <c r="D166" t="s">
        <v>906</v>
      </c>
      <c r="E166" t="s">
        <v>907</v>
      </c>
      <c r="F166" s="2">
        <v>45909</v>
      </c>
      <c r="G166" s="3">
        <v>45914</v>
      </c>
      <c r="H166" s="5" t="str">
        <f t="shared" si="36"/>
        <v>September</v>
      </c>
      <c r="I166" s="5">
        <f t="shared" si="37"/>
        <v>2025</v>
      </c>
      <c r="J166" t="str">
        <f>IF(F166="","Missing Date",
IF(ISNUMBER(F166),"Valid","Invalid Date"))</f>
        <v>Valid</v>
      </c>
      <c r="K166" t="str">
        <f t="shared" si="38"/>
        <v>Valid</v>
      </c>
      <c r="L166">
        <f>G166-F166</f>
        <v>5</v>
      </c>
      <c r="M166" t="s">
        <v>908</v>
      </c>
      <c r="N166" t="s">
        <v>148</v>
      </c>
      <c r="O166" t="str">
        <f t="shared" si="39"/>
        <v>Rahul Verma</v>
      </c>
      <c r="P166" t="s">
        <v>41</v>
      </c>
      <c r="Q166" t="str">
        <f t="shared" si="40"/>
        <v>Small Business</v>
      </c>
      <c r="R166" t="s">
        <v>42</v>
      </c>
      <c r="S166" t="str">
        <f t="shared" si="41"/>
        <v>East</v>
      </c>
      <c r="T166" t="s">
        <v>121</v>
      </c>
      <c r="U166" t="str">
        <f t="shared" si="42"/>
        <v>West Bengal</v>
      </c>
      <c r="V166" t="s">
        <v>122</v>
      </c>
      <c r="W166" t="str">
        <f t="shared" si="43"/>
        <v>Kolkata</v>
      </c>
      <c r="X166" t="s">
        <v>45</v>
      </c>
      <c r="Y166" t="str">
        <f t="shared" si="44"/>
        <v>Furniture</v>
      </c>
      <c r="Z166" t="s">
        <v>204</v>
      </c>
      <c r="AA166" t="str">
        <f t="shared" si="45"/>
        <v>Bookcases</v>
      </c>
      <c r="AB166" t="s">
        <v>909</v>
      </c>
      <c r="AC166" t="s">
        <v>33</v>
      </c>
      <c r="AD166" t="str">
        <f t="shared" si="46"/>
        <v>Second Class</v>
      </c>
      <c r="AE166">
        <v>1</v>
      </c>
      <c r="AF166">
        <v>3154.42</v>
      </c>
      <c r="AG166">
        <v>0.25</v>
      </c>
      <c r="AH166">
        <v>0.25</v>
      </c>
      <c r="AI166" t="str">
        <f t="shared" si="47"/>
        <v>Valid</v>
      </c>
      <c r="AJ166">
        <v>2365.8200000000002</v>
      </c>
      <c r="AK166">
        <f t="shared" si="48"/>
        <v>2365.8150000000001</v>
      </c>
      <c r="AL166">
        <v>1547.99</v>
      </c>
      <c r="AM166">
        <v>817.83</v>
      </c>
      <c r="AN166">
        <f t="shared" si="49"/>
        <v>817.82500000000005</v>
      </c>
      <c r="AO166">
        <f t="shared" si="50"/>
        <v>-1547.99</v>
      </c>
      <c r="AP166" t="s">
        <v>34</v>
      </c>
      <c r="AQ166" t="str">
        <f t="shared" si="51"/>
        <v>Paid</v>
      </c>
      <c r="AR166" t="s">
        <v>35</v>
      </c>
      <c r="AS166" t="str">
        <f t="shared" si="52"/>
        <v>Completed</v>
      </c>
      <c r="AT166" t="str">
        <f t="shared" si="53"/>
        <v>Clean</v>
      </c>
    </row>
    <row r="167" spans="1:46">
      <c r="A167" t="s">
        <v>910</v>
      </c>
      <c r="B167">
        <f>COUNTIF($D$2:D167,D167)</f>
        <v>1</v>
      </c>
      <c r="C167" t="str">
        <f>IF(COUNTIF($A:$A,A167)=1,
"Unique",
IF(COUNTIFS($A:$A,A167,$N:$N,N167,$AF:$AF,AF167,$AJ:$AJ,AJ167)&gt;1,
"Exact Duplicate",
"Conflicting Duplicate"))</f>
        <v>Unique</v>
      </c>
      <c r="D167" t="s">
        <v>911</v>
      </c>
      <c r="E167" t="s">
        <v>912</v>
      </c>
      <c r="F167" s="3">
        <v>45618</v>
      </c>
      <c r="G167" s="3">
        <v>45625</v>
      </c>
      <c r="H167" s="5" t="str">
        <f t="shared" si="36"/>
        <v>November</v>
      </c>
      <c r="I167" s="5">
        <f t="shared" si="37"/>
        <v>2024</v>
      </c>
      <c r="J167" t="str">
        <f>IF(F167="","Missing Date",
IF(ISNUMBER(F167),"Valid","Invalid Date"))</f>
        <v>Valid</v>
      </c>
      <c r="K167" t="str">
        <f t="shared" si="38"/>
        <v>Valid</v>
      </c>
      <c r="L167">
        <f>G167-F167</f>
        <v>7</v>
      </c>
      <c r="M167" t="s">
        <v>913</v>
      </c>
      <c r="N167" t="s">
        <v>40</v>
      </c>
      <c r="O167" t="str">
        <f t="shared" si="39"/>
        <v>Mira Das</v>
      </c>
      <c r="P167" t="s">
        <v>115</v>
      </c>
      <c r="Q167" t="str">
        <f t="shared" si="40"/>
        <v>Home Office</v>
      </c>
      <c r="R167" t="s">
        <v>42</v>
      </c>
      <c r="S167" t="str">
        <f t="shared" si="41"/>
        <v>East</v>
      </c>
      <c r="T167" t="s">
        <v>186</v>
      </c>
      <c r="U167" t="str">
        <f t="shared" si="42"/>
        <v>Bihar</v>
      </c>
      <c r="V167" t="s">
        <v>187</v>
      </c>
      <c r="W167" t="str">
        <f t="shared" si="43"/>
        <v>Patna</v>
      </c>
      <c r="X167" t="s">
        <v>45</v>
      </c>
      <c r="Y167" t="str">
        <f t="shared" si="44"/>
        <v>Furniture</v>
      </c>
      <c r="Z167" t="s">
        <v>76</v>
      </c>
      <c r="AA167" t="str">
        <f t="shared" si="45"/>
        <v>Chairs</v>
      </c>
      <c r="AB167" t="s">
        <v>914</v>
      </c>
      <c r="AC167" t="s">
        <v>67</v>
      </c>
      <c r="AD167" t="str">
        <f t="shared" si="46"/>
        <v>Standard Class</v>
      </c>
      <c r="AE167">
        <v>4</v>
      </c>
      <c r="AF167">
        <v>3422.99</v>
      </c>
      <c r="AG167">
        <v>0.25</v>
      </c>
      <c r="AH167">
        <v>0.25</v>
      </c>
      <c r="AI167" t="str">
        <f t="shared" si="47"/>
        <v>Valid</v>
      </c>
      <c r="AJ167">
        <v>10268.969999999999</v>
      </c>
      <c r="AK167">
        <f t="shared" si="48"/>
        <v>10268.969999999999</v>
      </c>
      <c r="AL167">
        <v>6470.92</v>
      </c>
      <c r="AM167">
        <v>3798.05</v>
      </c>
      <c r="AN167">
        <f t="shared" si="49"/>
        <v>3798.0499999999993</v>
      </c>
      <c r="AO167">
        <f t="shared" si="50"/>
        <v>-6470.92</v>
      </c>
      <c r="AP167" t="s">
        <v>34</v>
      </c>
      <c r="AQ167" t="str">
        <f t="shared" si="51"/>
        <v>Paid</v>
      </c>
      <c r="AR167" t="s">
        <v>35</v>
      </c>
      <c r="AS167" t="str">
        <f t="shared" si="52"/>
        <v>Completed</v>
      </c>
      <c r="AT167" t="str">
        <f t="shared" si="53"/>
        <v>Clean</v>
      </c>
    </row>
    <row r="168" spans="1:46">
      <c r="A168" t="s">
        <v>915</v>
      </c>
      <c r="B168">
        <f>COUNTIF($D$2:D168,D168)</f>
        <v>1</v>
      </c>
      <c r="C168" t="str">
        <f>IF(COUNTIF($A:$A,A168)=1,
"Unique",
IF(COUNTIFS($A:$A,A168,$N:$N,N168,$AF:$AF,AF168,$AJ:$AJ,AJ168)&gt;1,
"Exact Duplicate",
"Conflicting Duplicate"))</f>
        <v>Unique</v>
      </c>
      <c r="D168" t="s">
        <v>916</v>
      </c>
      <c r="E168" t="s">
        <v>98</v>
      </c>
      <c r="F168" s="3">
        <v>45708</v>
      </c>
      <c r="G168" s="3">
        <v>45714</v>
      </c>
      <c r="H168" s="5" t="str">
        <f t="shared" si="36"/>
        <v>February</v>
      </c>
      <c r="I168" s="5">
        <f t="shared" si="37"/>
        <v>2025</v>
      </c>
      <c r="J168" t="str">
        <f>IF(F168="","Missing Date",
IF(ISNUMBER(F168),"Valid","Invalid Date"))</f>
        <v>Valid</v>
      </c>
      <c r="K168" t="str">
        <f t="shared" si="38"/>
        <v>Valid</v>
      </c>
      <c r="L168">
        <f>G168-F168</f>
        <v>6</v>
      </c>
      <c r="M168" t="s">
        <v>917</v>
      </c>
      <c r="N168" t="s">
        <v>25</v>
      </c>
      <c r="O168" t="str">
        <f t="shared" si="39"/>
        <v>Karan Malhotra</v>
      </c>
      <c r="P168" t="s">
        <v>41</v>
      </c>
      <c r="Q168" t="str">
        <f t="shared" si="40"/>
        <v>Small Business</v>
      </c>
      <c r="R168" t="s">
        <v>73</v>
      </c>
      <c r="S168" t="str">
        <f t="shared" si="41"/>
        <v>West</v>
      </c>
      <c r="T168" t="s">
        <v>235</v>
      </c>
      <c r="U168" t="str">
        <f t="shared" si="42"/>
        <v>Gujarat</v>
      </c>
      <c r="V168" t="s">
        <v>236</v>
      </c>
      <c r="W168" t="str">
        <f t="shared" si="43"/>
        <v>Ahmedabad</v>
      </c>
      <c r="X168" t="s">
        <v>918</v>
      </c>
      <c r="Y168" t="str">
        <f t="shared" si="44"/>
        <v>Office Supplies</v>
      </c>
      <c r="Z168" t="s">
        <v>109</v>
      </c>
      <c r="AA168" t="str">
        <f t="shared" si="45"/>
        <v>Labels</v>
      </c>
      <c r="AB168" t="s">
        <v>919</v>
      </c>
      <c r="AC168" t="s">
        <v>56</v>
      </c>
      <c r="AD168" t="str">
        <f t="shared" si="46"/>
        <v>First Class</v>
      </c>
      <c r="AE168">
        <v>1</v>
      </c>
      <c r="AF168">
        <v>2557.85</v>
      </c>
      <c r="AG168">
        <v>0.2</v>
      </c>
      <c r="AH168">
        <v>0.2</v>
      </c>
      <c r="AI168" t="str">
        <f t="shared" si="47"/>
        <v>Valid</v>
      </c>
      <c r="AJ168">
        <v>2046.28</v>
      </c>
      <c r="AK168">
        <f t="shared" si="48"/>
        <v>2046.28</v>
      </c>
      <c r="AL168">
        <v>1449.54</v>
      </c>
      <c r="AM168">
        <v>596.74</v>
      </c>
      <c r="AN168">
        <f t="shared" si="49"/>
        <v>596.74</v>
      </c>
      <c r="AO168">
        <f t="shared" si="50"/>
        <v>-1449.54</v>
      </c>
      <c r="AP168" t="s">
        <v>34</v>
      </c>
      <c r="AQ168" t="str">
        <f t="shared" si="51"/>
        <v>Paid</v>
      </c>
      <c r="AR168" t="s">
        <v>35</v>
      </c>
      <c r="AS168" t="str">
        <f t="shared" si="52"/>
        <v>Completed</v>
      </c>
      <c r="AT168" t="str">
        <f t="shared" si="53"/>
        <v>Clean</v>
      </c>
    </row>
    <row r="169" spans="1:46">
      <c r="A169" t="s">
        <v>920</v>
      </c>
      <c r="B169">
        <f>COUNTIF($D$2:D169,D169)</f>
        <v>1</v>
      </c>
      <c r="C169" t="str">
        <f>IF(COUNTIF($A:$A,A169)=1,
"Unique",
IF(COUNTIFS($A:$A,A169,$N:$N,N169,$AF:$AF,AF169,$AJ:$AJ,AJ169)&gt;1,
"Exact Duplicate",
"Conflicting Duplicate"))</f>
        <v>Unique</v>
      </c>
      <c r="D169" t="s">
        <v>921</v>
      </c>
      <c r="E169" t="s">
        <v>922</v>
      </c>
      <c r="F169" s="3">
        <v>45887</v>
      </c>
      <c r="G169" s="3">
        <v>45887</v>
      </c>
      <c r="H169" s="5" t="str">
        <f t="shared" si="36"/>
        <v>August</v>
      </c>
      <c r="I169" s="5">
        <f t="shared" si="37"/>
        <v>2025</v>
      </c>
      <c r="J169" t="str">
        <f>IF(F169="","Missing Date",
IF(ISNUMBER(F169),"Valid","Invalid Date"))</f>
        <v>Valid</v>
      </c>
      <c r="K169" t="str">
        <f t="shared" si="38"/>
        <v>Valid</v>
      </c>
      <c r="L169">
        <f>G169-F169</f>
        <v>0</v>
      </c>
      <c r="M169" t="s">
        <v>923</v>
      </c>
      <c r="N169" t="s">
        <v>61</v>
      </c>
      <c r="O169" t="str">
        <f t="shared" si="39"/>
        <v>Arjun Bose</v>
      </c>
      <c r="P169" t="s">
        <v>115</v>
      </c>
      <c r="Q169" t="str">
        <f t="shared" si="40"/>
        <v>Home Office</v>
      </c>
      <c r="R169" t="s">
        <v>62</v>
      </c>
      <c r="S169" t="str">
        <f t="shared" si="41"/>
        <v>South</v>
      </c>
      <c r="T169" t="s">
        <v>229</v>
      </c>
      <c r="U169" t="str">
        <f t="shared" si="42"/>
        <v>Karnataka</v>
      </c>
      <c r="V169" t="s">
        <v>230</v>
      </c>
      <c r="W169" t="str">
        <f t="shared" si="43"/>
        <v>Bengaluru</v>
      </c>
      <c r="X169" t="s">
        <v>30</v>
      </c>
      <c r="Y169" t="str">
        <f t="shared" si="44"/>
        <v>Office Supplies</v>
      </c>
      <c r="Z169" t="s">
        <v>156</v>
      </c>
      <c r="AA169" t="str">
        <f t="shared" si="45"/>
        <v>Storage</v>
      </c>
      <c r="AB169" t="s">
        <v>924</v>
      </c>
      <c r="AC169" t="s">
        <v>56</v>
      </c>
      <c r="AD169" t="str">
        <f t="shared" si="46"/>
        <v>First Class</v>
      </c>
      <c r="AE169">
        <v>9</v>
      </c>
      <c r="AF169">
        <v>3030.93</v>
      </c>
      <c r="AG169">
        <v>0.15</v>
      </c>
      <c r="AH169">
        <v>0.15</v>
      </c>
      <c r="AI169" t="str">
        <f t="shared" si="47"/>
        <v>Valid</v>
      </c>
      <c r="AJ169">
        <v>23186.61</v>
      </c>
      <c r="AK169">
        <f t="shared" si="48"/>
        <v>23186.6145</v>
      </c>
      <c r="AL169">
        <v>17906.54</v>
      </c>
      <c r="AM169">
        <v>5280.07</v>
      </c>
      <c r="AN169">
        <f t="shared" si="49"/>
        <v>5280.0744999999988</v>
      </c>
      <c r="AO169">
        <f t="shared" si="50"/>
        <v>-17906.54</v>
      </c>
      <c r="AP169" t="s">
        <v>34</v>
      </c>
      <c r="AQ169" t="str">
        <f t="shared" si="51"/>
        <v>Paid</v>
      </c>
      <c r="AR169" t="s">
        <v>125</v>
      </c>
      <c r="AS169" t="str">
        <f t="shared" si="52"/>
        <v>Returned</v>
      </c>
      <c r="AT169" t="str">
        <f t="shared" si="53"/>
        <v>Clean</v>
      </c>
    </row>
    <row r="170" spans="1:46">
      <c r="A170" t="s">
        <v>925</v>
      </c>
      <c r="B170">
        <f>COUNTIF($D$2:D170,D170)</f>
        <v>1</v>
      </c>
      <c r="C170" t="str">
        <f>IF(COUNTIF($A:$A,A170)=1,
"Unique",
IF(COUNTIFS($A:$A,A170,$N:$N,N170,$AF:$AF,AF170,$AJ:$AJ,AJ170)&gt;1,
"Exact Duplicate",
"Conflicting Duplicate"))</f>
        <v>Unique</v>
      </c>
      <c r="D170" t="s">
        <v>926</v>
      </c>
      <c r="E170" t="s">
        <v>184</v>
      </c>
      <c r="F170" s="3">
        <v>45677</v>
      </c>
      <c r="G170" s="2">
        <v>45680</v>
      </c>
      <c r="H170" s="5" t="str">
        <f t="shared" si="36"/>
        <v>January</v>
      </c>
      <c r="I170" s="5">
        <f t="shared" si="37"/>
        <v>2025</v>
      </c>
      <c r="J170" t="str">
        <f>IF(F170="","Missing Date",
IF(ISNUMBER(F170),"Valid","Invalid Date"))</f>
        <v>Valid</v>
      </c>
      <c r="K170" t="str">
        <f t="shared" si="38"/>
        <v>Valid</v>
      </c>
      <c r="L170">
        <f>G170-F170</f>
        <v>3</v>
      </c>
      <c r="M170" t="s">
        <v>927</v>
      </c>
      <c r="N170" t="s">
        <v>366</v>
      </c>
      <c r="O170" t="str">
        <f t="shared" si="39"/>
        <v>Kabir Singh</v>
      </c>
      <c r="P170" t="s">
        <v>26</v>
      </c>
      <c r="Q170" t="str">
        <f t="shared" si="40"/>
        <v>Consumer</v>
      </c>
      <c r="R170" t="s">
        <v>73</v>
      </c>
      <c r="S170" t="str">
        <f t="shared" si="41"/>
        <v>West</v>
      </c>
      <c r="T170" t="s">
        <v>74</v>
      </c>
      <c r="U170" t="str">
        <f t="shared" si="42"/>
        <v>Maharashtra</v>
      </c>
      <c r="V170" t="s">
        <v>75</v>
      </c>
      <c r="W170" t="str">
        <f t="shared" si="43"/>
        <v>Mumbai</v>
      </c>
      <c r="X170" t="s">
        <v>86</v>
      </c>
      <c r="Y170" t="str">
        <f t="shared" si="44"/>
        <v>Technology</v>
      </c>
      <c r="Z170" t="s">
        <v>87</v>
      </c>
      <c r="AA170" t="str">
        <f t="shared" si="45"/>
        <v>Accessories</v>
      </c>
      <c r="AB170" t="s">
        <v>928</v>
      </c>
      <c r="AC170" t="s">
        <v>48</v>
      </c>
      <c r="AD170" t="str">
        <f t="shared" si="46"/>
        <v>Same Day</v>
      </c>
      <c r="AE170">
        <v>5</v>
      </c>
      <c r="AF170">
        <v>639.27</v>
      </c>
      <c r="AG170">
        <v>0.2</v>
      </c>
      <c r="AH170">
        <v>0.2</v>
      </c>
      <c r="AI170" t="str">
        <f t="shared" si="47"/>
        <v>Valid</v>
      </c>
      <c r="AJ170">
        <v>2557.08</v>
      </c>
      <c r="AK170">
        <f t="shared" si="48"/>
        <v>2557.08</v>
      </c>
      <c r="AL170">
        <v>2025.69</v>
      </c>
      <c r="AM170">
        <v>531.39</v>
      </c>
      <c r="AN170">
        <f t="shared" si="49"/>
        <v>531.38999999999987</v>
      </c>
      <c r="AO170">
        <f t="shared" si="50"/>
        <v>-2025.69</v>
      </c>
      <c r="AP170" t="s">
        <v>34</v>
      </c>
      <c r="AQ170" t="str">
        <f t="shared" si="51"/>
        <v>Paid</v>
      </c>
      <c r="AR170" t="s">
        <v>78</v>
      </c>
      <c r="AS170" t="str">
        <f t="shared" si="52"/>
        <v>Cancelled</v>
      </c>
      <c r="AT170" t="str">
        <f t="shared" si="53"/>
        <v>Clean</v>
      </c>
    </row>
    <row r="171" spans="1:46">
      <c r="A171" t="s">
        <v>929</v>
      </c>
      <c r="B171">
        <f>COUNTIF($D$2:D171,D171)</f>
        <v>1</v>
      </c>
      <c r="C171" t="str">
        <f>IF(COUNTIF($A:$A,A171)=1,
"Unique",
IF(COUNTIFS($A:$A,A171,$N:$N,N171,$AF:$AF,AF171,$AJ:$AJ,AJ171)&gt;1,
"Exact Duplicate",
"Conflicting Duplicate"))</f>
        <v>Unique</v>
      </c>
      <c r="D171" t="s">
        <v>930</v>
      </c>
      <c r="E171" t="s">
        <v>931</v>
      </c>
      <c r="F171" s="3">
        <v>45913</v>
      </c>
      <c r="G171" s="3">
        <v>45913</v>
      </c>
      <c r="H171" s="5" t="str">
        <f t="shared" si="36"/>
        <v>September</v>
      </c>
      <c r="I171" s="5">
        <f t="shared" si="37"/>
        <v>2025</v>
      </c>
      <c r="J171" t="str">
        <f>IF(F171="","Missing Date",
IF(ISNUMBER(F171),"Valid","Invalid Date"))</f>
        <v>Valid</v>
      </c>
      <c r="K171" t="str">
        <f t="shared" si="38"/>
        <v>Valid</v>
      </c>
      <c r="L171">
        <f>G171-F171</f>
        <v>0</v>
      </c>
      <c r="M171" t="s">
        <v>932</v>
      </c>
      <c r="N171" t="s">
        <v>210</v>
      </c>
      <c r="O171" t="str">
        <f t="shared" si="39"/>
        <v>Diya Patel</v>
      </c>
      <c r="P171" t="s">
        <v>26</v>
      </c>
      <c r="Q171" t="str">
        <f t="shared" si="40"/>
        <v>Consumer</v>
      </c>
      <c r="R171" t="s">
        <v>42</v>
      </c>
      <c r="S171" t="str">
        <f t="shared" si="41"/>
        <v>East</v>
      </c>
      <c r="T171" t="s">
        <v>216</v>
      </c>
      <c r="U171" t="str">
        <f t="shared" si="42"/>
        <v>Assam</v>
      </c>
      <c r="V171" t="s">
        <v>217</v>
      </c>
      <c r="W171" t="str">
        <f t="shared" si="43"/>
        <v>Guwahati</v>
      </c>
      <c r="X171" t="s">
        <v>30</v>
      </c>
      <c r="Y171" t="str">
        <f t="shared" si="44"/>
        <v>Office Supplies</v>
      </c>
      <c r="Z171" t="s">
        <v>54</v>
      </c>
      <c r="AA171" t="str">
        <f t="shared" si="45"/>
        <v>Art</v>
      </c>
      <c r="AB171" t="s">
        <v>933</v>
      </c>
      <c r="AC171" t="s">
        <v>67</v>
      </c>
      <c r="AD171" t="str">
        <f t="shared" si="46"/>
        <v>Standard Class</v>
      </c>
      <c r="AE171">
        <v>8</v>
      </c>
      <c r="AF171">
        <v>733.9</v>
      </c>
      <c r="AG171">
        <v>0.05</v>
      </c>
      <c r="AH171">
        <v>0.05</v>
      </c>
      <c r="AI171" t="str">
        <f t="shared" si="47"/>
        <v>Valid</v>
      </c>
      <c r="AJ171">
        <v>5577.64</v>
      </c>
      <c r="AK171">
        <f t="shared" si="48"/>
        <v>5577.6399999999994</v>
      </c>
      <c r="AL171">
        <v>3541.29</v>
      </c>
      <c r="AM171">
        <v>2036.35</v>
      </c>
      <c r="AN171">
        <f t="shared" si="49"/>
        <v>2036.3499999999995</v>
      </c>
      <c r="AO171">
        <f t="shared" si="50"/>
        <v>-3541.29</v>
      </c>
      <c r="AP171" t="s">
        <v>137</v>
      </c>
      <c r="AQ171" t="str">
        <f t="shared" si="51"/>
        <v>Pending</v>
      </c>
      <c r="AR171" t="s">
        <v>125</v>
      </c>
      <c r="AS171" t="str">
        <f t="shared" si="52"/>
        <v>Returned</v>
      </c>
      <c r="AT171" t="str">
        <f t="shared" si="53"/>
        <v>Clean</v>
      </c>
    </row>
    <row r="172" spans="1:46">
      <c r="A172" t="s">
        <v>934</v>
      </c>
      <c r="B172">
        <f>COUNTIF($D$2:D172,D172)</f>
        <v>2</v>
      </c>
      <c r="C172" t="str">
        <f>IF(COUNTIF($A:$A,A172)=1,
"Unique",
IF(COUNTIFS($A:$A,A172,$N:$N,N172,$AF:$AF,AF172,$AJ:$AJ,AJ172)&gt;1,
"Exact Duplicate",
"Conflicting Duplicate"))</f>
        <v>Conflicting Duplicate</v>
      </c>
      <c r="D172" t="s">
        <v>112</v>
      </c>
      <c r="E172" t="s">
        <v>935</v>
      </c>
      <c r="F172" s="3">
        <v>45847</v>
      </c>
      <c r="G172" s="3">
        <v>45915</v>
      </c>
      <c r="H172" s="5" t="str">
        <f t="shared" si="36"/>
        <v>July</v>
      </c>
      <c r="I172" s="5">
        <f t="shared" si="37"/>
        <v>2025</v>
      </c>
      <c r="J172" t="str">
        <f>IF(F172="","Missing Date",
IF(ISNUMBER(F172),"Valid","Invalid Date"))</f>
        <v>Valid</v>
      </c>
      <c r="K172" t="str">
        <f t="shared" si="38"/>
        <v>Valid</v>
      </c>
      <c r="L172">
        <f>G172-F172</f>
        <v>68</v>
      </c>
      <c r="M172" t="s">
        <v>936</v>
      </c>
      <c r="N172" t="s">
        <v>180</v>
      </c>
      <c r="O172" t="str">
        <f t="shared" si="39"/>
        <v>Rohan Mehta</v>
      </c>
      <c r="P172" t="s">
        <v>108</v>
      </c>
      <c r="Q172" t="str">
        <f t="shared" si="40"/>
        <v>Corporate</v>
      </c>
      <c r="R172" t="s">
        <v>42</v>
      </c>
      <c r="S172" t="str">
        <f t="shared" si="41"/>
        <v>East</v>
      </c>
      <c r="T172" t="s">
        <v>186</v>
      </c>
      <c r="U172" t="str">
        <f t="shared" si="42"/>
        <v>Bihar</v>
      </c>
      <c r="V172" t="s">
        <v>187</v>
      </c>
      <c r="W172" t="str">
        <f t="shared" si="43"/>
        <v>Patna</v>
      </c>
      <c r="X172" t="s">
        <v>86</v>
      </c>
      <c r="Y172" t="str">
        <f t="shared" si="44"/>
        <v>Technology</v>
      </c>
      <c r="Z172" t="s">
        <v>94</v>
      </c>
      <c r="AA172" t="str">
        <f t="shared" si="45"/>
        <v>Copiers</v>
      </c>
      <c r="AB172" t="s">
        <v>937</v>
      </c>
      <c r="AC172" t="s">
        <v>67</v>
      </c>
      <c r="AD172" t="str">
        <f t="shared" si="46"/>
        <v>Standard Class</v>
      </c>
      <c r="AE172">
        <v>3</v>
      </c>
      <c r="AF172">
        <v>1711.32</v>
      </c>
      <c r="AG172">
        <v>0</v>
      </c>
      <c r="AH172">
        <v>0</v>
      </c>
      <c r="AI172" t="str">
        <f t="shared" si="47"/>
        <v>Valid</v>
      </c>
      <c r="AJ172">
        <v>5133.96</v>
      </c>
      <c r="AK172">
        <f t="shared" si="48"/>
        <v>5133.96</v>
      </c>
      <c r="AL172">
        <v>3930</v>
      </c>
      <c r="AM172">
        <v>1203.96</v>
      </c>
      <c r="AN172">
        <f t="shared" si="49"/>
        <v>1203.96</v>
      </c>
      <c r="AO172">
        <f t="shared" si="50"/>
        <v>-3930</v>
      </c>
      <c r="AP172" t="s">
        <v>34</v>
      </c>
      <c r="AQ172" t="str">
        <f t="shared" si="51"/>
        <v>Paid</v>
      </c>
      <c r="AR172" t="s">
        <v>35</v>
      </c>
      <c r="AS172" t="str">
        <f t="shared" si="52"/>
        <v>Completed</v>
      </c>
      <c r="AT172" t="str">
        <f t="shared" si="53"/>
        <v>Clean</v>
      </c>
    </row>
    <row r="173" spans="1:46">
      <c r="A173" t="s">
        <v>938</v>
      </c>
      <c r="B173">
        <f>COUNTIF($D$2:D173,D173)</f>
        <v>2</v>
      </c>
      <c r="C173" t="str">
        <f>IF(COUNTIF($A:$A,A173)=1,
"Unique",
IF(COUNTIFS($A:$A,A173,$N:$N,N173,$AF:$AF,AF173,$AJ:$AJ,AJ173)&gt;1,
"Exact Duplicate",
"Conflicting Duplicate"))</f>
        <v>Unique</v>
      </c>
      <c r="D173" t="s">
        <v>97</v>
      </c>
      <c r="E173" t="s">
        <v>939</v>
      </c>
      <c r="F173" s="3">
        <v>45711</v>
      </c>
      <c r="G173" s="3">
        <v>45713</v>
      </c>
      <c r="H173" s="5" t="str">
        <f t="shared" si="36"/>
        <v>February</v>
      </c>
      <c r="I173" s="5">
        <f t="shared" si="37"/>
        <v>2025</v>
      </c>
      <c r="J173" t="str">
        <f>IF(F173="","Missing Date",
IF(ISNUMBER(F173),"Valid","Invalid Date"))</f>
        <v>Valid</v>
      </c>
      <c r="K173" t="str">
        <f t="shared" si="38"/>
        <v>Valid</v>
      </c>
      <c r="L173">
        <f>G173-F173</f>
        <v>2</v>
      </c>
      <c r="M173" t="s">
        <v>940</v>
      </c>
      <c r="N173" t="s">
        <v>25</v>
      </c>
      <c r="O173" t="str">
        <f t="shared" si="39"/>
        <v>Karan Malhotra</v>
      </c>
      <c r="P173" t="s">
        <v>108</v>
      </c>
      <c r="Q173" t="str">
        <f t="shared" si="40"/>
        <v>Corporate</v>
      </c>
      <c r="R173" t="s">
        <v>42</v>
      </c>
      <c r="S173" t="str">
        <f t="shared" si="41"/>
        <v>East</v>
      </c>
      <c r="T173" t="s">
        <v>186</v>
      </c>
      <c r="U173" t="str">
        <f t="shared" si="42"/>
        <v>Bihar</v>
      </c>
      <c r="V173" t="s">
        <v>187</v>
      </c>
      <c r="W173" t="str">
        <f t="shared" si="43"/>
        <v>Patna</v>
      </c>
      <c r="X173" t="s">
        <v>30</v>
      </c>
      <c r="Y173" t="str">
        <f t="shared" si="44"/>
        <v>Office Supplies</v>
      </c>
      <c r="Z173" t="s">
        <v>109</v>
      </c>
      <c r="AA173" t="str">
        <f t="shared" si="45"/>
        <v>Labels</v>
      </c>
      <c r="AB173" t="s">
        <v>941</v>
      </c>
      <c r="AC173" t="s">
        <v>48</v>
      </c>
      <c r="AD173" t="str">
        <f t="shared" si="46"/>
        <v>Same Day</v>
      </c>
      <c r="AE173">
        <v>5</v>
      </c>
      <c r="AF173">
        <v>4246.2700000000004</v>
      </c>
      <c r="AG173">
        <v>0.25</v>
      </c>
      <c r="AH173">
        <v>0.25</v>
      </c>
      <c r="AI173" t="str">
        <f t="shared" si="47"/>
        <v>Valid</v>
      </c>
      <c r="AJ173">
        <v>15923.51</v>
      </c>
      <c r="AK173">
        <f t="shared" si="48"/>
        <v>15923.512500000001</v>
      </c>
      <c r="AL173">
        <v>11291.8</v>
      </c>
      <c r="AM173">
        <v>4631.71</v>
      </c>
      <c r="AN173">
        <f t="shared" si="49"/>
        <v>4631.7125000000015</v>
      </c>
      <c r="AO173">
        <f t="shared" si="50"/>
        <v>-11291.8</v>
      </c>
      <c r="AP173" t="s">
        <v>34</v>
      </c>
      <c r="AQ173" t="str">
        <f t="shared" si="51"/>
        <v>Paid</v>
      </c>
      <c r="AR173" t="s">
        <v>35</v>
      </c>
      <c r="AS173" t="str">
        <f t="shared" si="52"/>
        <v>Completed</v>
      </c>
      <c r="AT173" t="str">
        <f t="shared" si="53"/>
        <v>Clean</v>
      </c>
    </row>
    <row r="174" spans="1:46">
      <c r="A174" t="s">
        <v>942</v>
      </c>
      <c r="B174">
        <f>COUNTIF($D$2:D174,D174)</f>
        <v>1</v>
      </c>
      <c r="C174" t="str">
        <f>IF(COUNTIF($A:$A,A174)=1,
"Unique",
IF(COUNTIFS($A:$A,A174,$N:$N,N174,$AF:$AF,AF174,$AJ:$AJ,AJ174)&gt;1,
"Exact Duplicate",
"Conflicting Duplicate"))</f>
        <v>Unique</v>
      </c>
      <c r="D174" t="s">
        <v>943</v>
      </c>
      <c r="E174" t="s">
        <v>944</v>
      </c>
      <c r="F174" s="3">
        <v>45696</v>
      </c>
      <c r="G174" s="3">
        <v>45938</v>
      </c>
      <c r="H174" s="5" t="str">
        <f t="shared" si="36"/>
        <v>February</v>
      </c>
      <c r="I174" s="5">
        <f t="shared" si="37"/>
        <v>2025</v>
      </c>
      <c r="J174" t="str">
        <f>IF(F174="","Missing Date",
IF(ISNUMBER(F174),"Valid","Invalid Date"))</f>
        <v>Valid</v>
      </c>
      <c r="K174" t="str">
        <f t="shared" si="38"/>
        <v>Valid</v>
      </c>
      <c r="L174">
        <f>G174-F174</f>
        <v>242</v>
      </c>
      <c r="M174" t="s">
        <v>945</v>
      </c>
      <c r="N174" t="s">
        <v>25</v>
      </c>
      <c r="O174" t="str">
        <f t="shared" si="39"/>
        <v>Karan Malhotra</v>
      </c>
      <c r="P174" t="s">
        <v>108</v>
      </c>
      <c r="Q174" t="str">
        <f t="shared" si="40"/>
        <v>Corporate</v>
      </c>
      <c r="R174" t="s">
        <v>27</v>
      </c>
      <c r="S174" t="str">
        <f t="shared" si="41"/>
        <v>North</v>
      </c>
      <c r="T174" t="s">
        <v>506</v>
      </c>
      <c r="U174" t="str">
        <f t="shared" si="42"/>
        <v>Delhi</v>
      </c>
      <c r="V174" t="s">
        <v>507</v>
      </c>
      <c r="W174" t="str">
        <f t="shared" si="43"/>
        <v>New Delhi</v>
      </c>
      <c r="X174" t="s">
        <v>45</v>
      </c>
      <c r="Y174" t="str">
        <f t="shared" si="44"/>
        <v>Furniture</v>
      </c>
      <c r="Z174" t="s">
        <v>65</v>
      </c>
      <c r="AA174" t="str">
        <f t="shared" si="45"/>
        <v>Furnishings</v>
      </c>
      <c r="AB174" t="s">
        <v>946</v>
      </c>
      <c r="AC174" t="s">
        <v>48</v>
      </c>
      <c r="AD174" t="str">
        <f t="shared" si="46"/>
        <v>Same Day</v>
      </c>
      <c r="AE174">
        <v>9</v>
      </c>
      <c r="AF174">
        <v>2962.62</v>
      </c>
      <c r="AG174">
        <v>0.1</v>
      </c>
      <c r="AH174">
        <v>0.1</v>
      </c>
      <c r="AI174" t="str">
        <f t="shared" si="47"/>
        <v>Valid</v>
      </c>
      <c r="AJ174">
        <v>23997.22</v>
      </c>
      <c r="AK174">
        <f t="shared" si="48"/>
        <v>23997.221999999998</v>
      </c>
      <c r="AL174">
        <v>16134.63</v>
      </c>
      <c r="AM174">
        <v>7862.59</v>
      </c>
      <c r="AN174">
        <f t="shared" si="49"/>
        <v>7862.5919999999987</v>
      </c>
      <c r="AO174">
        <f t="shared" si="50"/>
        <v>-16134.63</v>
      </c>
      <c r="AP174" t="s">
        <v>124</v>
      </c>
      <c r="AQ174" t="str">
        <f t="shared" si="51"/>
        <v>Refunded</v>
      </c>
      <c r="AR174" t="s">
        <v>125</v>
      </c>
      <c r="AS174" t="str">
        <f t="shared" si="52"/>
        <v>Returned</v>
      </c>
      <c r="AT174" t="str">
        <f t="shared" si="53"/>
        <v>Clean</v>
      </c>
    </row>
    <row r="175" spans="1:46">
      <c r="A175" t="s">
        <v>947</v>
      </c>
      <c r="B175">
        <f>COUNTIF($D$2:D175,D175)</f>
        <v>1</v>
      </c>
      <c r="C175" t="str">
        <f>IF(COUNTIF($A:$A,A175)=1,
"Unique",
IF(COUNTIFS($A:$A,A175,$N:$N,N175,$AF:$AF,AF175,$AJ:$AJ,AJ175)&gt;1,
"Exact Duplicate",
"Conflicting Duplicate"))</f>
        <v>Unique</v>
      </c>
      <c r="D175" t="s">
        <v>948</v>
      </c>
      <c r="E175" t="s">
        <v>949</v>
      </c>
      <c r="F175" s="3">
        <v>45327</v>
      </c>
      <c r="G175" s="2">
        <v>45509</v>
      </c>
      <c r="H175" s="5" t="str">
        <f t="shared" si="36"/>
        <v>February</v>
      </c>
      <c r="I175" s="5">
        <f t="shared" si="37"/>
        <v>2024</v>
      </c>
      <c r="J175" t="str">
        <f>IF(F175="","Missing Date",
IF(ISNUMBER(F175),"Valid","Invalid Date"))</f>
        <v>Valid</v>
      </c>
      <c r="K175" t="str">
        <f t="shared" si="38"/>
        <v>Valid</v>
      </c>
      <c r="L175">
        <f>G175-F175</f>
        <v>182</v>
      </c>
      <c r="M175" t="s">
        <v>950</v>
      </c>
      <c r="N175" t="s">
        <v>951</v>
      </c>
      <c r="O175" t="str">
        <f t="shared" si="39"/>
        <v>Priya Menon</v>
      </c>
      <c r="P175" t="s">
        <v>115</v>
      </c>
      <c r="Q175" t="str">
        <f t="shared" si="40"/>
        <v>Home Office</v>
      </c>
      <c r="R175" t="s">
        <v>27</v>
      </c>
      <c r="S175" t="str">
        <f t="shared" si="41"/>
        <v>North</v>
      </c>
      <c r="T175" t="s">
        <v>154</v>
      </c>
      <c r="U175" t="str">
        <f t="shared" si="42"/>
        <v>Punjab</v>
      </c>
      <c r="V175" t="s">
        <v>155</v>
      </c>
      <c r="W175" t="str">
        <f t="shared" si="43"/>
        <v>Ludhiana</v>
      </c>
      <c r="X175" t="s">
        <v>86</v>
      </c>
      <c r="Y175" t="str">
        <f t="shared" si="44"/>
        <v>Technology</v>
      </c>
      <c r="Z175" t="s">
        <v>94</v>
      </c>
      <c r="AA175" t="str">
        <f t="shared" si="45"/>
        <v>Copiers</v>
      </c>
      <c r="AB175" t="s">
        <v>952</v>
      </c>
      <c r="AC175" t="s">
        <v>33</v>
      </c>
      <c r="AD175" t="str">
        <f t="shared" si="46"/>
        <v>Second Class</v>
      </c>
      <c r="AE175">
        <v>1</v>
      </c>
      <c r="AF175">
        <v>2312.25</v>
      </c>
      <c r="AG175">
        <v>0.25</v>
      </c>
      <c r="AH175">
        <v>0.25</v>
      </c>
      <c r="AI175" t="str">
        <f t="shared" si="47"/>
        <v>Valid</v>
      </c>
      <c r="AJ175">
        <v>1734.19</v>
      </c>
      <c r="AK175">
        <f t="shared" si="48"/>
        <v>1734.1875</v>
      </c>
      <c r="AL175">
        <v>1386.07</v>
      </c>
      <c r="AM175">
        <v>348.12</v>
      </c>
      <c r="AN175">
        <f t="shared" si="49"/>
        <v>348.11750000000006</v>
      </c>
      <c r="AO175">
        <f t="shared" si="50"/>
        <v>-1386.07</v>
      </c>
      <c r="AP175" t="s">
        <v>34</v>
      </c>
      <c r="AQ175" t="str">
        <f t="shared" si="51"/>
        <v>Paid</v>
      </c>
      <c r="AR175" t="s">
        <v>35</v>
      </c>
      <c r="AS175" t="str">
        <f t="shared" si="52"/>
        <v>Completed</v>
      </c>
      <c r="AT175" t="str">
        <f t="shared" si="53"/>
        <v>Clean</v>
      </c>
    </row>
    <row r="176" spans="1:46">
      <c r="A176" t="s">
        <v>953</v>
      </c>
      <c r="B176">
        <f>COUNTIF($D$2:D176,D176)</f>
        <v>1</v>
      </c>
      <c r="C176" t="str">
        <f>IF(COUNTIF($A:$A,A176)=1,
"Unique",
IF(COUNTIFS($A:$A,A176,$N:$N,N176,$AF:$AF,AF176,$AJ:$AJ,AJ176)&gt;1,
"Exact Duplicate",
"Conflicting Duplicate"))</f>
        <v>Unique</v>
      </c>
      <c r="D176" t="s">
        <v>954</v>
      </c>
      <c r="E176" t="s">
        <v>955</v>
      </c>
      <c r="F176" s="2">
        <v>45928</v>
      </c>
      <c r="G176" s="3">
        <v>45757</v>
      </c>
      <c r="H176" s="5" t="str">
        <f t="shared" si="36"/>
        <v>September</v>
      </c>
      <c r="I176" s="5">
        <f t="shared" si="37"/>
        <v>2025</v>
      </c>
      <c r="J176" t="str">
        <f>IF(F176="","Missing Date",
IF(ISNUMBER(F176),"Valid","Invalid Date"))</f>
        <v>Valid</v>
      </c>
      <c r="K176" t="str">
        <f t="shared" si="38"/>
        <v>Valid</v>
      </c>
      <c r="L176">
        <f>G176-F176</f>
        <v>-171</v>
      </c>
      <c r="M176" t="s">
        <v>956</v>
      </c>
      <c r="N176" t="s">
        <v>25</v>
      </c>
      <c r="O176" t="str">
        <f t="shared" si="39"/>
        <v>Karan Malhotra</v>
      </c>
      <c r="P176" t="s">
        <v>41</v>
      </c>
      <c r="Q176" t="str">
        <f t="shared" si="40"/>
        <v>Small Business</v>
      </c>
      <c r="R176" t="s">
        <v>62</v>
      </c>
      <c r="S176" t="str">
        <f t="shared" si="41"/>
        <v>South</v>
      </c>
      <c r="T176" t="s">
        <v>229</v>
      </c>
      <c r="U176" t="str">
        <f t="shared" si="42"/>
        <v>Karnataka</v>
      </c>
      <c r="V176" t="s">
        <v>230</v>
      </c>
      <c r="W176" t="str">
        <f t="shared" si="43"/>
        <v>Bengaluru</v>
      </c>
      <c r="X176" t="s">
        <v>45</v>
      </c>
      <c r="Y176" t="str">
        <f t="shared" si="44"/>
        <v>Furniture</v>
      </c>
      <c r="Z176" t="s">
        <v>204</v>
      </c>
      <c r="AA176" t="str">
        <f t="shared" si="45"/>
        <v>Bookcases</v>
      </c>
      <c r="AB176" t="s">
        <v>957</v>
      </c>
      <c r="AC176" t="s">
        <v>56</v>
      </c>
      <c r="AD176" t="str">
        <f t="shared" si="46"/>
        <v>First Class</v>
      </c>
      <c r="AE176">
        <v>6</v>
      </c>
      <c r="AF176">
        <v>1620.53</v>
      </c>
      <c r="AG176">
        <v>0.15</v>
      </c>
      <c r="AH176">
        <v>0.15</v>
      </c>
      <c r="AI176" t="str">
        <f t="shared" si="47"/>
        <v>Valid</v>
      </c>
      <c r="AJ176">
        <v>8264.7000000000007</v>
      </c>
      <c r="AK176">
        <f t="shared" si="48"/>
        <v>8264.7029999999995</v>
      </c>
      <c r="AL176">
        <v>4768.75</v>
      </c>
      <c r="AM176">
        <v>3495.95</v>
      </c>
      <c r="AN176">
        <f t="shared" si="49"/>
        <v>3495.9529999999995</v>
      </c>
      <c r="AO176">
        <f t="shared" si="50"/>
        <v>-4768.75</v>
      </c>
      <c r="AP176" t="s">
        <v>137</v>
      </c>
      <c r="AQ176" t="str">
        <f t="shared" si="51"/>
        <v>Pending</v>
      </c>
      <c r="AR176" t="s">
        <v>125</v>
      </c>
      <c r="AS176" t="str">
        <f t="shared" si="52"/>
        <v>Returned</v>
      </c>
      <c r="AT176" t="str">
        <f t="shared" si="53"/>
        <v>Clean</v>
      </c>
    </row>
    <row r="177" spans="1:46">
      <c r="A177" t="s">
        <v>958</v>
      </c>
      <c r="B177">
        <f>COUNTIF($D$2:D177,D177)</f>
        <v>2</v>
      </c>
      <c r="C177" t="str">
        <f>IF(COUNTIF($A:$A,A177)=1,
"Unique",
IF(COUNTIFS($A:$A,A177,$N:$N,N177,$AF:$AF,AF177,$AJ:$AJ,AJ177)&gt;1,
"Exact Duplicate",
"Conflicting Duplicate"))</f>
        <v>Unique</v>
      </c>
      <c r="D177" t="s">
        <v>742</v>
      </c>
      <c r="E177" t="s">
        <v>959</v>
      </c>
      <c r="F177" s="3">
        <v>45318</v>
      </c>
      <c r="G177" s="3">
        <v>45353</v>
      </c>
      <c r="H177" s="5" t="str">
        <f t="shared" si="36"/>
        <v>January</v>
      </c>
      <c r="I177" s="5">
        <f t="shared" si="37"/>
        <v>2024</v>
      </c>
      <c r="J177" t="str">
        <f>IF(F177="","Missing Date",
IF(ISNUMBER(F177),"Valid","Invalid Date"))</f>
        <v>Valid</v>
      </c>
      <c r="K177" t="str">
        <f t="shared" si="38"/>
        <v>Valid</v>
      </c>
      <c r="L177">
        <f>G177-F177</f>
        <v>35</v>
      </c>
      <c r="M177" t="s">
        <v>960</v>
      </c>
      <c r="N177" t="s">
        <v>61</v>
      </c>
      <c r="O177" t="str">
        <f t="shared" si="39"/>
        <v>Arjun Bose</v>
      </c>
      <c r="P177" t="s">
        <v>41</v>
      </c>
      <c r="Q177" t="str">
        <f t="shared" si="40"/>
        <v>Small Business</v>
      </c>
      <c r="R177" t="s">
        <v>42</v>
      </c>
      <c r="S177" t="str">
        <f t="shared" si="41"/>
        <v>East</v>
      </c>
      <c r="T177" t="s">
        <v>186</v>
      </c>
      <c r="U177" t="str">
        <f t="shared" si="42"/>
        <v>Bihar</v>
      </c>
      <c r="V177" t="s">
        <v>187</v>
      </c>
      <c r="W177" t="str">
        <f t="shared" si="43"/>
        <v>Patna</v>
      </c>
      <c r="X177" t="s">
        <v>86</v>
      </c>
      <c r="Y177" t="str">
        <f t="shared" si="44"/>
        <v>Technology</v>
      </c>
      <c r="Z177" t="s">
        <v>382</v>
      </c>
      <c r="AA177" t="str">
        <f t="shared" si="45"/>
        <v>Machines</v>
      </c>
      <c r="AB177" t="s">
        <v>961</v>
      </c>
      <c r="AC177" t="s">
        <v>48</v>
      </c>
      <c r="AD177" t="str">
        <f t="shared" si="46"/>
        <v>Same Day</v>
      </c>
      <c r="AE177">
        <v>7</v>
      </c>
      <c r="AF177">
        <v>2673.42</v>
      </c>
      <c r="AG177">
        <v>0.15</v>
      </c>
      <c r="AH177">
        <v>0.15</v>
      </c>
      <c r="AI177" t="str">
        <f t="shared" si="47"/>
        <v>Valid</v>
      </c>
      <c r="AJ177">
        <v>15906.85</v>
      </c>
      <c r="AK177">
        <f t="shared" si="48"/>
        <v>15906.849000000002</v>
      </c>
      <c r="AL177">
        <v>11014.46</v>
      </c>
      <c r="AM177">
        <v>4892.3900000000003</v>
      </c>
      <c r="AN177">
        <f t="shared" si="49"/>
        <v>4892.3890000000029</v>
      </c>
      <c r="AO177">
        <f t="shared" si="50"/>
        <v>-11014.46</v>
      </c>
      <c r="AP177" t="s">
        <v>34</v>
      </c>
      <c r="AQ177" t="str">
        <f t="shared" si="51"/>
        <v>Paid</v>
      </c>
      <c r="AR177" t="s">
        <v>125</v>
      </c>
      <c r="AS177" t="str">
        <f t="shared" si="52"/>
        <v>Returned</v>
      </c>
      <c r="AT177" t="str">
        <f t="shared" si="53"/>
        <v>Clean</v>
      </c>
    </row>
    <row r="178" spans="1:46">
      <c r="A178" t="s">
        <v>962</v>
      </c>
      <c r="B178">
        <f>COUNTIF($D$2:D178,D178)</f>
        <v>1</v>
      </c>
      <c r="C178" t="str">
        <f>IF(COUNTIF($A:$A,A178)=1,
"Unique",
IF(COUNTIFS($A:$A,A178,$N:$N,N178,$AF:$AF,AF178,$AJ:$AJ,AJ178)&gt;1,
"Exact Duplicate",
"Conflicting Duplicate"))</f>
        <v>Unique</v>
      </c>
      <c r="D178" t="s">
        <v>963</v>
      </c>
      <c r="E178" t="s">
        <v>964</v>
      </c>
      <c r="F178" s="3">
        <v>45734</v>
      </c>
      <c r="G178" s="3">
        <v>45742</v>
      </c>
      <c r="H178" s="5" t="str">
        <f t="shared" si="36"/>
        <v>March</v>
      </c>
      <c r="I178" s="5">
        <f t="shared" si="37"/>
        <v>2025</v>
      </c>
      <c r="J178" t="str">
        <f>IF(F178="","Missing Date",
IF(ISNUMBER(F178),"Valid","Invalid Date"))</f>
        <v>Valid</v>
      </c>
      <c r="K178" t="str">
        <f t="shared" si="38"/>
        <v>Valid</v>
      </c>
      <c r="L178">
        <f>G178-F178</f>
        <v>8</v>
      </c>
      <c r="M178" t="s">
        <v>965</v>
      </c>
      <c r="N178" t="s">
        <v>83</v>
      </c>
      <c r="O178" t="str">
        <f t="shared" si="39"/>
        <v>Vikram Iyer</v>
      </c>
      <c r="P178" t="s">
        <v>108</v>
      </c>
      <c r="Q178" t="str">
        <f t="shared" si="40"/>
        <v>Corporate</v>
      </c>
      <c r="R178" t="s">
        <v>42</v>
      </c>
      <c r="S178" t="str">
        <f t="shared" si="41"/>
        <v>East</v>
      </c>
      <c r="T178" t="s">
        <v>311</v>
      </c>
      <c r="U178" t="str">
        <f t="shared" si="42"/>
        <v>Jharkhand</v>
      </c>
      <c r="V178" t="s">
        <v>312</v>
      </c>
      <c r="W178" t="str">
        <f t="shared" si="43"/>
        <v>Ranchi</v>
      </c>
      <c r="X178" t="s">
        <v>45</v>
      </c>
      <c r="Y178" t="str">
        <f t="shared" si="44"/>
        <v>Furniture</v>
      </c>
      <c r="Z178" t="s">
        <v>204</v>
      </c>
      <c r="AA178" t="str">
        <f t="shared" si="45"/>
        <v>Bookcases</v>
      </c>
      <c r="AB178" t="s">
        <v>966</v>
      </c>
      <c r="AC178" t="s">
        <v>67</v>
      </c>
      <c r="AD178" t="str">
        <f t="shared" si="46"/>
        <v>Standard Class</v>
      </c>
      <c r="AE178">
        <v>8</v>
      </c>
      <c r="AF178">
        <v>3563.09</v>
      </c>
      <c r="AG178">
        <v>0.15</v>
      </c>
      <c r="AH178">
        <v>0.15</v>
      </c>
      <c r="AI178" t="str">
        <f t="shared" si="47"/>
        <v>Valid</v>
      </c>
      <c r="AJ178">
        <v>24229.01</v>
      </c>
      <c r="AK178">
        <f t="shared" si="48"/>
        <v>24229.011999999999</v>
      </c>
      <c r="AL178">
        <v>13910.64</v>
      </c>
      <c r="AM178">
        <v>10318.370000000001</v>
      </c>
      <c r="AN178">
        <f t="shared" si="49"/>
        <v>10318.371999999999</v>
      </c>
      <c r="AO178">
        <f t="shared" si="50"/>
        <v>-13910.64</v>
      </c>
      <c r="AP178" t="s">
        <v>34</v>
      </c>
      <c r="AQ178" t="str">
        <f t="shared" si="51"/>
        <v>Paid</v>
      </c>
      <c r="AR178" t="s">
        <v>35</v>
      </c>
      <c r="AS178" t="str">
        <f t="shared" si="52"/>
        <v>Completed</v>
      </c>
      <c r="AT178" t="str">
        <f t="shared" si="53"/>
        <v>Clean</v>
      </c>
    </row>
    <row r="179" spans="1:46">
      <c r="A179" t="s">
        <v>967</v>
      </c>
      <c r="B179">
        <f>COUNTIF($D$2:D179,D179)</f>
        <v>1</v>
      </c>
      <c r="C179" t="str">
        <f>IF(COUNTIF($A:$A,A179)=1,
"Unique",
IF(COUNTIFS($A:$A,A179,$N:$N,N179,$AF:$AF,AF179,$AJ:$AJ,AJ179)&gt;1,
"Exact Duplicate",
"Conflicting Duplicate"))</f>
        <v>Unique</v>
      </c>
      <c r="D179" t="s">
        <v>968</v>
      </c>
      <c r="E179" t="s">
        <v>969</v>
      </c>
      <c r="F179" s="3">
        <v>45297</v>
      </c>
      <c r="G179" s="3">
        <v>45446</v>
      </c>
      <c r="H179" s="5" t="str">
        <f t="shared" si="36"/>
        <v>January</v>
      </c>
      <c r="I179" s="5">
        <f t="shared" si="37"/>
        <v>2024</v>
      </c>
      <c r="J179" t="str">
        <f>IF(F179="","Missing Date",
IF(ISNUMBER(F179),"Valid","Invalid Date"))</f>
        <v>Valid</v>
      </c>
      <c r="K179" t="str">
        <f t="shared" si="38"/>
        <v>Valid</v>
      </c>
      <c r="L179">
        <f>G179-F179</f>
        <v>149</v>
      </c>
      <c r="M179" t="s">
        <v>970</v>
      </c>
      <c r="N179" t="s">
        <v>168</v>
      </c>
      <c r="O179" t="str">
        <f t="shared" si="39"/>
        <v>Sneha Kapoor</v>
      </c>
      <c r="P179" t="s">
        <v>115</v>
      </c>
      <c r="Q179" t="str">
        <f t="shared" si="40"/>
        <v>Home Office</v>
      </c>
      <c r="R179" t="s">
        <v>4104</v>
      </c>
      <c r="S179" t="s">
        <v>4104</v>
      </c>
      <c r="T179" t="s">
        <v>186</v>
      </c>
      <c r="U179" t="str">
        <f t="shared" si="42"/>
        <v>Bihar</v>
      </c>
      <c r="V179" t="s">
        <v>187</v>
      </c>
      <c r="W179" t="str">
        <f t="shared" si="43"/>
        <v>Patna</v>
      </c>
      <c r="X179" t="s">
        <v>30</v>
      </c>
      <c r="Y179" t="str">
        <f t="shared" si="44"/>
        <v>Office Supplies</v>
      </c>
      <c r="Z179" t="s">
        <v>54</v>
      </c>
      <c r="AA179" t="str">
        <f t="shared" si="45"/>
        <v>Art</v>
      </c>
      <c r="AB179" t="s">
        <v>971</v>
      </c>
      <c r="AC179" t="s">
        <v>48</v>
      </c>
      <c r="AD179" t="str">
        <f t="shared" si="46"/>
        <v>Same Day</v>
      </c>
      <c r="AE179">
        <v>8</v>
      </c>
      <c r="AF179">
        <v>3879.95</v>
      </c>
      <c r="AG179">
        <v>0</v>
      </c>
      <c r="AH179">
        <v>0</v>
      </c>
      <c r="AI179" t="str">
        <f t="shared" si="47"/>
        <v>Valid</v>
      </c>
      <c r="AJ179">
        <v>31039.599999999999</v>
      </c>
      <c r="AK179">
        <f t="shared" si="48"/>
        <v>31039.599999999999</v>
      </c>
      <c r="AL179">
        <v>20866.72</v>
      </c>
      <c r="AM179">
        <v>10172.879999999999</v>
      </c>
      <c r="AN179">
        <f t="shared" si="49"/>
        <v>10172.879999999997</v>
      </c>
      <c r="AO179">
        <f t="shared" si="50"/>
        <v>-20866.72</v>
      </c>
      <c r="AP179" t="s">
        <v>34</v>
      </c>
      <c r="AQ179" t="str">
        <f t="shared" si="51"/>
        <v>Paid</v>
      </c>
      <c r="AR179" t="s">
        <v>35</v>
      </c>
      <c r="AS179" t="str">
        <f t="shared" si="52"/>
        <v>Completed</v>
      </c>
      <c r="AT179" t="str">
        <f t="shared" si="53"/>
        <v>Clean</v>
      </c>
    </row>
    <row r="180" spans="1:46">
      <c r="A180" t="s">
        <v>972</v>
      </c>
      <c r="B180">
        <f>COUNTIF($D$2:D180,D180)</f>
        <v>1</v>
      </c>
      <c r="C180" t="str">
        <f>IF(COUNTIF($A:$A,A180)=1,
"Unique",
IF(COUNTIFS($A:$A,A180,$N:$N,N180,$AF:$AF,AF180,$AJ:$AJ,AJ180)&gt;1,
"Exact Duplicate",
"Conflicting Duplicate"))</f>
        <v>Unique</v>
      </c>
      <c r="D180" t="s">
        <v>973</v>
      </c>
      <c r="E180" t="s">
        <v>974</v>
      </c>
      <c r="F180" s="3">
        <v>45565</v>
      </c>
      <c r="G180" s="3">
        <v>45565</v>
      </c>
      <c r="H180" s="5" t="str">
        <f t="shared" si="36"/>
        <v>September</v>
      </c>
      <c r="I180" s="5">
        <f t="shared" si="37"/>
        <v>2024</v>
      </c>
      <c r="J180" t="str">
        <f>IF(F180="","Missing Date",
IF(ISNUMBER(F180),"Valid","Invalid Date"))</f>
        <v>Valid</v>
      </c>
      <c r="K180" t="str">
        <f t="shared" si="38"/>
        <v>Valid</v>
      </c>
      <c r="L180">
        <f>G180-F180</f>
        <v>0</v>
      </c>
      <c r="M180" t="s">
        <v>975</v>
      </c>
      <c r="N180" t="s">
        <v>53</v>
      </c>
      <c r="O180" t="str">
        <f t="shared" si="39"/>
        <v>Isha Nair</v>
      </c>
      <c r="P180" t="s">
        <v>108</v>
      </c>
      <c r="Q180" t="str">
        <f t="shared" si="40"/>
        <v>Corporate</v>
      </c>
      <c r="R180" t="s">
        <v>62</v>
      </c>
      <c r="S180" t="str">
        <f t="shared" si="41"/>
        <v>South</v>
      </c>
      <c r="T180" t="s">
        <v>63</v>
      </c>
      <c r="U180" t="str">
        <f t="shared" si="42"/>
        <v>Telangana</v>
      </c>
      <c r="V180" t="s">
        <v>64</v>
      </c>
      <c r="W180" t="str">
        <f t="shared" si="43"/>
        <v>Hyderabad</v>
      </c>
      <c r="X180" t="s">
        <v>30</v>
      </c>
      <c r="Y180" t="str">
        <f t="shared" si="44"/>
        <v>Office Supplies</v>
      </c>
      <c r="Z180" t="s">
        <v>54</v>
      </c>
      <c r="AA180" t="str">
        <f t="shared" si="45"/>
        <v>Art</v>
      </c>
      <c r="AB180" t="s">
        <v>976</v>
      </c>
      <c r="AC180" t="s">
        <v>67</v>
      </c>
      <c r="AD180" t="str">
        <f t="shared" si="46"/>
        <v>Standard Class</v>
      </c>
      <c r="AE180">
        <v>4</v>
      </c>
      <c r="AF180">
        <v>3281.74</v>
      </c>
      <c r="AG180">
        <v>0</v>
      </c>
      <c r="AH180">
        <v>0</v>
      </c>
      <c r="AI180" t="str">
        <f t="shared" si="47"/>
        <v>Valid</v>
      </c>
      <c r="AJ180">
        <v>13126.96</v>
      </c>
      <c r="AK180">
        <f t="shared" si="48"/>
        <v>13126.96</v>
      </c>
      <c r="AL180">
        <v>10732.44</v>
      </c>
      <c r="AM180">
        <v>2394.52</v>
      </c>
      <c r="AN180">
        <f t="shared" si="49"/>
        <v>2394.5199999999986</v>
      </c>
      <c r="AO180">
        <f t="shared" si="50"/>
        <v>-10732.44</v>
      </c>
      <c r="AP180" t="s">
        <v>34</v>
      </c>
      <c r="AQ180" t="str">
        <f t="shared" si="51"/>
        <v>Paid</v>
      </c>
      <c r="AR180" t="s">
        <v>35</v>
      </c>
      <c r="AS180" t="str">
        <f t="shared" si="52"/>
        <v>Completed</v>
      </c>
      <c r="AT180" t="str">
        <f t="shared" si="53"/>
        <v>Clean</v>
      </c>
    </row>
    <row r="181" spans="1:46">
      <c r="A181" t="s">
        <v>977</v>
      </c>
      <c r="B181">
        <f>COUNTIF($D$2:D181,D181)</f>
        <v>1</v>
      </c>
      <c r="C181" t="str">
        <f>IF(COUNTIF($A:$A,A181)=1,
"Unique",
IF(COUNTIFS($A:$A,A181,$N:$N,N181,$AF:$AF,AF181,$AJ:$AJ,AJ181)&gt;1,
"Exact Duplicate",
"Conflicting Duplicate"))</f>
        <v>Unique</v>
      </c>
      <c r="D181" t="s">
        <v>978</v>
      </c>
      <c r="E181" t="s">
        <v>979</v>
      </c>
      <c r="F181" s="3">
        <v>45366</v>
      </c>
      <c r="G181" s="3">
        <v>45370</v>
      </c>
      <c r="H181" s="5" t="str">
        <f t="shared" si="36"/>
        <v>March</v>
      </c>
      <c r="I181" s="5">
        <f t="shared" si="37"/>
        <v>2024</v>
      </c>
      <c r="J181" t="str">
        <f>IF(F181="","Missing Date",
IF(ISNUMBER(F181),"Valid","Invalid Date"))</f>
        <v>Valid</v>
      </c>
      <c r="K181" t="str">
        <f t="shared" si="38"/>
        <v>Valid</v>
      </c>
      <c r="L181">
        <f>G181-F181</f>
        <v>4</v>
      </c>
      <c r="M181" t="s">
        <v>980</v>
      </c>
      <c r="N181" t="s">
        <v>72</v>
      </c>
      <c r="O181" t="str">
        <f t="shared" si="39"/>
        <v>Ananya Rao</v>
      </c>
      <c r="P181" t="s">
        <v>41</v>
      </c>
      <c r="Q181" t="str">
        <f t="shared" si="40"/>
        <v>Small Business</v>
      </c>
      <c r="R181" t="s">
        <v>62</v>
      </c>
      <c r="S181" t="str">
        <f t="shared" si="41"/>
        <v>South</v>
      </c>
      <c r="T181" t="s">
        <v>339</v>
      </c>
      <c r="U181" t="str">
        <f t="shared" si="42"/>
        <v>Tamil Nadu</v>
      </c>
      <c r="V181" t="s">
        <v>340</v>
      </c>
      <c r="W181" t="str">
        <f t="shared" si="43"/>
        <v>Chennai</v>
      </c>
      <c r="X181" t="s">
        <v>45</v>
      </c>
      <c r="Y181" t="str">
        <f t="shared" si="44"/>
        <v>Furniture</v>
      </c>
      <c r="Z181" t="s">
        <v>65</v>
      </c>
      <c r="AA181" t="str">
        <f t="shared" si="45"/>
        <v>Furnishings</v>
      </c>
      <c r="AB181" t="s">
        <v>981</v>
      </c>
      <c r="AC181" t="s">
        <v>67</v>
      </c>
      <c r="AD181" t="str">
        <f t="shared" si="46"/>
        <v>Standard Class</v>
      </c>
      <c r="AE181">
        <v>4</v>
      </c>
      <c r="AF181">
        <v>3186.3</v>
      </c>
      <c r="AG181">
        <v>0.25</v>
      </c>
      <c r="AH181">
        <v>0.25</v>
      </c>
      <c r="AI181" t="str">
        <f t="shared" si="47"/>
        <v>Valid</v>
      </c>
      <c r="AJ181">
        <v>9558.9</v>
      </c>
      <c r="AK181">
        <f t="shared" si="48"/>
        <v>9558.9000000000015</v>
      </c>
      <c r="AL181">
        <v>5516.76</v>
      </c>
      <c r="AM181">
        <v>4042.14</v>
      </c>
      <c r="AN181">
        <f t="shared" si="49"/>
        <v>4042.1400000000012</v>
      </c>
      <c r="AO181">
        <f t="shared" si="50"/>
        <v>-5516.76</v>
      </c>
      <c r="AP181" t="s">
        <v>124</v>
      </c>
      <c r="AQ181" t="str">
        <f t="shared" si="51"/>
        <v>Refunded</v>
      </c>
      <c r="AR181" t="s">
        <v>125</v>
      </c>
      <c r="AS181" t="str">
        <f t="shared" si="52"/>
        <v>Returned</v>
      </c>
      <c r="AT181" t="str">
        <f t="shared" si="53"/>
        <v>Clean</v>
      </c>
    </row>
    <row r="182" spans="1:46">
      <c r="A182" t="s">
        <v>982</v>
      </c>
      <c r="B182">
        <f>COUNTIF($D$2:D182,D182)</f>
        <v>1</v>
      </c>
      <c r="C182" t="str">
        <f>IF(COUNTIF($A:$A,A182)=1,
"Unique",
IF(COUNTIFS($A:$A,A182,$N:$N,N182,$AF:$AF,AF182,$AJ:$AJ,AJ182)&gt;1,
"Exact Duplicate",
"Conflicting Duplicate"))</f>
        <v>Unique</v>
      </c>
      <c r="D182" t="s">
        <v>983</v>
      </c>
      <c r="E182" t="s">
        <v>984</v>
      </c>
      <c r="F182" s="3">
        <v>45530</v>
      </c>
      <c r="G182" s="3">
        <v>45530</v>
      </c>
      <c r="H182" s="5" t="str">
        <f t="shared" si="36"/>
        <v>August</v>
      </c>
      <c r="I182" s="5">
        <f t="shared" si="37"/>
        <v>2024</v>
      </c>
      <c r="J182" t="str">
        <f>IF(F182="","Missing Date",
IF(ISNUMBER(F182),"Valid","Invalid Date"))</f>
        <v>Valid</v>
      </c>
      <c r="K182" t="str">
        <f t="shared" si="38"/>
        <v>Valid</v>
      </c>
      <c r="L182">
        <f>G182-F182</f>
        <v>0</v>
      </c>
      <c r="M182" t="s">
        <v>985</v>
      </c>
      <c r="N182" t="s">
        <v>40</v>
      </c>
      <c r="O182" t="str">
        <f t="shared" si="39"/>
        <v>Mira Das</v>
      </c>
      <c r="P182" t="s">
        <v>115</v>
      </c>
      <c r="Q182" t="str">
        <f t="shared" si="40"/>
        <v>Home Office</v>
      </c>
      <c r="R182" t="s">
        <v>27</v>
      </c>
      <c r="S182" t="str">
        <f t="shared" si="41"/>
        <v>North</v>
      </c>
      <c r="T182" t="s">
        <v>174</v>
      </c>
      <c r="U182" t="str">
        <f t="shared" si="42"/>
        <v>Uttar Pradesh</v>
      </c>
      <c r="V182" t="s">
        <v>175</v>
      </c>
      <c r="W182" t="str">
        <f t="shared" si="43"/>
        <v>Noida</v>
      </c>
      <c r="X182" t="s">
        <v>918</v>
      </c>
      <c r="Y182" t="str">
        <f t="shared" si="44"/>
        <v>Office Supplies</v>
      </c>
      <c r="Z182" t="s">
        <v>198</v>
      </c>
      <c r="AA182" t="str">
        <f t="shared" si="45"/>
        <v>Binders</v>
      </c>
      <c r="AB182" t="s">
        <v>986</v>
      </c>
      <c r="AC182" t="s">
        <v>56</v>
      </c>
      <c r="AD182" t="str">
        <f t="shared" si="46"/>
        <v>First Class</v>
      </c>
      <c r="AE182">
        <v>7</v>
      </c>
      <c r="AF182">
        <v>844.59</v>
      </c>
      <c r="AG182">
        <v>0.1</v>
      </c>
      <c r="AH182">
        <v>0.1</v>
      </c>
      <c r="AI182" t="str">
        <f t="shared" si="47"/>
        <v>Valid</v>
      </c>
      <c r="AJ182">
        <v>5320.92</v>
      </c>
      <c r="AK182">
        <f t="shared" si="48"/>
        <v>5320.9170000000004</v>
      </c>
      <c r="AL182">
        <v>3041.5</v>
      </c>
      <c r="AM182">
        <v>2279.42</v>
      </c>
      <c r="AN182">
        <f t="shared" si="49"/>
        <v>2279.4170000000004</v>
      </c>
      <c r="AO182">
        <f t="shared" si="50"/>
        <v>-3041.5</v>
      </c>
      <c r="AP182" t="s">
        <v>34</v>
      </c>
      <c r="AQ182" t="str">
        <f t="shared" si="51"/>
        <v>Paid</v>
      </c>
      <c r="AR182" t="s">
        <v>35</v>
      </c>
      <c r="AS182" t="str">
        <f t="shared" si="52"/>
        <v>Completed</v>
      </c>
      <c r="AT182" t="str">
        <f t="shared" si="53"/>
        <v>Clean</v>
      </c>
    </row>
    <row r="183" spans="1:46">
      <c r="A183" t="s">
        <v>987</v>
      </c>
      <c r="B183">
        <f>COUNTIF($D$2:D183,D183)</f>
        <v>2</v>
      </c>
      <c r="C183" t="str">
        <f>IF(COUNTIF($A:$A,A183)=1,
"Unique",
IF(COUNTIFS($A:$A,A183,$N:$N,N183,$AF:$AF,AF183,$AJ:$AJ,AJ183)&gt;1,
"Exact Duplicate",
"Conflicting Duplicate"))</f>
        <v>Unique</v>
      </c>
      <c r="D183" t="s">
        <v>988</v>
      </c>
      <c r="E183" t="s">
        <v>989</v>
      </c>
      <c r="F183" s="3">
        <v>45909</v>
      </c>
      <c r="G183" s="3">
        <v>45939</v>
      </c>
      <c r="H183" s="5" t="str">
        <f t="shared" si="36"/>
        <v>September</v>
      </c>
      <c r="I183" s="5">
        <f t="shared" si="37"/>
        <v>2025</v>
      </c>
      <c r="J183" t="str">
        <f>IF(F183="","Missing Date",
IF(ISNUMBER(F183),"Valid","Invalid Date"))</f>
        <v>Valid</v>
      </c>
      <c r="K183" t="str">
        <f t="shared" si="38"/>
        <v>Valid</v>
      </c>
      <c r="L183">
        <f>G183-F183</f>
        <v>30</v>
      </c>
      <c r="M183" t="s">
        <v>990</v>
      </c>
      <c r="N183" t="s">
        <v>142</v>
      </c>
      <c r="O183" t="str">
        <f t="shared" si="39"/>
        <v>Priya Menon</v>
      </c>
      <c r="P183" t="s">
        <v>115</v>
      </c>
      <c r="Q183" t="str">
        <f t="shared" si="40"/>
        <v>Home Office</v>
      </c>
      <c r="R183" t="s">
        <v>62</v>
      </c>
      <c r="S183" t="str">
        <f t="shared" si="41"/>
        <v>South</v>
      </c>
      <c r="T183" t="s">
        <v>339</v>
      </c>
      <c r="U183" t="str">
        <f t="shared" si="42"/>
        <v>Tamil Nadu</v>
      </c>
      <c r="V183" t="s">
        <v>340</v>
      </c>
      <c r="W183" t="str">
        <f t="shared" si="43"/>
        <v>Chennai</v>
      </c>
      <c r="X183" t="s">
        <v>30</v>
      </c>
      <c r="Y183" t="str">
        <f t="shared" si="44"/>
        <v>Office Supplies</v>
      </c>
      <c r="Z183" t="s">
        <v>54</v>
      </c>
      <c r="AA183" t="str">
        <f t="shared" si="45"/>
        <v>Art</v>
      </c>
      <c r="AB183" t="s">
        <v>991</v>
      </c>
      <c r="AC183" t="s">
        <v>33</v>
      </c>
      <c r="AD183" t="str">
        <f t="shared" si="46"/>
        <v>Second Class</v>
      </c>
      <c r="AE183">
        <v>4</v>
      </c>
      <c r="AF183">
        <v>2551.4499999999998</v>
      </c>
      <c r="AG183">
        <v>0</v>
      </c>
      <c r="AH183">
        <v>0</v>
      </c>
      <c r="AI183" t="str">
        <f t="shared" si="47"/>
        <v>Valid</v>
      </c>
      <c r="AJ183">
        <v>10205.799999999999</v>
      </c>
      <c r="AK183">
        <f t="shared" si="48"/>
        <v>10205.799999999999</v>
      </c>
      <c r="AL183">
        <v>5986.31</v>
      </c>
      <c r="AM183">
        <v>4219.49</v>
      </c>
      <c r="AN183">
        <f t="shared" si="49"/>
        <v>4219.4899999999989</v>
      </c>
      <c r="AO183">
        <f t="shared" si="50"/>
        <v>-5986.31</v>
      </c>
      <c r="AP183" t="s">
        <v>34</v>
      </c>
      <c r="AQ183" t="str">
        <f t="shared" si="51"/>
        <v>Paid</v>
      </c>
      <c r="AR183" t="s">
        <v>35</v>
      </c>
      <c r="AS183" t="str">
        <f t="shared" si="52"/>
        <v>Completed</v>
      </c>
      <c r="AT183" t="str">
        <f t="shared" si="53"/>
        <v>Clean</v>
      </c>
    </row>
    <row r="184" spans="1:46">
      <c r="A184" t="s">
        <v>992</v>
      </c>
      <c r="B184">
        <f>COUNTIF($D$2:D184,D184)</f>
        <v>1</v>
      </c>
      <c r="C184" t="str">
        <f>IF(COUNTIF($A:$A,A184)=1,
"Unique",
IF(COUNTIFS($A:$A,A184,$N:$N,N184,$AF:$AF,AF184,$AJ:$AJ,AJ184)&gt;1,
"Exact Duplicate",
"Conflicting Duplicate"))</f>
        <v>Unique</v>
      </c>
      <c r="D184" t="s">
        <v>299</v>
      </c>
      <c r="E184" t="s">
        <v>299</v>
      </c>
      <c r="F184" s="2">
        <v>45581</v>
      </c>
      <c r="G184" s="2">
        <v>45581</v>
      </c>
      <c r="H184" s="5" t="str">
        <f t="shared" si="36"/>
        <v>October</v>
      </c>
      <c r="I184" s="5">
        <f t="shared" si="37"/>
        <v>2024</v>
      </c>
      <c r="J184" t="str">
        <f>IF(F184="","Missing Date",
IF(ISNUMBER(F184),"Valid","Invalid Date"))</f>
        <v>Valid</v>
      </c>
      <c r="K184" t="str">
        <f t="shared" si="38"/>
        <v>Valid</v>
      </c>
      <c r="L184">
        <f>G184-F184</f>
        <v>0</v>
      </c>
      <c r="M184" t="s">
        <v>993</v>
      </c>
      <c r="N184" t="s">
        <v>72</v>
      </c>
      <c r="O184" t="str">
        <f t="shared" si="39"/>
        <v>Ananya Rao</v>
      </c>
      <c r="P184" t="s">
        <v>115</v>
      </c>
      <c r="Q184" t="str">
        <f t="shared" si="40"/>
        <v>Home Office</v>
      </c>
      <c r="R184" t="s">
        <v>42</v>
      </c>
      <c r="S184" t="str">
        <f t="shared" si="41"/>
        <v>East</v>
      </c>
      <c r="T184" t="s">
        <v>186</v>
      </c>
      <c r="U184" t="str">
        <f t="shared" si="42"/>
        <v>Bihar</v>
      </c>
      <c r="V184" t="s">
        <v>187</v>
      </c>
      <c r="W184" t="str">
        <f t="shared" si="43"/>
        <v>Patna</v>
      </c>
      <c r="X184" t="s">
        <v>86</v>
      </c>
      <c r="Y184" t="str">
        <f t="shared" si="44"/>
        <v>Technology</v>
      </c>
      <c r="Z184" t="s">
        <v>382</v>
      </c>
      <c r="AA184" t="str">
        <f t="shared" si="45"/>
        <v>Machines</v>
      </c>
      <c r="AB184" t="s">
        <v>994</v>
      </c>
      <c r="AC184" t="s">
        <v>67</v>
      </c>
      <c r="AD184" t="str">
        <f t="shared" si="46"/>
        <v>Standard Class</v>
      </c>
      <c r="AE184">
        <v>7</v>
      </c>
      <c r="AF184">
        <v>775.77</v>
      </c>
      <c r="AG184">
        <v>0</v>
      </c>
      <c r="AH184">
        <v>0</v>
      </c>
      <c r="AI184" t="str">
        <f t="shared" si="47"/>
        <v>Valid</v>
      </c>
      <c r="AJ184">
        <v>5430.39</v>
      </c>
      <c r="AK184">
        <f t="shared" si="48"/>
        <v>5430.3899999999994</v>
      </c>
      <c r="AL184">
        <v>3707.66</v>
      </c>
      <c r="AM184">
        <v>1722.73</v>
      </c>
      <c r="AN184">
        <f t="shared" si="49"/>
        <v>1722.7299999999996</v>
      </c>
      <c r="AO184">
        <f t="shared" si="50"/>
        <v>-3707.66</v>
      </c>
      <c r="AP184" t="s">
        <v>34</v>
      </c>
      <c r="AQ184" t="str">
        <f t="shared" si="51"/>
        <v>Paid</v>
      </c>
      <c r="AR184" t="s">
        <v>35</v>
      </c>
      <c r="AS184" t="str">
        <f t="shared" si="52"/>
        <v>Completed</v>
      </c>
      <c r="AT184" t="str">
        <f t="shared" si="53"/>
        <v>Clean</v>
      </c>
    </row>
    <row r="185" spans="1:46">
      <c r="A185" t="s">
        <v>995</v>
      </c>
      <c r="B185">
        <f>COUNTIF($D$2:D185,D185)</f>
        <v>1</v>
      </c>
      <c r="C185" t="str">
        <f>IF(COUNTIF($A:$A,A185)=1,
"Unique",
IF(COUNTIFS($A:$A,A185,$N:$N,N185,$AF:$AF,AF185,$AJ:$AJ,AJ185)&gt;1,
"Exact Duplicate",
"Conflicting Duplicate"))</f>
        <v>Unique</v>
      </c>
      <c r="D185" t="s">
        <v>996</v>
      </c>
      <c r="E185" t="s">
        <v>997</v>
      </c>
      <c r="F185" s="3">
        <v>45832</v>
      </c>
      <c r="G185" s="3">
        <v>45835</v>
      </c>
      <c r="H185" s="5" t="str">
        <f t="shared" si="36"/>
        <v>June</v>
      </c>
      <c r="I185" s="5">
        <f t="shared" si="37"/>
        <v>2025</v>
      </c>
      <c r="J185" t="str">
        <f>IF(F185="","Missing Date",
IF(ISNUMBER(F185),"Valid","Invalid Date"))</f>
        <v>Valid</v>
      </c>
      <c r="K185" t="str">
        <f t="shared" si="38"/>
        <v>Valid</v>
      </c>
      <c r="L185">
        <f>G185-F185</f>
        <v>3</v>
      </c>
      <c r="M185" t="s">
        <v>998</v>
      </c>
      <c r="N185" t="s">
        <v>83</v>
      </c>
      <c r="O185" t="str">
        <f t="shared" si="39"/>
        <v>Vikram Iyer</v>
      </c>
      <c r="P185" t="s">
        <v>115</v>
      </c>
      <c r="Q185" t="str">
        <f t="shared" si="40"/>
        <v>Home Office</v>
      </c>
      <c r="R185" t="s">
        <v>62</v>
      </c>
      <c r="S185" t="str">
        <f t="shared" si="41"/>
        <v>South</v>
      </c>
      <c r="T185" t="s">
        <v>63</v>
      </c>
      <c r="U185" t="str">
        <f t="shared" si="42"/>
        <v>Telangana</v>
      </c>
      <c r="V185" t="s">
        <v>64</v>
      </c>
      <c r="W185" t="str">
        <f t="shared" si="43"/>
        <v>Hyderabad</v>
      </c>
      <c r="X185" t="s">
        <v>86</v>
      </c>
      <c r="Y185" t="str">
        <f t="shared" si="44"/>
        <v>Technology</v>
      </c>
      <c r="Z185" t="s">
        <v>94</v>
      </c>
      <c r="AA185" t="str">
        <f t="shared" si="45"/>
        <v>Copiers</v>
      </c>
      <c r="AB185" t="s">
        <v>999</v>
      </c>
      <c r="AC185" t="s">
        <v>67</v>
      </c>
      <c r="AD185" t="str">
        <f t="shared" si="46"/>
        <v>Standard Class</v>
      </c>
      <c r="AE185">
        <v>7</v>
      </c>
      <c r="AF185">
        <v>2304.86</v>
      </c>
      <c r="AG185">
        <v>0.2</v>
      </c>
      <c r="AH185">
        <v>0.2</v>
      </c>
      <c r="AI185" t="str">
        <f t="shared" si="47"/>
        <v>Valid</v>
      </c>
      <c r="AJ185">
        <v>12907.22</v>
      </c>
      <c r="AK185">
        <f t="shared" si="48"/>
        <v>12907.216</v>
      </c>
      <c r="AL185">
        <v>8327.89</v>
      </c>
      <c r="AM185">
        <v>4579.33</v>
      </c>
      <c r="AN185">
        <f t="shared" si="49"/>
        <v>4579.3260000000009</v>
      </c>
      <c r="AO185">
        <f t="shared" si="50"/>
        <v>-8327.89</v>
      </c>
      <c r="AP185" t="s">
        <v>34</v>
      </c>
      <c r="AQ185" t="str">
        <f t="shared" si="51"/>
        <v>Paid</v>
      </c>
      <c r="AR185" t="s">
        <v>125</v>
      </c>
      <c r="AS185" t="str">
        <f t="shared" si="52"/>
        <v>Returned</v>
      </c>
      <c r="AT185" t="str">
        <f t="shared" si="53"/>
        <v>Clean</v>
      </c>
    </row>
    <row r="186" spans="1:46">
      <c r="A186" t="s">
        <v>1000</v>
      </c>
      <c r="B186">
        <f>COUNTIF($D$2:D186,D186)</f>
        <v>1</v>
      </c>
      <c r="C186" t="str">
        <f>IF(COUNTIF($A:$A,A186)=1,
"Unique",
IF(COUNTIFS($A:$A,A186,$N:$N,N186,$AF:$AF,AF186,$AJ:$AJ,AJ186)&gt;1,
"Exact Duplicate",
"Conflicting Duplicate"))</f>
        <v>Unique</v>
      </c>
      <c r="D186" t="s">
        <v>1001</v>
      </c>
      <c r="E186" t="s">
        <v>348</v>
      </c>
      <c r="F186" s="3">
        <v>45326</v>
      </c>
      <c r="G186" s="3">
        <v>45447</v>
      </c>
      <c r="H186" s="5" t="str">
        <f t="shared" si="36"/>
        <v>February</v>
      </c>
      <c r="I186" s="5">
        <f t="shared" si="37"/>
        <v>2024</v>
      </c>
      <c r="J186" t="str">
        <f>IF(F186="","Missing Date",
IF(ISNUMBER(F186),"Valid","Invalid Date"))</f>
        <v>Valid</v>
      </c>
      <c r="K186" t="str">
        <f t="shared" si="38"/>
        <v>Valid</v>
      </c>
      <c r="L186">
        <f>G186-F186</f>
        <v>121</v>
      </c>
      <c r="M186" t="s">
        <v>1002</v>
      </c>
      <c r="N186" t="s">
        <v>83</v>
      </c>
      <c r="O186" t="str">
        <f t="shared" si="39"/>
        <v>Vikram Iyer</v>
      </c>
      <c r="P186" t="s">
        <v>108</v>
      </c>
      <c r="Q186" t="str">
        <f t="shared" si="40"/>
        <v>Corporate</v>
      </c>
      <c r="R186" t="s">
        <v>73</v>
      </c>
      <c r="S186" t="str">
        <f t="shared" si="41"/>
        <v>West</v>
      </c>
      <c r="T186" t="s">
        <v>84</v>
      </c>
      <c r="U186" t="str">
        <f t="shared" si="42"/>
        <v>Madhya Pradesh</v>
      </c>
      <c r="V186" t="s">
        <v>85</v>
      </c>
      <c r="W186" t="str">
        <f t="shared" si="43"/>
        <v>Indore</v>
      </c>
      <c r="X186" t="s">
        <v>45</v>
      </c>
      <c r="Y186" t="str">
        <f t="shared" si="44"/>
        <v>Furniture</v>
      </c>
      <c r="Z186" t="s">
        <v>204</v>
      </c>
      <c r="AA186" t="str">
        <f t="shared" si="45"/>
        <v>Bookcases</v>
      </c>
      <c r="AB186" t="s">
        <v>1003</v>
      </c>
      <c r="AC186" t="s">
        <v>67</v>
      </c>
      <c r="AD186" t="str">
        <f t="shared" si="46"/>
        <v>Standard Class</v>
      </c>
      <c r="AE186">
        <v>2</v>
      </c>
      <c r="AF186">
        <v>888.98</v>
      </c>
      <c r="AG186">
        <v>0</v>
      </c>
      <c r="AH186">
        <v>0</v>
      </c>
      <c r="AI186" t="str">
        <f t="shared" si="47"/>
        <v>Valid</v>
      </c>
      <c r="AJ186">
        <v>1777.96</v>
      </c>
      <c r="AK186">
        <f t="shared" si="48"/>
        <v>1777.96</v>
      </c>
      <c r="AL186">
        <v>1021.16</v>
      </c>
      <c r="AM186">
        <v>756.8</v>
      </c>
      <c r="AN186">
        <f t="shared" si="49"/>
        <v>756.80000000000007</v>
      </c>
      <c r="AO186">
        <f t="shared" si="50"/>
        <v>-1021.16</v>
      </c>
      <c r="AP186" t="s">
        <v>124</v>
      </c>
      <c r="AQ186" t="str">
        <f t="shared" si="51"/>
        <v>Refunded</v>
      </c>
      <c r="AR186" t="s">
        <v>125</v>
      </c>
      <c r="AS186" t="str">
        <f t="shared" si="52"/>
        <v>Returned</v>
      </c>
      <c r="AT186" t="str">
        <f t="shared" si="53"/>
        <v>Clean</v>
      </c>
    </row>
    <row r="187" spans="1:46">
      <c r="A187" t="s">
        <v>1004</v>
      </c>
      <c r="B187">
        <f>COUNTIF($D$2:D187,D187)</f>
        <v>2</v>
      </c>
      <c r="C187" t="str">
        <f>IF(COUNTIF($A:$A,A187)=1,
"Unique",
IF(COUNTIFS($A:$A,A187,$N:$N,N187,$AF:$AF,AF187,$AJ:$AJ,AJ187)&gt;1,
"Exact Duplicate",
"Conflicting Duplicate"))</f>
        <v>Unique</v>
      </c>
      <c r="D187" t="s">
        <v>104</v>
      </c>
      <c r="E187" t="s">
        <v>1005</v>
      </c>
      <c r="F187" s="3">
        <v>45601</v>
      </c>
      <c r="G187" s="3">
        <v>45609</v>
      </c>
      <c r="H187" s="5" t="str">
        <f t="shared" si="36"/>
        <v>November</v>
      </c>
      <c r="I187" s="5">
        <f t="shared" si="37"/>
        <v>2024</v>
      </c>
      <c r="J187" t="str">
        <f>IF(F187="","Missing Date",
IF(ISNUMBER(F187),"Valid","Invalid Date"))</f>
        <v>Valid</v>
      </c>
      <c r="K187" t="str">
        <f t="shared" si="38"/>
        <v>Valid</v>
      </c>
      <c r="L187">
        <f>G187-F187</f>
        <v>8</v>
      </c>
      <c r="M187" t="s">
        <v>1006</v>
      </c>
      <c r="N187" t="s">
        <v>61</v>
      </c>
      <c r="O187" t="str">
        <f t="shared" si="39"/>
        <v>Arjun Bose</v>
      </c>
      <c r="P187" t="s">
        <v>26</v>
      </c>
      <c r="Q187" t="str">
        <f t="shared" si="40"/>
        <v>Consumer</v>
      </c>
      <c r="R187" t="s">
        <v>4104</v>
      </c>
      <c r="S187" t="s">
        <v>4104</v>
      </c>
      <c r="T187" t="s">
        <v>154</v>
      </c>
      <c r="U187" t="str">
        <f t="shared" si="42"/>
        <v>Punjab</v>
      </c>
      <c r="V187" t="s">
        <v>155</v>
      </c>
      <c r="W187" t="str">
        <f t="shared" si="43"/>
        <v>Ludhiana</v>
      </c>
      <c r="X187" t="s">
        <v>30</v>
      </c>
      <c r="Y187" t="str">
        <f t="shared" si="44"/>
        <v>Office Supplies</v>
      </c>
      <c r="Z187" t="s">
        <v>109</v>
      </c>
      <c r="AA187" t="str">
        <f t="shared" si="45"/>
        <v>Labels</v>
      </c>
      <c r="AB187" t="s">
        <v>1007</v>
      </c>
      <c r="AC187" t="s">
        <v>33</v>
      </c>
      <c r="AD187" t="str">
        <f t="shared" si="46"/>
        <v>Second Class</v>
      </c>
      <c r="AE187">
        <v>2</v>
      </c>
      <c r="AF187">
        <v>1003.17</v>
      </c>
      <c r="AG187">
        <v>0.2</v>
      </c>
      <c r="AH187">
        <v>0.2</v>
      </c>
      <c r="AI187" t="str">
        <f t="shared" si="47"/>
        <v>Valid</v>
      </c>
      <c r="AJ187">
        <v>1605.07</v>
      </c>
      <c r="AK187">
        <f t="shared" si="48"/>
        <v>1605.0720000000001</v>
      </c>
      <c r="AL187">
        <v>1337.28</v>
      </c>
      <c r="AM187">
        <v>267.79000000000002</v>
      </c>
      <c r="AN187">
        <f t="shared" si="49"/>
        <v>267.79200000000014</v>
      </c>
      <c r="AO187">
        <f t="shared" si="50"/>
        <v>-1337.28</v>
      </c>
      <c r="AP187" t="s">
        <v>34</v>
      </c>
      <c r="AQ187" t="str">
        <f t="shared" si="51"/>
        <v>Paid</v>
      </c>
      <c r="AR187" t="s">
        <v>35</v>
      </c>
      <c r="AS187" t="str">
        <f t="shared" si="52"/>
        <v>Completed</v>
      </c>
      <c r="AT187" t="str">
        <f t="shared" si="53"/>
        <v>Clean</v>
      </c>
    </row>
    <row r="188" spans="1:46">
      <c r="A188" t="s">
        <v>1008</v>
      </c>
      <c r="B188">
        <f>COUNTIF($D$2:D188,D188)</f>
        <v>3</v>
      </c>
      <c r="C188" t="str">
        <f>IF(COUNTIF($A:$A,A188)=1,
"Unique",
IF(COUNTIFS($A:$A,A188,$N:$N,N188,$AF:$AF,AF188,$AJ:$AJ,AJ188)&gt;1,
"Exact Duplicate",
"Conflicting Duplicate"))</f>
        <v>Unique</v>
      </c>
      <c r="D188" t="s">
        <v>332</v>
      </c>
      <c r="E188" t="s">
        <v>1009</v>
      </c>
      <c r="F188" s="3">
        <v>45492</v>
      </c>
      <c r="G188" s="2">
        <v>45493</v>
      </c>
      <c r="H188" s="5" t="str">
        <f t="shared" si="36"/>
        <v>July</v>
      </c>
      <c r="I188" s="5">
        <f t="shared" si="37"/>
        <v>2024</v>
      </c>
      <c r="J188" t="str">
        <f>IF(F188="","Missing Date",
IF(ISNUMBER(F188),"Valid","Invalid Date"))</f>
        <v>Valid</v>
      </c>
      <c r="K188" t="str">
        <f t="shared" si="38"/>
        <v>Valid</v>
      </c>
      <c r="L188">
        <f>G188-F188</f>
        <v>1</v>
      </c>
      <c r="M188" t="s">
        <v>365</v>
      </c>
      <c r="N188" t="s">
        <v>83</v>
      </c>
      <c r="O188" t="str">
        <f t="shared" si="39"/>
        <v>Vikram Iyer</v>
      </c>
      <c r="P188" t="s">
        <v>26</v>
      </c>
      <c r="Q188" t="str">
        <f t="shared" si="40"/>
        <v>Consumer</v>
      </c>
      <c r="R188" t="s">
        <v>62</v>
      </c>
      <c r="S188" t="str">
        <f t="shared" si="41"/>
        <v>South</v>
      </c>
      <c r="T188" t="s">
        <v>339</v>
      </c>
      <c r="U188" t="str">
        <f t="shared" si="42"/>
        <v>Tamil Nadu</v>
      </c>
      <c r="V188" t="s">
        <v>340</v>
      </c>
      <c r="W188" t="str">
        <f t="shared" si="43"/>
        <v>Chennai</v>
      </c>
      <c r="X188" t="s">
        <v>45</v>
      </c>
      <c r="Y188" t="str">
        <f t="shared" si="44"/>
        <v>Furniture</v>
      </c>
      <c r="Z188" t="s">
        <v>46</v>
      </c>
      <c r="AA188" t="str">
        <f t="shared" si="45"/>
        <v>Tables</v>
      </c>
      <c r="AB188" t="s">
        <v>1010</v>
      </c>
      <c r="AC188" t="s">
        <v>56</v>
      </c>
      <c r="AD188" t="str">
        <f t="shared" si="46"/>
        <v>First Class</v>
      </c>
      <c r="AE188">
        <v>7</v>
      </c>
      <c r="AF188">
        <v>3608.43</v>
      </c>
      <c r="AG188">
        <v>0.05</v>
      </c>
      <c r="AH188">
        <v>0.05</v>
      </c>
      <c r="AI188" t="str">
        <f t="shared" si="47"/>
        <v>Valid</v>
      </c>
      <c r="AJ188">
        <v>23996.06</v>
      </c>
      <c r="AK188">
        <f t="shared" si="48"/>
        <v>23996.059499999996</v>
      </c>
      <c r="AL188">
        <v>20167.28</v>
      </c>
      <c r="AM188">
        <v>3828.78</v>
      </c>
      <c r="AN188">
        <f t="shared" si="49"/>
        <v>3828.7794999999969</v>
      </c>
      <c r="AO188">
        <f t="shared" si="50"/>
        <v>-20167.28</v>
      </c>
      <c r="AP188" t="s">
        <v>34</v>
      </c>
      <c r="AQ188" t="str">
        <f t="shared" si="51"/>
        <v>Paid</v>
      </c>
      <c r="AR188" t="s">
        <v>35</v>
      </c>
      <c r="AS188" t="str">
        <f t="shared" si="52"/>
        <v>Completed</v>
      </c>
      <c r="AT188" t="str">
        <f t="shared" si="53"/>
        <v>Clean</v>
      </c>
    </row>
    <row r="189" spans="1:46">
      <c r="A189" t="s">
        <v>1011</v>
      </c>
      <c r="B189">
        <f>COUNTIF($D$2:D189,D189)</f>
        <v>1</v>
      </c>
      <c r="C189" t="str">
        <f>IF(COUNTIF($A:$A,A189)=1,
"Unique",
IF(COUNTIFS($A:$A,A189,$N:$N,N189,$AF:$AF,AF189,$AJ:$AJ,AJ189)&gt;1,
"Exact Duplicate",
"Conflicting Duplicate"))</f>
        <v>Unique</v>
      </c>
      <c r="D189" t="s">
        <v>1012</v>
      </c>
      <c r="E189" t="s">
        <v>1013</v>
      </c>
      <c r="F189" s="3">
        <v>45662</v>
      </c>
      <c r="G189" s="2">
        <v>45693</v>
      </c>
      <c r="H189" s="5" t="str">
        <f t="shared" si="36"/>
        <v>January</v>
      </c>
      <c r="I189" s="5">
        <f t="shared" si="37"/>
        <v>2025</v>
      </c>
      <c r="J189" t="str">
        <f>IF(F189="","Missing Date",
IF(ISNUMBER(F189),"Valid","Invalid Date"))</f>
        <v>Valid</v>
      </c>
      <c r="K189" t="str">
        <f t="shared" si="38"/>
        <v>Valid</v>
      </c>
      <c r="L189">
        <f>G189-F189</f>
        <v>31</v>
      </c>
      <c r="M189" t="s">
        <v>1014</v>
      </c>
      <c r="N189" t="s">
        <v>40</v>
      </c>
      <c r="O189" t="str">
        <f t="shared" si="39"/>
        <v>Mira Das</v>
      </c>
      <c r="P189" t="s">
        <v>26</v>
      </c>
      <c r="Q189" t="str">
        <f t="shared" si="40"/>
        <v>Consumer</v>
      </c>
      <c r="R189" t="s">
        <v>73</v>
      </c>
      <c r="S189" t="str">
        <f t="shared" si="41"/>
        <v>West</v>
      </c>
      <c r="T189" t="s">
        <v>84</v>
      </c>
      <c r="U189" t="str">
        <f t="shared" si="42"/>
        <v>Madhya Pradesh</v>
      </c>
      <c r="V189" t="s">
        <v>85</v>
      </c>
      <c r="W189" t="str">
        <f t="shared" si="43"/>
        <v>Indore</v>
      </c>
      <c r="X189" t="s">
        <v>45</v>
      </c>
      <c r="Y189" t="str">
        <f t="shared" si="44"/>
        <v>Furniture</v>
      </c>
      <c r="Z189" t="s">
        <v>76</v>
      </c>
      <c r="AA189" t="str">
        <f t="shared" si="45"/>
        <v>Chairs</v>
      </c>
      <c r="AB189" t="s">
        <v>1015</v>
      </c>
      <c r="AC189" t="s">
        <v>48</v>
      </c>
      <c r="AD189" t="str">
        <f t="shared" si="46"/>
        <v>Same Day</v>
      </c>
      <c r="AE189">
        <v>3</v>
      </c>
      <c r="AF189">
        <v>2905.74</v>
      </c>
      <c r="AG189">
        <v>0</v>
      </c>
      <c r="AH189">
        <v>0</v>
      </c>
      <c r="AI189" t="str">
        <f t="shared" si="47"/>
        <v>Valid</v>
      </c>
      <c r="AJ189">
        <v>8717.2199999999993</v>
      </c>
      <c r="AK189">
        <f t="shared" si="48"/>
        <v>8717.2199999999993</v>
      </c>
      <c r="AL189">
        <v>6215.96</v>
      </c>
      <c r="AM189">
        <v>2501.2600000000002</v>
      </c>
      <c r="AN189">
        <f t="shared" si="49"/>
        <v>2501.2599999999993</v>
      </c>
      <c r="AO189">
        <f t="shared" si="50"/>
        <v>-6215.96</v>
      </c>
      <c r="AP189" t="s">
        <v>34</v>
      </c>
      <c r="AQ189" t="str">
        <f t="shared" si="51"/>
        <v>Paid</v>
      </c>
      <c r="AR189" t="s">
        <v>125</v>
      </c>
      <c r="AS189" t="str">
        <f t="shared" si="52"/>
        <v>Returned</v>
      </c>
      <c r="AT189" t="str">
        <f t="shared" si="53"/>
        <v>Clean</v>
      </c>
    </row>
    <row r="190" spans="1:46">
      <c r="A190" t="s">
        <v>1016</v>
      </c>
      <c r="B190">
        <f>COUNTIF($D$2:D190,D190)</f>
        <v>1</v>
      </c>
      <c r="C190" t="str">
        <f>IF(COUNTIF($A:$A,A190)=1,
"Unique",
IF(COUNTIFS($A:$A,A190,$N:$N,N190,$AF:$AF,AF190,$AJ:$AJ,AJ190)&gt;1,
"Exact Duplicate",
"Conflicting Duplicate"))</f>
        <v>Unique</v>
      </c>
      <c r="D190" t="s">
        <v>1017</v>
      </c>
      <c r="E190" t="s">
        <v>1018</v>
      </c>
      <c r="F190" s="3">
        <v>45798</v>
      </c>
      <c r="G190" s="2">
        <v>45805</v>
      </c>
      <c r="H190" s="5" t="str">
        <f t="shared" si="36"/>
        <v>May</v>
      </c>
      <c r="I190" s="5">
        <f t="shared" si="37"/>
        <v>2025</v>
      </c>
      <c r="J190" t="str">
        <f>IF(F190="","Missing Date",
IF(ISNUMBER(F190),"Valid","Invalid Date"))</f>
        <v>Valid</v>
      </c>
      <c r="K190" t="str">
        <f t="shared" si="38"/>
        <v>Valid</v>
      </c>
      <c r="L190">
        <f>G190-F190</f>
        <v>7</v>
      </c>
      <c r="M190" t="s">
        <v>1019</v>
      </c>
      <c r="N190" t="s">
        <v>142</v>
      </c>
      <c r="O190" t="str">
        <f t="shared" si="39"/>
        <v>Priya Menon</v>
      </c>
      <c r="P190" t="s">
        <v>108</v>
      </c>
      <c r="Q190" t="str">
        <f t="shared" si="40"/>
        <v>Corporate</v>
      </c>
      <c r="R190" t="s">
        <v>42</v>
      </c>
      <c r="S190" t="str">
        <f t="shared" si="41"/>
        <v>East</v>
      </c>
      <c r="T190" t="s">
        <v>121</v>
      </c>
      <c r="U190" t="str">
        <f t="shared" si="42"/>
        <v>West Bengal</v>
      </c>
      <c r="V190" t="s">
        <v>122</v>
      </c>
      <c r="W190" t="str">
        <f t="shared" si="43"/>
        <v>Kolkata</v>
      </c>
      <c r="X190" t="s">
        <v>45</v>
      </c>
      <c r="Y190" t="str">
        <f t="shared" si="44"/>
        <v>Furniture</v>
      </c>
      <c r="Z190" t="s">
        <v>204</v>
      </c>
      <c r="AA190" t="str">
        <f t="shared" si="45"/>
        <v>Bookcases</v>
      </c>
      <c r="AB190" t="s">
        <v>1020</v>
      </c>
      <c r="AC190" t="s">
        <v>48</v>
      </c>
      <c r="AD190" t="str">
        <f t="shared" si="46"/>
        <v>Same Day</v>
      </c>
      <c r="AE190">
        <v>2</v>
      </c>
      <c r="AF190">
        <v>3559.57</v>
      </c>
      <c r="AG190">
        <v>0.1</v>
      </c>
      <c r="AH190">
        <v>0.1</v>
      </c>
      <c r="AI190" t="str">
        <f t="shared" si="47"/>
        <v>Valid</v>
      </c>
      <c r="AJ190">
        <v>6553.95</v>
      </c>
      <c r="AK190">
        <f t="shared" si="48"/>
        <v>6407.2260000000006</v>
      </c>
      <c r="AL190">
        <v>4923.09</v>
      </c>
      <c r="AM190">
        <v>1484.14</v>
      </c>
      <c r="AN190">
        <f t="shared" si="49"/>
        <v>1484.1360000000004</v>
      </c>
      <c r="AO190">
        <f t="shared" si="50"/>
        <v>-4923.09</v>
      </c>
      <c r="AP190" t="s">
        <v>34</v>
      </c>
      <c r="AQ190" t="str">
        <f t="shared" si="51"/>
        <v>Paid</v>
      </c>
      <c r="AR190" t="s">
        <v>35</v>
      </c>
      <c r="AS190" t="str">
        <f t="shared" si="52"/>
        <v>Completed</v>
      </c>
      <c r="AT190" t="str">
        <f t="shared" si="53"/>
        <v>Clean</v>
      </c>
    </row>
    <row r="191" spans="1:46">
      <c r="A191" t="s">
        <v>1021</v>
      </c>
      <c r="B191">
        <f>COUNTIF($D$2:D191,D191)</f>
        <v>1</v>
      </c>
      <c r="C191" t="str">
        <f>IF(COUNTIF($A:$A,A191)=1,
"Unique",
IF(COUNTIFS($A:$A,A191,$N:$N,N191,$AF:$AF,AF191,$AJ:$AJ,AJ191)&gt;1,
"Exact Duplicate",
"Conflicting Duplicate"))</f>
        <v>Unique</v>
      </c>
      <c r="D191" t="s">
        <v>1022</v>
      </c>
      <c r="E191" t="s">
        <v>1023</v>
      </c>
      <c r="F191" s="3">
        <v>45813</v>
      </c>
      <c r="G191" s="2">
        <v>45843</v>
      </c>
      <c r="H191" s="5" t="str">
        <f t="shared" si="36"/>
        <v>June</v>
      </c>
      <c r="I191" s="5">
        <f t="shared" si="37"/>
        <v>2025</v>
      </c>
      <c r="J191" t="str">
        <f>IF(F191="","Missing Date",
IF(ISNUMBER(F191),"Valid","Invalid Date"))</f>
        <v>Valid</v>
      </c>
      <c r="K191" t="str">
        <f t="shared" si="38"/>
        <v>Valid</v>
      </c>
      <c r="L191">
        <f>G191-F191</f>
        <v>30</v>
      </c>
      <c r="M191" t="s">
        <v>1024</v>
      </c>
      <c r="N191" t="s">
        <v>61</v>
      </c>
      <c r="O191" t="str">
        <f t="shared" si="39"/>
        <v>Arjun Bose</v>
      </c>
      <c r="P191" t="s">
        <v>26</v>
      </c>
      <c r="Q191" t="str">
        <f t="shared" si="40"/>
        <v>Consumer</v>
      </c>
      <c r="R191" t="s">
        <v>73</v>
      </c>
      <c r="S191" t="str">
        <f t="shared" si="41"/>
        <v>West</v>
      </c>
      <c r="T191" t="s">
        <v>28</v>
      </c>
      <c r="U191" t="str">
        <f t="shared" si="42"/>
        <v>Rajasthan</v>
      </c>
      <c r="V191" t="s">
        <v>135</v>
      </c>
      <c r="W191" t="str">
        <f t="shared" si="43"/>
        <v>Udaipur</v>
      </c>
      <c r="X191" t="s">
        <v>45</v>
      </c>
      <c r="Y191" t="str">
        <f t="shared" si="44"/>
        <v>Furniture</v>
      </c>
      <c r="Z191" t="s">
        <v>204</v>
      </c>
      <c r="AA191" t="str">
        <f t="shared" si="45"/>
        <v>Bookcases</v>
      </c>
      <c r="AB191" t="s">
        <v>1025</v>
      </c>
      <c r="AC191" t="s">
        <v>56</v>
      </c>
      <c r="AD191" t="str">
        <f t="shared" si="46"/>
        <v>First Class</v>
      </c>
      <c r="AE191">
        <v>9</v>
      </c>
      <c r="AF191">
        <v>3318.24</v>
      </c>
      <c r="AG191" t="s">
        <v>4104</v>
      </c>
      <c r="AH191" t="s">
        <v>4104</v>
      </c>
      <c r="AI191" t="str">
        <f t="shared" si="47"/>
        <v>Invalid - Above Range</v>
      </c>
      <c r="AJ191">
        <v>25384.54</v>
      </c>
      <c r="AK191" t="s">
        <v>4104</v>
      </c>
      <c r="AL191">
        <v>16872.39</v>
      </c>
      <c r="AM191">
        <v>8512.15</v>
      </c>
      <c r="AN191" t="s">
        <v>4104</v>
      </c>
      <c r="AO191" t="s">
        <v>4104</v>
      </c>
      <c r="AP191" t="s">
        <v>34</v>
      </c>
      <c r="AQ191" t="str">
        <f t="shared" si="51"/>
        <v>Paid</v>
      </c>
      <c r="AR191" t="s">
        <v>1026</v>
      </c>
      <c r="AS191" t="str">
        <f t="shared" si="52"/>
        <v>Completed</v>
      </c>
      <c r="AT191" t="str">
        <f t="shared" si="53"/>
        <v>Needs Review</v>
      </c>
    </row>
    <row r="192" spans="1:46">
      <c r="A192" t="s">
        <v>1027</v>
      </c>
      <c r="B192">
        <f>COUNTIF($D$2:D192,D192)</f>
        <v>1</v>
      </c>
      <c r="C192" t="str">
        <f>IF(COUNTIF($A:$A,A192)=1,
"Unique",
IF(COUNTIFS($A:$A,A192,$N:$N,N192,$AF:$AF,AF192,$AJ:$AJ,AJ192)&gt;1,
"Exact Duplicate",
"Conflicting Duplicate"))</f>
        <v>Unique</v>
      </c>
      <c r="D192" t="s">
        <v>1028</v>
      </c>
      <c r="E192" t="s">
        <v>1029</v>
      </c>
      <c r="F192" s="3">
        <v>45767</v>
      </c>
      <c r="G192" s="3">
        <v>45768</v>
      </c>
      <c r="H192" s="5" t="str">
        <f t="shared" si="36"/>
        <v>April</v>
      </c>
      <c r="I192" s="5">
        <f t="shared" si="37"/>
        <v>2025</v>
      </c>
      <c r="J192" t="str">
        <f>IF(F192="","Missing Date",
IF(ISNUMBER(F192),"Valid","Invalid Date"))</f>
        <v>Valid</v>
      </c>
      <c r="K192" t="str">
        <f t="shared" si="38"/>
        <v>Valid</v>
      </c>
      <c r="L192">
        <f>G192-F192</f>
        <v>1</v>
      </c>
      <c r="M192" t="s">
        <v>1030</v>
      </c>
      <c r="N192" t="s">
        <v>107</v>
      </c>
      <c r="O192" t="str">
        <f t="shared" si="39"/>
        <v>Aditi Sen</v>
      </c>
      <c r="P192" t="s">
        <v>26</v>
      </c>
      <c r="Q192" t="str">
        <f t="shared" si="40"/>
        <v>Consumer</v>
      </c>
      <c r="R192" t="s">
        <v>62</v>
      </c>
      <c r="S192" t="str">
        <f t="shared" si="41"/>
        <v>South</v>
      </c>
      <c r="T192" t="s">
        <v>339</v>
      </c>
      <c r="U192" t="str">
        <f t="shared" si="42"/>
        <v>Tamil Nadu</v>
      </c>
      <c r="V192" t="s">
        <v>340</v>
      </c>
      <c r="W192" t="str">
        <f t="shared" si="43"/>
        <v>Chennai</v>
      </c>
      <c r="X192" t="s">
        <v>30</v>
      </c>
      <c r="Y192" t="str">
        <f t="shared" si="44"/>
        <v>Office Supplies</v>
      </c>
      <c r="Z192" t="s">
        <v>156</v>
      </c>
      <c r="AA192" t="str">
        <f t="shared" si="45"/>
        <v>Storage</v>
      </c>
      <c r="AB192" t="s">
        <v>1031</v>
      </c>
      <c r="AC192" t="s">
        <v>56</v>
      </c>
      <c r="AD192" t="str">
        <f t="shared" si="46"/>
        <v>First Class</v>
      </c>
      <c r="AE192">
        <v>3</v>
      </c>
      <c r="AF192">
        <v>540.09</v>
      </c>
      <c r="AG192">
        <v>0.1</v>
      </c>
      <c r="AH192">
        <v>0.1</v>
      </c>
      <c r="AI192" t="str">
        <f t="shared" si="47"/>
        <v>Valid</v>
      </c>
      <c r="AJ192">
        <v>1458.24</v>
      </c>
      <c r="AK192">
        <f t="shared" si="48"/>
        <v>1458.2429999999999</v>
      </c>
      <c r="AL192">
        <v>943.32</v>
      </c>
      <c r="AM192">
        <v>514.91999999999996</v>
      </c>
      <c r="AN192">
        <f t="shared" si="49"/>
        <v>514.92299999999989</v>
      </c>
      <c r="AO192">
        <f t="shared" si="50"/>
        <v>-943.32</v>
      </c>
      <c r="AP192" t="s">
        <v>34</v>
      </c>
      <c r="AQ192" t="str">
        <f t="shared" si="51"/>
        <v>Paid</v>
      </c>
      <c r="AR192" t="s">
        <v>35</v>
      </c>
      <c r="AS192" t="str">
        <f t="shared" si="52"/>
        <v>Completed</v>
      </c>
      <c r="AT192" t="str">
        <f t="shared" si="53"/>
        <v>Clean</v>
      </c>
    </row>
    <row r="193" spans="1:46">
      <c r="A193" t="s">
        <v>1032</v>
      </c>
      <c r="B193">
        <f>COUNTIF($D$2:D193,D193)</f>
        <v>1</v>
      </c>
      <c r="C193" t="str">
        <f>IF(COUNTIF($A:$A,A193)=1,
"Unique",
IF(COUNTIFS($A:$A,A193,$N:$N,N193,$AF:$AF,AF193,$AJ:$AJ,AJ193)&gt;1,
"Exact Duplicate",
"Conflicting Duplicate"))</f>
        <v>Unique</v>
      </c>
      <c r="D193" t="s">
        <v>1033</v>
      </c>
      <c r="E193" t="s">
        <v>645</v>
      </c>
      <c r="F193" s="3">
        <v>45584</v>
      </c>
      <c r="G193" s="3">
        <v>45589</v>
      </c>
      <c r="H193" s="5" t="str">
        <f t="shared" si="36"/>
        <v>October</v>
      </c>
      <c r="I193" s="5">
        <f t="shared" si="37"/>
        <v>2024</v>
      </c>
      <c r="J193" t="str">
        <f>IF(F193="","Missing Date",
IF(ISNUMBER(F193),"Valid","Invalid Date"))</f>
        <v>Valid</v>
      </c>
      <c r="K193" t="str">
        <f t="shared" si="38"/>
        <v>Valid</v>
      </c>
      <c r="L193">
        <f>G193-F193</f>
        <v>5</v>
      </c>
      <c r="M193" t="s">
        <v>1034</v>
      </c>
      <c r="N193" t="s">
        <v>168</v>
      </c>
      <c r="O193" t="str">
        <f t="shared" si="39"/>
        <v>Sneha Kapoor</v>
      </c>
      <c r="P193" t="s">
        <v>41</v>
      </c>
      <c r="Q193" t="str">
        <f t="shared" si="40"/>
        <v>Small Business</v>
      </c>
      <c r="R193" t="s">
        <v>62</v>
      </c>
      <c r="S193" t="str">
        <f t="shared" si="41"/>
        <v>South</v>
      </c>
      <c r="T193" t="s">
        <v>339</v>
      </c>
      <c r="U193" t="str">
        <f t="shared" si="42"/>
        <v>Tamil Nadu</v>
      </c>
      <c r="V193" t="s">
        <v>340</v>
      </c>
      <c r="W193" t="str">
        <f t="shared" si="43"/>
        <v>Chennai</v>
      </c>
      <c r="X193" t="s">
        <v>45</v>
      </c>
      <c r="Y193" t="str">
        <f t="shared" si="44"/>
        <v>Furniture</v>
      </c>
      <c r="Z193" t="s">
        <v>204</v>
      </c>
      <c r="AA193" t="str">
        <f t="shared" si="45"/>
        <v>Bookcases</v>
      </c>
      <c r="AB193" t="s">
        <v>1035</v>
      </c>
      <c r="AC193" t="s">
        <v>33</v>
      </c>
      <c r="AD193" t="str">
        <f t="shared" si="46"/>
        <v>Second Class</v>
      </c>
      <c r="AE193">
        <v>6</v>
      </c>
      <c r="AF193">
        <v>4308.3999999999996</v>
      </c>
      <c r="AG193">
        <v>0.65</v>
      </c>
      <c r="AH193">
        <v>0.65</v>
      </c>
      <c r="AI193" t="str">
        <f t="shared" si="47"/>
        <v>Valid</v>
      </c>
      <c r="AJ193">
        <v>25850.400000000001</v>
      </c>
      <c r="AK193">
        <f t="shared" si="48"/>
        <v>9047.64</v>
      </c>
      <c r="AL193">
        <v>19397.68</v>
      </c>
      <c r="AM193">
        <v>6452.72</v>
      </c>
      <c r="AN193">
        <f t="shared" si="49"/>
        <v>-10350.040000000001</v>
      </c>
      <c r="AO193">
        <f t="shared" si="50"/>
        <v>-19397.68</v>
      </c>
      <c r="AP193" t="s">
        <v>34</v>
      </c>
      <c r="AQ193" t="str">
        <f t="shared" si="51"/>
        <v>Paid</v>
      </c>
      <c r="AR193" t="s">
        <v>35</v>
      </c>
      <c r="AS193" t="str">
        <f t="shared" si="52"/>
        <v>Completed</v>
      </c>
      <c r="AT193" t="str">
        <f t="shared" si="53"/>
        <v>Clean</v>
      </c>
    </row>
    <row r="194" spans="1:46">
      <c r="A194" t="s">
        <v>1036</v>
      </c>
      <c r="B194">
        <f>COUNTIF($D$2:D194,D194)</f>
        <v>1</v>
      </c>
      <c r="C194" t="str">
        <f>IF(COUNTIF($A:$A,A194)=1,
"Unique",
IF(COUNTIFS($A:$A,A194,$N:$N,N194,$AF:$AF,AF194,$AJ:$AJ,AJ194)&gt;1,
"Exact Duplicate",
"Conflicting Duplicate"))</f>
        <v>Unique</v>
      </c>
      <c r="D194" t="s">
        <v>1037</v>
      </c>
      <c r="E194" t="s">
        <v>1038</v>
      </c>
      <c r="F194" s="3">
        <v>45547</v>
      </c>
      <c r="G194" s="3">
        <v>45642</v>
      </c>
      <c r="H194" s="5" t="str">
        <f t="shared" si="36"/>
        <v>September</v>
      </c>
      <c r="I194" s="5">
        <f t="shared" si="37"/>
        <v>2024</v>
      </c>
      <c r="J194" t="str">
        <f>IF(F194="","Missing Date",
IF(ISNUMBER(F194),"Valid","Invalid Date"))</f>
        <v>Valid</v>
      </c>
      <c r="K194" t="str">
        <f t="shared" si="38"/>
        <v>Valid</v>
      </c>
      <c r="L194">
        <f>G194-F194</f>
        <v>95</v>
      </c>
      <c r="M194" t="s">
        <v>1039</v>
      </c>
      <c r="N194" t="s">
        <v>53</v>
      </c>
      <c r="O194" t="str">
        <f t="shared" si="39"/>
        <v>Isha Nair</v>
      </c>
      <c r="P194" t="s">
        <v>115</v>
      </c>
      <c r="Q194" t="str">
        <f t="shared" si="40"/>
        <v>Home Office</v>
      </c>
      <c r="R194" t="s">
        <v>73</v>
      </c>
      <c r="S194" t="str">
        <f t="shared" si="41"/>
        <v>West</v>
      </c>
      <c r="T194" t="s">
        <v>235</v>
      </c>
      <c r="U194" t="str">
        <f t="shared" si="42"/>
        <v>Gujarat</v>
      </c>
      <c r="V194" t="s">
        <v>236</v>
      </c>
      <c r="W194" t="str">
        <f t="shared" si="43"/>
        <v>Ahmedabad</v>
      </c>
      <c r="X194" t="s">
        <v>45</v>
      </c>
      <c r="Y194" t="str">
        <f t="shared" si="44"/>
        <v>Furniture</v>
      </c>
      <c r="Z194" t="s">
        <v>76</v>
      </c>
      <c r="AA194" t="str">
        <f t="shared" si="45"/>
        <v>Chairs</v>
      </c>
      <c r="AB194" t="s">
        <v>1040</v>
      </c>
      <c r="AC194" t="s">
        <v>56</v>
      </c>
      <c r="AD194" t="str">
        <f t="shared" si="46"/>
        <v>First Class</v>
      </c>
      <c r="AE194">
        <v>4</v>
      </c>
      <c r="AF194">
        <v>2191.0300000000002</v>
      </c>
      <c r="AG194">
        <v>0</v>
      </c>
      <c r="AH194">
        <v>0</v>
      </c>
      <c r="AI194" t="str">
        <f t="shared" si="47"/>
        <v>Valid</v>
      </c>
      <c r="AJ194">
        <v>8764.1200000000008</v>
      </c>
      <c r="AK194">
        <f t="shared" si="48"/>
        <v>8764.1200000000008</v>
      </c>
      <c r="AL194">
        <v>7220.05</v>
      </c>
      <c r="AM194">
        <v>1544.07</v>
      </c>
      <c r="AN194">
        <f t="shared" si="49"/>
        <v>1544.0700000000006</v>
      </c>
      <c r="AO194">
        <f t="shared" si="50"/>
        <v>-7220.05</v>
      </c>
      <c r="AP194" t="s">
        <v>34</v>
      </c>
      <c r="AQ194" t="str">
        <f t="shared" si="51"/>
        <v>Paid</v>
      </c>
      <c r="AR194" t="s">
        <v>35</v>
      </c>
      <c r="AS194" t="str">
        <f t="shared" si="52"/>
        <v>Completed</v>
      </c>
      <c r="AT194" t="str">
        <f t="shared" si="53"/>
        <v>Clean</v>
      </c>
    </row>
    <row r="195" spans="1:46">
      <c r="A195" t="s">
        <v>1041</v>
      </c>
      <c r="B195">
        <f>COUNTIF($D$2:D195,D195)</f>
        <v>1</v>
      </c>
      <c r="C195" t="str">
        <f>IF(COUNTIF($A:$A,A195)=1,
"Unique",
IF(COUNTIFS($A:$A,A195,$N:$N,N195,$AF:$AF,AF195,$AJ:$AJ,AJ195)&gt;1,
"Exact Duplicate",
"Conflicting Duplicate"))</f>
        <v>Unique</v>
      </c>
      <c r="D195" t="s">
        <v>1042</v>
      </c>
      <c r="E195" t="s">
        <v>1043</v>
      </c>
      <c r="F195" s="3">
        <v>45466</v>
      </c>
      <c r="G195" s="3">
        <v>45471</v>
      </c>
      <c r="H195" s="5" t="str">
        <f t="shared" ref="H195:H258" si="54">TEXT(DATE(2024,MONTH(F195),1),"MMMM")</f>
        <v>June</v>
      </c>
      <c r="I195" s="5">
        <f t="shared" ref="I195:I258" si="55">YEAR(F195)</f>
        <v>2024</v>
      </c>
      <c r="J195" t="str">
        <f>IF(F195="","Missing Date",
IF(ISNUMBER(F195),"Valid","Invalid Date"))</f>
        <v>Valid</v>
      </c>
      <c r="K195" t="str">
        <f t="shared" ref="K195:K258" si="56">IF(G195="","Missing Date",
IF(ISNUMBER(G195),"Valid","Invalid Date"))</f>
        <v>Valid</v>
      </c>
      <c r="L195">
        <f>G195-F195</f>
        <v>5</v>
      </c>
      <c r="M195" t="s">
        <v>1044</v>
      </c>
      <c r="N195" t="s">
        <v>142</v>
      </c>
      <c r="O195" t="str">
        <f t="shared" ref="O195:O258" si="57">TRIM(PROPER(CLEAN(N195)))</f>
        <v>Priya Menon</v>
      </c>
      <c r="P195" t="s">
        <v>41</v>
      </c>
      <c r="Q195" t="str">
        <f t="shared" ref="Q195:Q258" si="58">TRIM(PROPER(CLEAN(P195)))</f>
        <v>Small Business</v>
      </c>
      <c r="R195" t="s">
        <v>27</v>
      </c>
      <c r="S195" t="str">
        <f t="shared" ref="S195:S258" si="59">TRIM(PROPER(CLEAN(R195)))</f>
        <v>North</v>
      </c>
      <c r="T195" t="s">
        <v>154</v>
      </c>
      <c r="U195" t="str">
        <f t="shared" ref="U195:U258" si="60">TRIM(PROPER(CLEAN(T195)))</f>
        <v>Punjab</v>
      </c>
      <c r="V195" t="s">
        <v>155</v>
      </c>
      <c r="W195" t="str">
        <f t="shared" ref="W195:W258" si="61">TRIM(PROPER(CLEAN(V195)))</f>
        <v>Ludhiana</v>
      </c>
      <c r="X195" t="s">
        <v>86</v>
      </c>
      <c r="Y195" t="str">
        <f t="shared" ref="Y195:Y258" si="62">TRIM(PROPER(CLEAN(X195)))</f>
        <v>Technology</v>
      </c>
      <c r="Z195" t="s">
        <v>94</v>
      </c>
      <c r="AA195" t="str">
        <f t="shared" ref="AA195:AA258" si="63">TRIM(PROPER(CLEAN(Z195)))</f>
        <v>Copiers</v>
      </c>
      <c r="AB195" t="s">
        <v>1045</v>
      </c>
      <c r="AC195" t="s">
        <v>48</v>
      </c>
      <c r="AD195" t="str">
        <f t="shared" ref="AD195:AD258" si="64">TRIM(PROPER(CLEAN(AC195)))</f>
        <v>Same Day</v>
      </c>
      <c r="AE195">
        <v>6</v>
      </c>
      <c r="AF195">
        <v>1956.63</v>
      </c>
      <c r="AG195">
        <v>0.2</v>
      </c>
      <c r="AH195">
        <v>0.2</v>
      </c>
      <c r="AI195" t="str">
        <f t="shared" ref="AI195:AI258" si="65">IF(AG195="","Missing Discount",IF(AG195&lt;0,"Invalid - Negative Discount",IF(AG195&gt;1,"Invalid - Above Range","Valid")))</f>
        <v>Valid</v>
      </c>
      <c r="AJ195">
        <v>9391.82</v>
      </c>
      <c r="AK195">
        <f t="shared" ref="AK195:AK258" si="66">AE195*AF195*(1-AH195)</f>
        <v>9391.8240000000005</v>
      </c>
      <c r="AL195">
        <v>6013.22</v>
      </c>
      <c r="AM195">
        <v>3378.6</v>
      </c>
      <c r="AN195">
        <f t="shared" ref="AN195:AN258" si="67">AK195-AL195</f>
        <v>3378.6040000000003</v>
      </c>
      <c r="AO195">
        <f t="shared" ref="AO195:AO258" si="68">AN195-AK195</f>
        <v>-6013.22</v>
      </c>
      <c r="AP195" t="s">
        <v>124</v>
      </c>
      <c r="AQ195" t="str">
        <f t="shared" ref="AQ195:AQ258" si="69">TRIM(PROPER(CLEAN(AP195)))</f>
        <v>Refunded</v>
      </c>
      <c r="AR195" t="s">
        <v>125</v>
      </c>
      <c r="AS195" t="str">
        <f t="shared" ref="AS195:AS258" si="70">TRIM(PROPER(CLEAN(AR195)))</f>
        <v>Returned</v>
      </c>
      <c r="AT195" t="str">
        <f t="shared" ref="AT195:AT258" si="71">IF(OR(AH195="Unknown",AJ195="Unknown",AM195="Unknown",A195="Unknown"),"Needs Review","Clean")</f>
        <v>Clean</v>
      </c>
    </row>
    <row r="196" spans="1:46">
      <c r="A196" t="s">
        <v>1046</v>
      </c>
      <c r="B196">
        <f>COUNTIF($D$2:D196,D196)</f>
        <v>1</v>
      </c>
      <c r="C196" t="str">
        <f>IF(COUNTIF($A:$A,A196)=1,
"Unique",
IF(COUNTIFS($A:$A,A196,$N:$N,N196,$AF:$AF,AF196,$AJ:$AJ,AJ196)&gt;1,
"Exact Duplicate",
"Conflicting Duplicate"))</f>
        <v>Unique</v>
      </c>
      <c r="D196" t="s">
        <v>1047</v>
      </c>
      <c r="E196" t="s">
        <v>1048</v>
      </c>
      <c r="F196" s="3">
        <v>45685</v>
      </c>
      <c r="G196" s="3">
        <v>45688</v>
      </c>
      <c r="H196" s="5" t="str">
        <f t="shared" si="54"/>
        <v>January</v>
      </c>
      <c r="I196" s="5">
        <f t="shared" si="55"/>
        <v>2025</v>
      </c>
      <c r="J196" t="str">
        <f>IF(F196="","Missing Date",
IF(ISNUMBER(F196),"Valid","Invalid Date"))</f>
        <v>Valid</v>
      </c>
      <c r="K196" t="str">
        <f t="shared" si="56"/>
        <v>Valid</v>
      </c>
      <c r="L196">
        <f>G196-F196</f>
        <v>3</v>
      </c>
      <c r="M196" t="s">
        <v>1049</v>
      </c>
      <c r="N196" t="s">
        <v>142</v>
      </c>
      <c r="O196" t="str">
        <f t="shared" si="57"/>
        <v>Priya Menon</v>
      </c>
      <c r="P196" t="s">
        <v>26</v>
      </c>
      <c r="Q196" t="str">
        <f t="shared" si="58"/>
        <v>Consumer</v>
      </c>
      <c r="R196" t="s">
        <v>1050</v>
      </c>
      <c r="S196" t="str">
        <f t="shared" si="59"/>
        <v>West</v>
      </c>
      <c r="T196" t="s">
        <v>74</v>
      </c>
      <c r="U196" t="str">
        <f t="shared" si="60"/>
        <v>Maharashtra</v>
      </c>
      <c r="V196" t="s">
        <v>75</v>
      </c>
      <c r="W196" t="str">
        <f t="shared" si="61"/>
        <v>Mumbai</v>
      </c>
      <c r="X196" t="s">
        <v>45</v>
      </c>
      <c r="Y196" t="str">
        <f t="shared" si="62"/>
        <v>Furniture</v>
      </c>
      <c r="Z196" t="s">
        <v>65</v>
      </c>
      <c r="AA196" t="str">
        <f t="shared" si="63"/>
        <v>Furnishings</v>
      </c>
      <c r="AB196" t="s">
        <v>1051</v>
      </c>
      <c r="AC196" t="s">
        <v>56</v>
      </c>
      <c r="AD196" t="str">
        <f t="shared" si="64"/>
        <v>First Class</v>
      </c>
      <c r="AE196">
        <v>9</v>
      </c>
      <c r="AF196">
        <v>858.39</v>
      </c>
      <c r="AG196">
        <v>0.05</v>
      </c>
      <c r="AH196">
        <v>0.05</v>
      </c>
      <c r="AI196" t="str">
        <f t="shared" si="65"/>
        <v>Valid</v>
      </c>
      <c r="AJ196">
        <v>7339.23</v>
      </c>
      <c r="AK196">
        <f t="shared" si="66"/>
        <v>7339.2344999999996</v>
      </c>
      <c r="AL196">
        <v>5434.12</v>
      </c>
      <c r="AM196">
        <v>1905.11</v>
      </c>
      <c r="AN196">
        <f t="shared" si="67"/>
        <v>1905.1144999999997</v>
      </c>
      <c r="AO196">
        <f t="shared" si="68"/>
        <v>-5434.12</v>
      </c>
      <c r="AP196" t="s">
        <v>137</v>
      </c>
      <c r="AQ196" t="str">
        <f t="shared" si="69"/>
        <v>Pending</v>
      </c>
      <c r="AR196" t="s">
        <v>125</v>
      </c>
      <c r="AS196" t="str">
        <f t="shared" si="70"/>
        <v>Returned</v>
      </c>
      <c r="AT196" t="str">
        <f t="shared" si="71"/>
        <v>Clean</v>
      </c>
    </row>
    <row r="197" spans="1:46">
      <c r="A197" t="s">
        <v>1052</v>
      </c>
      <c r="B197">
        <f>COUNTIF($D$2:D197,D197)</f>
        <v>1</v>
      </c>
      <c r="C197" t="str">
        <f>IF(COUNTIF($A:$A,A197)=1,
"Unique",
IF(COUNTIFS($A:$A,A197,$N:$N,N197,$AF:$AF,AF197,$AJ:$AJ,AJ197)&gt;1,
"Exact Duplicate",
"Conflicting Duplicate"))</f>
        <v>Unique</v>
      </c>
      <c r="D197" t="s">
        <v>1053</v>
      </c>
      <c r="E197" t="s">
        <v>1054</v>
      </c>
      <c r="F197" s="2">
        <v>45860</v>
      </c>
      <c r="G197" s="3">
        <v>45862</v>
      </c>
      <c r="H197" s="5" t="str">
        <f t="shared" si="54"/>
        <v>July</v>
      </c>
      <c r="I197" s="5">
        <f t="shared" si="55"/>
        <v>2025</v>
      </c>
      <c r="J197" t="str">
        <f>IF(F197="","Missing Date",
IF(ISNUMBER(F197),"Valid","Invalid Date"))</f>
        <v>Valid</v>
      </c>
      <c r="K197" t="str">
        <f t="shared" si="56"/>
        <v>Valid</v>
      </c>
      <c r="L197">
        <f>G197-F197</f>
        <v>2</v>
      </c>
      <c r="M197" t="s">
        <v>1055</v>
      </c>
      <c r="N197" t="s">
        <v>93</v>
      </c>
      <c r="O197" t="str">
        <f t="shared" si="57"/>
        <v>Neha Gupta</v>
      </c>
      <c r="P197" t="s">
        <v>115</v>
      </c>
      <c r="Q197" t="str">
        <f t="shared" si="58"/>
        <v>Home Office</v>
      </c>
      <c r="R197" t="s">
        <v>62</v>
      </c>
      <c r="S197" t="str">
        <f t="shared" si="59"/>
        <v>South</v>
      </c>
      <c r="T197" t="s">
        <v>100</v>
      </c>
      <c r="U197" t="str">
        <f t="shared" si="60"/>
        <v>Andhra Pradesh</v>
      </c>
      <c r="V197" t="s">
        <v>101</v>
      </c>
      <c r="W197" t="str">
        <f t="shared" si="61"/>
        <v>Vijayawada</v>
      </c>
      <c r="X197" t="s">
        <v>45</v>
      </c>
      <c r="Y197" t="str">
        <f t="shared" si="62"/>
        <v>Furniture</v>
      </c>
      <c r="Z197" t="s">
        <v>65</v>
      </c>
      <c r="AA197" t="str">
        <f t="shared" si="63"/>
        <v>Furnishings</v>
      </c>
      <c r="AB197" t="s">
        <v>1056</v>
      </c>
      <c r="AC197" t="s">
        <v>48</v>
      </c>
      <c r="AD197" t="str">
        <f t="shared" si="64"/>
        <v>Same Day</v>
      </c>
      <c r="AE197">
        <v>5</v>
      </c>
      <c r="AF197">
        <v>1922.83</v>
      </c>
      <c r="AG197">
        <v>0</v>
      </c>
      <c r="AH197">
        <v>0</v>
      </c>
      <c r="AI197" t="str">
        <f t="shared" si="65"/>
        <v>Valid</v>
      </c>
      <c r="AJ197">
        <v>9614.15</v>
      </c>
      <c r="AK197">
        <f t="shared" si="66"/>
        <v>9614.15</v>
      </c>
      <c r="AL197">
        <v>7576.84</v>
      </c>
      <c r="AM197">
        <v>2037.31</v>
      </c>
      <c r="AN197">
        <f t="shared" si="67"/>
        <v>2037.3099999999995</v>
      </c>
      <c r="AO197">
        <f t="shared" si="68"/>
        <v>-7576.84</v>
      </c>
      <c r="AP197" t="s">
        <v>34</v>
      </c>
      <c r="AQ197" t="str">
        <f t="shared" si="69"/>
        <v>Paid</v>
      </c>
      <c r="AR197" t="s">
        <v>35</v>
      </c>
      <c r="AS197" t="str">
        <f t="shared" si="70"/>
        <v>Completed</v>
      </c>
      <c r="AT197" t="str">
        <f t="shared" si="71"/>
        <v>Clean</v>
      </c>
    </row>
    <row r="198" spans="1:46">
      <c r="A198" t="s">
        <v>1057</v>
      </c>
      <c r="B198">
        <f>COUNTIF($D$2:D198,D198)</f>
        <v>1</v>
      </c>
      <c r="C198" t="str">
        <f>IF(COUNTIF($A:$A,A198)=1,
"Unique",
IF(COUNTIFS($A:$A,A198,$N:$N,N198,$AF:$AF,AF198,$AJ:$AJ,AJ198)&gt;1,
"Exact Duplicate",
"Conflicting Duplicate"))</f>
        <v>Unique</v>
      </c>
      <c r="D198" t="s">
        <v>1058</v>
      </c>
      <c r="E198" t="s">
        <v>1059</v>
      </c>
      <c r="F198" s="3">
        <v>45313</v>
      </c>
      <c r="G198" s="2">
        <v>45316</v>
      </c>
      <c r="H198" s="5" t="str">
        <f t="shared" si="54"/>
        <v>January</v>
      </c>
      <c r="I198" s="5">
        <f t="shared" si="55"/>
        <v>2024</v>
      </c>
      <c r="J198" t="str">
        <f>IF(F198="","Missing Date",
IF(ISNUMBER(F198),"Valid","Invalid Date"))</f>
        <v>Valid</v>
      </c>
      <c r="K198" t="str">
        <f t="shared" si="56"/>
        <v>Valid</v>
      </c>
      <c r="L198">
        <f>G198-F198</f>
        <v>3</v>
      </c>
      <c r="M198" t="s">
        <v>1060</v>
      </c>
      <c r="N198" t="s">
        <v>366</v>
      </c>
      <c r="O198" t="str">
        <f t="shared" si="57"/>
        <v>Kabir Singh</v>
      </c>
      <c r="P198" t="s">
        <v>115</v>
      </c>
      <c r="Q198" t="str">
        <f t="shared" si="58"/>
        <v>Home Office</v>
      </c>
      <c r="R198" t="s">
        <v>27</v>
      </c>
      <c r="S198" t="str">
        <f t="shared" si="59"/>
        <v>North</v>
      </c>
      <c r="T198" t="s">
        <v>174</v>
      </c>
      <c r="U198" t="str">
        <f t="shared" si="60"/>
        <v>Uttar Pradesh</v>
      </c>
      <c r="V198" t="s">
        <v>175</v>
      </c>
      <c r="W198" t="str">
        <f t="shared" si="61"/>
        <v>Noida</v>
      </c>
      <c r="X198" t="s">
        <v>30</v>
      </c>
      <c r="Y198" t="str">
        <f t="shared" si="62"/>
        <v>Office Supplies</v>
      </c>
      <c r="Z198" t="s">
        <v>156</v>
      </c>
      <c r="AA198" t="str">
        <f t="shared" si="63"/>
        <v>Storage</v>
      </c>
      <c r="AB198" t="s">
        <v>1061</v>
      </c>
      <c r="AC198" t="s">
        <v>56</v>
      </c>
      <c r="AD198" t="str">
        <f t="shared" si="64"/>
        <v>First Class</v>
      </c>
      <c r="AE198">
        <v>3</v>
      </c>
      <c r="AF198">
        <v>1212.03</v>
      </c>
      <c r="AG198">
        <v>0.1</v>
      </c>
      <c r="AH198">
        <v>0.1</v>
      </c>
      <c r="AI198" t="str">
        <f t="shared" si="65"/>
        <v>Valid</v>
      </c>
      <c r="AJ198">
        <v>3272.48</v>
      </c>
      <c r="AK198">
        <f t="shared" si="66"/>
        <v>3272.4810000000002</v>
      </c>
      <c r="AL198">
        <v>2517.44</v>
      </c>
      <c r="AM198">
        <v>755.04</v>
      </c>
      <c r="AN198">
        <f t="shared" si="67"/>
        <v>755.04100000000017</v>
      </c>
      <c r="AO198">
        <f t="shared" si="68"/>
        <v>-2517.44</v>
      </c>
      <c r="AP198" t="s">
        <v>34</v>
      </c>
      <c r="AQ198" t="str">
        <f t="shared" si="69"/>
        <v>Paid</v>
      </c>
      <c r="AR198" t="s">
        <v>35</v>
      </c>
      <c r="AS198" t="str">
        <f t="shared" si="70"/>
        <v>Completed</v>
      </c>
      <c r="AT198" t="str">
        <f t="shared" si="71"/>
        <v>Clean</v>
      </c>
    </row>
    <row r="199" spans="1:46">
      <c r="A199" t="s">
        <v>1062</v>
      </c>
      <c r="B199">
        <f>COUNTIF($D$2:D199,D199)</f>
        <v>2</v>
      </c>
      <c r="C199" t="str">
        <f>IF(COUNTIF($A:$A,A199)=1,
"Unique",
IF(COUNTIFS($A:$A,A199,$N:$N,N199,$AF:$AF,AF199,$AJ:$AJ,AJ199)&gt;1,
"Exact Duplicate",
"Conflicting Duplicate"))</f>
        <v>Unique</v>
      </c>
      <c r="D199" t="s">
        <v>369</v>
      </c>
      <c r="E199" t="s">
        <v>1063</v>
      </c>
      <c r="F199" s="2">
        <v>45747</v>
      </c>
      <c r="G199" s="3">
        <v>45842</v>
      </c>
      <c r="H199" s="5" t="str">
        <f t="shared" si="54"/>
        <v>March</v>
      </c>
      <c r="I199" s="5">
        <f t="shared" si="55"/>
        <v>2025</v>
      </c>
      <c r="J199" t="str">
        <f>IF(F199="","Missing Date",
IF(ISNUMBER(F199),"Valid","Invalid Date"))</f>
        <v>Valid</v>
      </c>
      <c r="K199" t="str">
        <f t="shared" si="56"/>
        <v>Valid</v>
      </c>
      <c r="L199">
        <f>G199-F199</f>
        <v>95</v>
      </c>
      <c r="M199" t="s">
        <v>564</v>
      </c>
      <c r="N199" t="s">
        <v>148</v>
      </c>
      <c r="O199" t="str">
        <f t="shared" si="57"/>
        <v>Rahul Verma</v>
      </c>
      <c r="P199" t="s">
        <v>701</v>
      </c>
      <c r="Q199" t="str">
        <f t="shared" si="58"/>
        <v>Small Business</v>
      </c>
      <c r="R199" t="s">
        <v>42</v>
      </c>
      <c r="S199" t="str">
        <f t="shared" si="59"/>
        <v>East</v>
      </c>
      <c r="T199" t="s">
        <v>186</v>
      </c>
      <c r="U199" t="str">
        <f t="shared" si="60"/>
        <v>Bihar</v>
      </c>
      <c r="V199" t="s">
        <v>187</v>
      </c>
      <c r="W199" t="str">
        <f t="shared" si="61"/>
        <v>Patna</v>
      </c>
      <c r="X199" t="s">
        <v>30</v>
      </c>
      <c r="Y199" t="str">
        <f t="shared" si="62"/>
        <v>Office Supplies</v>
      </c>
      <c r="Z199" t="s">
        <v>156</v>
      </c>
      <c r="AA199" t="str">
        <f t="shared" si="63"/>
        <v>Storage</v>
      </c>
      <c r="AB199" t="s">
        <v>1064</v>
      </c>
      <c r="AC199" t="s">
        <v>33</v>
      </c>
      <c r="AD199" t="str">
        <f t="shared" si="64"/>
        <v>Second Class</v>
      </c>
      <c r="AE199">
        <v>5</v>
      </c>
      <c r="AF199">
        <v>4096.4399999999996</v>
      </c>
      <c r="AG199">
        <v>0.15</v>
      </c>
      <c r="AH199">
        <v>0.15</v>
      </c>
      <c r="AI199" t="str">
        <f t="shared" si="65"/>
        <v>Valid</v>
      </c>
      <c r="AJ199">
        <v>17409.87</v>
      </c>
      <c r="AK199">
        <f t="shared" si="66"/>
        <v>17409.869999999995</v>
      </c>
      <c r="AL199">
        <v>14076.25</v>
      </c>
      <c r="AM199">
        <v>3333.62</v>
      </c>
      <c r="AN199">
        <f t="shared" si="67"/>
        <v>3333.6199999999953</v>
      </c>
      <c r="AO199">
        <f t="shared" si="68"/>
        <v>-14076.25</v>
      </c>
      <c r="AP199" t="s">
        <v>34</v>
      </c>
      <c r="AQ199" t="str">
        <f t="shared" si="69"/>
        <v>Paid</v>
      </c>
      <c r="AR199" t="s">
        <v>35</v>
      </c>
      <c r="AS199" t="str">
        <f t="shared" si="70"/>
        <v>Completed</v>
      </c>
      <c r="AT199" t="str">
        <f t="shared" si="71"/>
        <v>Clean</v>
      </c>
    </row>
    <row r="200" spans="1:46">
      <c r="A200" t="s">
        <v>1065</v>
      </c>
      <c r="B200">
        <f>COUNTIF($D$2:D200,D200)</f>
        <v>2</v>
      </c>
      <c r="C200" t="str">
        <f>IF(COUNTIF($A:$A,A200)=1,
"Unique",
IF(COUNTIFS($A:$A,A200,$N:$N,N200,$AF:$AF,AF200,$AJ:$AJ,AJ200)&gt;1,
"Exact Duplicate",
"Conflicting Duplicate"))</f>
        <v>Unique</v>
      </c>
      <c r="D200" t="s">
        <v>1066</v>
      </c>
      <c r="E200" t="s">
        <v>1067</v>
      </c>
      <c r="F200" s="3">
        <v>45418</v>
      </c>
      <c r="G200" s="3">
        <v>45449</v>
      </c>
      <c r="H200" s="5" t="str">
        <f t="shared" si="54"/>
        <v>May</v>
      </c>
      <c r="I200" s="5">
        <f t="shared" si="55"/>
        <v>2024</v>
      </c>
      <c r="J200" t="str">
        <f>IF(F200="","Missing Date",
IF(ISNUMBER(F200),"Valid","Invalid Date"))</f>
        <v>Valid</v>
      </c>
      <c r="K200" t="str">
        <f t="shared" si="56"/>
        <v>Valid</v>
      </c>
      <c r="L200">
        <f>G200-F200</f>
        <v>31</v>
      </c>
      <c r="M200" t="s">
        <v>1068</v>
      </c>
      <c r="N200" t="s">
        <v>168</v>
      </c>
      <c r="O200" t="str">
        <f t="shared" si="57"/>
        <v>Sneha Kapoor</v>
      </c>
      <c r="P200" t="s">
        <v>26</v>
      </c>
      <c r="Q200" t="str">
        <f t="shared" si="58"/>
        <v>Consumer</v>
      </c>
      <c r="R200" t="s">
        <v>73</v>
      </c>
      <c r="S200" t="str">
        <f t="shared" si="59"/>
        <v>West</v>
      </c>
      <c r="T200" t="s">
        <v>235</v>
      </c>
      <c r="U200" t="str">
        <f t="shared" si="60"/>
        <v>Gujarat</v>
      </c>
      <c r="V200" t="s">
        <v>236</v>
      </c>
      <c r="W200" t="str">
        <f t="shared" si="61"/>
        <v>Ahmedabad</v>
      </c>
      <c r="X200" t="s">
        <v>30</v>
      </c>
      <c r="Y200" t="str">
        <f t="shared" si="62"/>
        <v>Office Supplies</v>
      </c>
      <c r="Z200" t="s">
        <v>54</v>
      </c>
      <c r="AA200" t="str">
        <f t="shared" si="63"/>
        <v>Art</v>
      </c>
      <c r="AB200" t="s">
        <v>1069</v>
      </c>
      <c r="AC200" t="s">
        <v>33</v>
      </c>
      <c r="AD200" t="str">
        <f t="shared" si="64"/>
        <v>Second Class</v>
      </c>
      <c r="AE200">
        <v>1</v>
      </c>
      <c r="AF200">
        <v>1184.58</v>
      </c>
      <c r="AG200">
        <v>0.05</v>
      </c>
      <c r="AH200">
        <v>0.05</v>
      </c>
      <c r="AI200" t="str">
        <f t="shared" si="65"/>
        <v>Valid</v>
      </c>
      <c r="AJ200">
        <v>1125.3499999999999</v>
      </c>
      <c r="AK200">
        <f t="shared" si="66"/>
        <v>1125.3509999999999</v>
      </c>
      <c r="AL200">
        <v>676.97</v>
      </c>
      <c r="AM200">
        <v>448.38</v>
      </c>
      <c r="AN200">
        <f t="shared" si="67"/>
        <v>448.38099999999986</v>
      </c>
      <c r="AO200">
        <f t="shared" si="68"/>
        <v>-676.97</v>
      </c>
      <c r="AP200" t="s">
        <v>200</v>
      </c>
      <c r="AQ200" t="str">
        <f t="shared" si="69"/>
        <v>Failed</v>
      </c>
      <c r="AR200" t="s">
        <v>78</v>
      </c>
      <c r="AS200" t="str">
        <f t="shared" si="70"/>
        <v>Cancelled</v>
      </c>
      <c r="AT200" t="str">
        <f t="shared" si="71"/>
        <v>Clean</v>
      </c>
    </row>
    <row r="201" spans="1:46">
      <c r="A201" t="s">
        <v>1070</v>
      </c>
      <c r="B201">
        <f>COUNTIF($D$2:D201,D201)</f>
        <v>2</v>
      </c>
      <c r="C201" t="str">
        <f>IF(COUNTIF($A:$A,A201)=1,
"Unique",
IF(COUNTIFS($A:$A,A201,$N:$N,N201,$AF:$AF,AF201,$AJ:$AJ,AJ201)&gt;1,
"Exact Duplicate",
"Conflicting Duplicate"))</f>
        <v>Unique</v>
      </c>
      <c r="D201" t="s">
        <v>303</v>
      </c>
      <c r="E201" t="s">
        <v>1071</v>
      </c>
      <c r="F201" s="3">
        <v>45363</v>
      </c>
      <c r="G201" s="3">
        <v>45629</v>
      </c>
      <c r="H201" s="5" t="str">
        <f t="shared" si="54"/>
        <v>March</v>
      </c>
      <c r="I201" s="5">
        <f t="shared" si="55"/>
        <v>2024</v>
      </c>
      <c r="J201" t="str">
        <f>IF(F201="","Missing Date",
IF(ISNUMBER(F201),"Valid","Invalid Date"))</f>
        <v>Valid</v>
      </c>
      <c r="K201" t="str">
        <f t="shared" si="56"/>
        <v>Valid</v>
      </c>
      <c r="L201">
        <f>G201-F201</f>
        <v>266</v>
      </c>
      <c r="M201" t="s">
        <v>1072</v>
      </c>
      <c r="N201" t="s">
        <v>148</v>
      </c>
      <c r="O201" t="str">
        <f t="shared" si="57"/>
        <v>Rahul Verma</v>
      </c>
      <c r="P201" t="s">
        <v>115</v>
      </c>
      <c r="Q201" t="str">
        <f t="shared" si="58"/>
        <v>Home Office</v>
      </c>
      <c r="R201" t="s">
        <v>42</v>
      </c>
      <c r="S201" t="str">
        <f t="shared" si="59"/>
        <v>East</v>
      </c>
      <c r="T201" t="s">
        <v>186</v>
      </c>
      <c r="U201" t="str">
        <f t="shared" si="60"/>
        <v>Bihar</v>
      </c>
      <c r="V201" t="s">
        <v>187</v>
      </c>
      <c r="W201" t="str">
        <f t="shared" si="61"/>
        <v>Patna</v>
      </c>
      <c r="X201" t="s">
        <v>86</v>
      </c>
      <c r="Y201" t="str">
        <f t="shared" si="62"/>
        <v>Technology</v>
      </c>
      <c r="Z201" t="s">
        <v>382</v>
      </c>
      <c r="AA201" t="str">
        <f t="shared" si="63"/>
        <v>Machines</v>
      </c>
      <c r="AB201" t="s">
        <v>1073</v>
      </c>
      <c r="AC201" t="s">
        <v>4104</v>
      </c>
      <c r="AD201" t="str">
        <f t="shared" si="64"/>
        <v>Unknown</v>
      </c>
      <c r="AE201">
        <v>6</v>
      </c>
      <c r="AF201">
        <v>2185.58</v>
      </c>
      <c r="AG201">
        <v>0.25</v>
      </c>
      <c r="AH201">
        <v>0.25</v>
      </c>
      <c r="AI201" t="str">
        <f t="shared" si="65"/>
        <v>Valid</v>
      </c>
      <c r="AJ201">
        <v>9835.11</v>
      </c>
      <c r="AK201">
        <f t="shared" si="66"/>
        <v>9835.11</v>
      </c>
      <c r="AL201">
        <v>5437.64</v>
      </c>
      <c r="AM201">
        <v>4397.47</v>
      </c>
      <c r="AN201">
        <f t="shared" si="67"/>
        <v>4397.47</v>
      </c>
      <c r="AO201">
        <f t="shared" si="68"/>
        <v>-5437.64</v>
      </c>
      <c r="AP201" t="s">
        <v>34</v>
      </c>
      <c r="AQ201" t="str">
        <f t="shared" si="69"/>
        <v>Paid</v>
      </c>
      <c r="AR201" t="s">
        <v>35</v>
      </c>
      <c r="AS201" t="str">
        <f t="shared" si="70"/>
        <v>Completed</v>
      </c>
      <c r="AT201" t="str">
        <f t="shared" si="71"/>
        <v>Clean</v>
      </c>
    </row>
    <row r="202" spans="1:46">
      <c r="A202" t="s">
        <v>1074</v>
      </c>
      <c r="B202">
        <f>COUNTIF($D$2:D202,D202)</f>
        <v>1</v>
      </c>
      <c r="C202" t="str">
        <f>IF(COUNTIF($A:$A,A202)=1,
"Unique",
IF(COUNTIFS($A:$A,A202,$N:$N,N202,$AF:$AF,AF202,$AJ:$AJ,AJ202)&gt;1,
"Exact Duplicate",
"Conflicting Duplicate"))</f>
        <v>Unique</v>
      </c>
      <c r="D202" t="s">
        <v>997</v>
      </c>
      <c r="E202" t="s">
        <v>1075</v>
      </c>
      <c r="F202" s="3">
        <v>45835</v>
      </c>
      <c r="G202" s="2">
        <v>45784</v>
      </c>
      <c r="H202" s="5" t="str">
        <f t="shared" si="54"/>
        <v>June</v>
      </c>
      <c r="I202" s="5">
        <f t="shared" si="55"/>
        <v>2025</v>
      </c>
      <c r="J202" t="str">
        <f>IF(F202="","Missing Date",
IF(ISNUMBER(F202),"Valid","Invalid Date"))</f>
        <v>Valid</v>
      </c>
      <c r="K202" t="str">
        <f t="shared" si="56"/>
        <v>Valid</v>
      </c>
      <c r="L202">
        <f>G202-F202</f>
        <v>-51</v>
      </c>
      <c r="M202" t="s">
        <v>1076</v>
      </c>
      <c r="N202" t="s">
        <v>142</v>
      </c>
      <c r="O202" t="str">
        <f t="shared" si="57"/>
        <v>Priya Menon</v>
      </c>
      <c r="P202" t="s">
        <v>41</v>
      </c>
      <c r="Q202" t="str">
        <f t="shared" si="58"/>
        <v>Small Business</v>
      </c>
      <c r="R202" t="s">
        <v>27</v>
      </c>
      <c r="S202" t="str">
        <f t="shared" si="59"/>
        <v>North</v>
      </c>
      <c r="T202" t="s">
        <v>28</v>
      </c>
      <c r="U202" t="str">
        <f t="shared" si="60"/>
        <v>Rajasthan</v>
      </c>
      <c r="V202" t="s">
        <v>29</v>
      </c>
      <c r="W202" t="str">
        <f t="shared" si="61"/>
        <v>Jaipur</v>
      </c>
      <c r="X202" t="s">
        <v>86</v>
      </c>
      <c r="Y202" t="str">
        <f t="shared" si="62"/>
        <v>Technology</v>
      </c>
      <c r="Z202" t="s">
        <v>94</v>
      </c>
      <c r="AA202" t="str">
        <f t="shared" si="63"/>
        <v>Copiers</v>
      </c>
      <c r="AB202" t="s">
        <v>1077</v>
      </c>
      <c r="AC202" t="s">
        <v>56</v>
      </c>
      <c r="AD202" t="str">
        <f t="shared" si="64"/>
        <v>First Class</v>
      </c>
      <c r="AE202">
        <v>5</v>
      </c>
      <c r="AF202">
        <v>2868.44</v>
      </c>
      <c r="AG202">
        <v>0.1</v>
      </c>
      <c r="AH202">
        <v>0.1</v>
      </c>
      <c r="AI202" t="str">
        <f t="shared" si="65"/>
        <v>Valid</v>
      </c>
      <c r="AJ202">
        <v>12907.98</v>
      </c>
      <c r="AK202">
        <f t="shared" si="66"/>
        <v>12907.980000000001</v>
      </c>
      <c r="AL202">
        <v>9197.08</v>
      </c>
      <c r="AM202">
        <v>3710.9</v>
      </c>
      <c r="AN202">
        <f t="shared" si="67"/>
        <v>3710.9000000000015</v>
      </c>
      <c r="AO202">
        <f t="shared" si="68"/>
        <v>-9197.08</v>
      </c>
      <c r="AP202" t="s">
        <v>137</v>
      </c>
      <c r="AQ202" t="str">
        <f t="shared" si="69"/>
        <v>Pending</v>
      </c>
      <c r="AR202" t="s">
        <v>78</v>
      </c>
      <c r="AS202" t="str">
        <f t="shared" si="70"/>
        <v>Cancelled</v>
      </c>
      <c r="AT202" t="str">
        <f t="shared" si="71"/>
        <v>Clean</v>
      </c>
    </row>
    <row r="203" spans="1:46">
      <c r="A203" t="s">
        <v>1078</v>
      </c>
      <c r="B203">
        <f>COUNTIF($D$2:D203,D203)</f>
        <v>1</v>
      </c>
      <c r="C203" t="str">
        <f>IF(COUNTIF($A:$A,A203)=1,
"Unique",
IF(COUNTIFS($A:$A,A203,$N:$N,N203,$AF:$AF,AF203,$AJ:$AJ,AJ203)&gt;1,
"Exact Duplicate",
"Conflicting Duplicate"))</f>
        <v>Unique</v>
      </c>
      <c r="D203" t="s">
        <v>1079</v>
      </c>
      <c r="E203" t="s">
        <v>1080</v>
      </c>
      <c r="F203" s="3">
        <v>45864</v>
      </c>
      <c r="G203" s="3">
        <v>45872</v>
      </c>
      <c r="H203" s="5" t="str">
        <f t="shared" si="54"/>
        <v>July</v>
      </c>
      <c r="I203" s="5">
        <f t="shared" si="55"/>
        <v>2025</v>
      </c>
      <c r="J203" t="str">
        <f>IF(F203="","Missing Date",
IF(ISNUMBER(F203),"Valid","Invalid Date"))</f>
        <v>Valid</v>
      </c>
      <c r="K203" t="str">
        <f t="shared" si="56"/>
        <v>Valid</v>
      </c>
      <c r="L203">
        <f>G203-F203</f>
        <v>8</v>
      </c>
      <c r="M203" t="s">
        <v>1081</v>
      </c>
      <c r="N203" t="s">
        <v>83</v>
      </c>
      <c r="O203" t="str">
        <f t="shared" si="57"/>
        <v>Vikram Iyer</v>
      </c>
      <c r="P203" t="s">
        <v>26</v>
      </c>
      <c r="Q203" t="str">
        <f t="shared" si="58"/>
        <v>Consumer</v>
      </c>
      <c r="R203" t="s">
        <v>73</v>
      </c>
      <c r="S203" t="str">
        <f t="shared" si="59"/>
        <v>West</v>
      </c>
      <c r="T203" t="s">
        <v>84</v>
      </c>
      <c r="U203" t="str">
        <f t="shared" si="60"/>
        <v>Madhya Pradesh</v>
      </c>
      <c r="V203" t="s">
        <v>85</v>
      </c>
      <c r="W203" t="str">
        <f t="shared" si="61"/>
        <v>Indore</v>
      </c>
      <c r="X203" t="s">
        <v>30</v>
      </c>
      <c r="Y203" t="str">
        <f t="shared" si="62"/>
        <v>Office Supplies</v>
      </c>
      <c r="Z203" t="s">
        <v>109</v>
      </c>
      <c r="AA203" t="str">
        <f t="shared" si="63"/>
        <v>Labels</v>
      </c>
      <c r="AB203" t="s">
        <v>1082</v>
      </c>
      <c r="AC203" t="s">
        <v>33</v>
      </c>
      <c r="AD203" t="str">
        <f t="shared" si="64"/>
        <v>Second Class</v>
      </c>
      <c r="AE203">
        <v>2</v>
      </c>
      <c r="AF203">
        <v>2503.5300000000002</v>
      </c>
      <c r="AG203">
        <v>-0.16</v>
      </c>
      <c r="AH203">
        <v>-0.16</v>
      </c>
      <c r="AI203" t="str">
        <f t="shared" si="65"/>
        <v>Invalid - Negative Discount</v>
      </c>
      <c r="AJ203">
        <v>4756.71</v>
      </c>
      <c r="AK203">
        <f t="shared" si="66"/>
        <v>5808.1895999999997</v>
      </c>
      <c r="AL203">
        <v>2954.86</v>
      </c>
      <c r="AM203">
        <v>1801.85</v>
      </c>
      <c r="AN203">
        <f t="shared" si="67"/>
        <v>2853.3295999999996</v>
      </c>
      <c r="AO203">
        <f t="shared" si="68"/>
        <v>-2954.86</v>
      </c>
      <c r="AP203" t="s">
        <v>124</v>
      </c>
      <c r="AQ203" t="str">
        <f t="shared" si="69"/>
        <v>Refunded</v>
      </c>
      <c r="AR203" t="s">
        <v>78</v>
      </c>
      <c r="AS203" t="str">
        <f t="shared" si="70"/>
        <v>Cancelled</v>
      </c>
      <c r="AT203" t="str">
        <f t="shared" si="71"/>
        <v>Clean</v>
      </c>
    </row>
    <row r="204" spans="1:46">
      <c r="A204" t="s">
        <v>1083</v>
      </c>
      <c r="B204">
        <f>COUNTIF($D$2:D204,D204)</f>
        <v>1</v>
      </c>
      <c r="C204" t="str">
        <f>IF(COUNTIF($A:$A,A204)=1,
"Unique",
IF(COUNTIFS($A:$A,A204,$N:$N,N204,$AF:$AF,AF204,$AJ:$AJ,AJ204)&gt;1,
"Exact Duplicate",
"Conflicting Duplicate"))</f>
        <v>Unique</v>
      </c>
      <c r="D204" t="s">
        <v>1084</v>
      </c>
      <c r="E204" t="s">
        <v>1085</v>
      </c>
      <c r="F204" s="3">
        <v>45744</v>
      </c>
      <c r="G204" s="2">
        <v>45744</v>
      </c>
      <c r="H204" s="5" t="str">
        <f t="shared" si="54"/>
        <v>March</v>
      </c>
      <c r="I204" s="5">
        <f t="shared" si="55"/>
        <v>2025</v>
      </c>
      <c r="J204" t="str">
        <f>IF(F204="","Missing Date",
IF(ISNUMBER(F204),"Valid","Invalid Date"))</f>
        <v>Valid</v>
      </c>
      <c r="K204" t="str">
        <f t="shared" si="56"/>
        <v>Valid</v>
      </c>
      <c r="L204">
        <f>G204-F204</f>
        <v>0</v>
      </c>
      <c r="M204" t="s">
        <v>1086</v>
      </c>
      <c r="N204" t="s">
        <v>168</v>
      </c>
      <c r="O204" t="str">
        <f t="shared" si="57"/>
        <v>Sneha Kapoor</v>
      </c>
      <c r="P204" t="s">
        <v>108</v>
      </c>
      <c r="Q204" t="str">
        <f t="shared" si="58"/>
        <v>Corporate</v>
      </c>
      <c r="R204" t="s">
        <v>73</v>
      </c>
      <c r="S204" t="str">
        <f t="shared" si="59"/>
        <v>West</v>
      </c>
      <c r="T204" t="s">
        <v>249</v>
      </c>
      <c r="U204" t="str">
        <f t="shared" si="60"/>
        <v>Goa</v>
      </c>
      <c r="V204" t="s">
        <v>250</v>
      </c>
      <c r="W204" t="str">
        <f t="shared" si="61"/>
        <v>Panaji</v>
      </c>
      <c r="X204" t="s">
        <v>86</v>
      </c>
      <c r="Y204" t="str">
        <f t="shared" si="62"/>
        <v>Technology</v>
      </c>
      <c r="Z204" t="s">
        <v>87</v>
      </c>
      <c r="AA204" t="str">
        <f t="shared" si="63"/>
        <v>Accessories</v>
      </c>
      <c r="AB204" t="s">
        <v>1087</v>
      </c>
      <c r="AC204" t="s">
        <v>67</v>
      </c>
      <c r="AD204" t="str">
        <f t="shared" si="64"/>
        <v>Standard Class</v>
      </c>
      <c r="AE204">
        <v>8</v>
      </c>
      <c r="AF204">
        <v>1740.94</v>
      </c>
      <c r="AG204">
        <v>0.05</v>
      </c>
      <c r="AH204">
        <v>0.05</v>
      </c>
      <c r="AI204" t="str">
        <f t="shared" si="65"/>
        <v>Valid</v>
      </c>
      <c r="AJ204">
        <v>13231.14</v>
      </c>
      <c r="AK204">
        <f t="shared" si="66"/>
        <v>13231.144</v>
      </c>
      <c r="AL204">
        <v>11290.06</v>
      </c>
      <c r="AM204">
        <v>1941.08</v>
      </c>
      <c r="AN204">
        <f t="shared" si="67"/>
        <v>1941.0840000000007</v>
      </c>
      <c r="AO204">
        <f t="shared" si="68"/>
        <v>-11290.06</v>
      </c>
      <c r="AP204" t="s">
        <v>34</v>
      </c>
      <c r="AQ204" t="str">
        <f t="shared" si="69"/>
        <v>Paid</v>
      </c>
      <c r="AR204" t="s">
        <v>35</v>
      </c>
      <c r="AS204" t="str">
        <f t="shared" si="70"/>
        <v>Completed</v>
      </c>
      <c r="AT204" t="str">
        <f t="shared" si="71"/>
        <v>Clean</v>
      </c>
    </row>
    <row r="205" spans="1:46">
      <c r="A205" t="s">
        <v>1088</v>
      </c>
      <c r="B205">
        <f>COUNTIF($D$2:D205,D205)</f>
        <v>1</v>
      </c>
      <c r="C205" t="str">
        <f>IF(COUNTIF($A:$A,A205)=1,
"Unique",
IF(COUNTIFS($A:$A,A205,$N:$N,N205,$AF:$AF,AF205,$AJ:$AJ,AJ205)&gt;1,
"Exact Duplicate",
"Conflicting Duplicate"))</f>
        <v>Unique</v>
      </c>
      <c r="D205" t="s">
        <v>1089</v>
      </c>
      <c r="E205" t="s">
        <v>1090</v>
      </c>
      <c r="F205" s="2">
        <v>45379</v>
      </c>
      <c r="G205" s="3">
        <v>45381</v>
      </c>
      <c r="H205" s="5" t="str">
        <f t="shared" si="54"/>
        <v>March</v>
      </c>
      <c r="I205" s="5">
        <f t="shared" si="55"/>
        <v>2024</v>
      </c>
      <c r="J205" t="str">
        <f>IF(F205="","Missing Date",
IF(ISNUMBER(F205),"Valid","Invalid Date"))</f>
        <v>Valid</v>
      </c>
      <c r="K205" t="str">
        <f t="shared" si="56"/>
        <v>Valid</v>
      </c>
      <c r="L205">
        <f>G205-F205</f>
        <v>2</v>
      </c>
      <c r="M205" t="s">
        <v>1091</v>
      </c>
      <c r="N205" t="s">
        <v>168</v>
      </c>
      <c r="O205" t="str">
        <f t="shared" si="57"/>
        <v>Sneha Kapoor</v>
      </c>
      <c r="P205" t="s">
        <v>108</v>
      </c>
      <c r="Q205" t="str">
        <f t="shared" si="58"/>
        <v>Corporate</v>
      </c>
      <c r="R205" t="s">
        <v>73</v>
      </c>
      <c r="S205" t="str">
        <f t="shared" si="59"/>
        <v>West</v>
      </c>
      <c r="T205" t="s">
        <v>28</v>
      </c>
      <c r="U205" t="str">
        <f t="shared" si="60"/>
        <v>Rajasthan</v>
      </c>
      <c r="V205" t="s">
        <v>135</v>
      </c>
      <c r="W205" t="str">
        <f t="shared" si="61"/>
        <v>Udaipur</v>
      </c>
      <c r="X205" t="s">
        <v>86</v>
      </c>
      <c r="Y205" t="str">
        <f t="shared" si="62"/>
        <v>Technology</v>
      </c>
      <c r="Z205" t="s">
        <v>87</v>
      </c>
      <c r="AA205" t="str">
        <f t="shared" si="63"/>
        <v>Accessories</v>
      </c>
      <c r="AB205" t="s">
        <v>1092</v>
      </c>
      <c r="AC205" t="s">
        <v>33</v>
      </c>
      <c r="AD205" t="str">
        <f t="shared" si="64"/>
        <v>Second Class</v>
      </c>
      <c r="AE205">
        <v>1</v>
      </c>
      <c r="AF205">
        <v>570.34</v>
      </c>
      <c r="AG205">
        <v>0.15</v>
      </c>
      <c r="AH205">
        <v>0.15</v>
      </c>
      <c r="AI205" t="str">
        <f t="shared" si="65"/>
        <v>Valid</v>
      </c>
      <c r="AJ205">
        <v>484.79</v>
      </c>
      <c r="AK205">
        <f t="shared" si="66"/>
        <v>484.78899999999999</v>
      </c>
      <c r="AL205">
        <v>333.54</v>
      </c>
      <c r="AM205">
        <v>151.25</v>
      </c>
      <c r="AN205">
        <f t="shared" si="67"/>
        <v>151.24899999999997</v>
      </c>
      <c r="AO205">
        <f t="shared" si="68"/>
        <v>-333.54</v>
      </c>
      <c r="AP205" t="s">
        <v>34</v>
      </c>
      <c r="AQ205" t="str">
        <f t="shared" si="69"/>
        <v>Paid</v>
      </c>
      <c r="AR205" t="s">
        <v>35</v>
      </c>
      <c r="AS205" t="str">
        <f t="shared" si="70"/>
        <v>Completed</v>
      </c>
      <c r="AT205" t="str">
        <f t="shared" si="71"/>
        <v>Clean</v>
      </c>
    </row>
    <row r="206" spans="1:46">
      <c r="A206" t="s">
        <v>1093</v>
      </c>
      <c r="B206">
        <f>COUNTIF($D$2:D206,D206)</f>
        <v>1</v>
      </c>
      <c r="C206" t="str">
        <f>IF(COUNTIF($A:$A,A206)=1,
"Unique",
IF(COUNTIFS($A:$A,A206,$N:$N,N206,$AF:$AF,AF206,$AJ:$AJ,AJ206)&gt;1,
"Exact Duplicate",
"Conflicting Duplicate"))</f>
        <v>Unique</v>
      </c>
      <c r="D206" t="s">
        <v>1094</v>
      </c>
      <c r="E206" t="s">
        <v>1095</v>
      </c>
      <c r="F206" s="3">
        <v>45858</v>
      </c>
      <c r="G206" s="3">
        <v>45861</v>
      </c>
      <c r="H206" s="5" t="str">
        <f t="shared" si="54"/>
        <v>July</v>
      </c>
      <c r="I206" s="5">
        <f t="shared" si="55"/>
        <v>2025</v>
      </c>
      <c r="J206" t="str">
        <f>IF(F206="","Missing Date",
IF(ISNUMBER(F206),"Valid","Invalid Date"))</f>
        <v>Valid</v>
      </c>
      <c r="K206" t="str">
        <f t="shared" si="56"/>
        <v>Valid</v>
      </c>
      <c r="L206">
        <f>G206-F206</f>
        <v>3</v>
      </c>
      <c r="M206" t="s">
        <v>1096</v>
      </c>
      <c r="N206" t="s">
        <v>40</v>
      </c>
      <c r="O206" t="str">
        <f t="shared" si="57"/>
        <v>Mira Das</v>
      </c>
      <c r="P206" t="s">
        <v>115</v>
      </c>
      <c r="Q206" t="str">
        <f t="shared" si="58"/>
        <v>Home Office</v>
      </c>
      <c r="R206" t="s">
        <v>42</v>
      </c>
      <c r="S206" t="str">
        <f t="shared" si="59"/>
        <v>East</v>
      </c>
      <c r="T206" t="s">
        <v>121</v>
      </c>
      <c r="U206" t="str">
        <f t="shared" si="60"/>
        <v>West Bengal</v>
      </c>
      <c r="V206" t="s">
        <v>122</v>
      </c>
      <c r="W206" t="str">
        <f t="shared" si="61"/>
        <v>Kolkata</v>
      </c>
      <c r="X206" t="s">
        <v>45</v>
      </c>
      <c r="Y206" t="str">
        <f t="shared" si="62"/>
        <v>Furniture</v>
      </c>
      <c r="Z206" t="s">
        <v>46</v>
      </c>
      <c r="AA206" t="str">
        <f t="shared" si="63"/>
        <v>Tables</v>
      </c>
      <c r="AB206" t="s">
        <v>1097</v>
      </c>
      <c r="AC206" t="s">
        <v>33</v>
      </c>
      <c r="AD206" t="str">
        <f t="shared" si="64"/>
        <v>Second Class</v>
      </c>
      <c r="AE206">
        <v>4</v>
      </c>
      <c r="AF206">
        <v>477.69</v>
      </c>
      <c r="AG206">
        <v>0.15</v>
      </c>
      <c r="AH206">
        <v>0.15</v>
      </c>
      <c r="AI206" t="str">
        <f t="shared" si="65"/>
        <v>Valid</v>
      </c>
      <c r="AJ206">
        <v>1624.15</v>
      </c>
      <c r="AK206">
        <f t="shared" si="66"/>
        <v>1624.146</v>
      </c>
      <c r="AL206">
        <v>1217.99</v>
      </c>
      <c r="AM206">
        <v>406.16</v>
      </c>
      <c r="AN206">
        <f t="shared" si="67"/>
        <v>406.15599999999995</v>
      </c>
      <c r="AO206">
        <f t="shared" si="68"/>
        <v>-1217.99</v>
      </c>
      <c r="AP206" t="s">
        <v>34</v>
      </c>
      <c r="AQ206" t="str">
        <f t="shared" si="69"/>
        <v>Paid</v>
      </c>
      <c r="AR206" t="s">
        <v>35</v>
      </c>
      <c r="AS206" t="str">
        <f t="shared" si="70"/>
        <v>Completed</v>
      </c>
      <c r="AT206" t="str">
        <f t="shared" si="71"/>
        <v>Clean</v>
      </c>
    </row>
    <row r="207" spans="1:46">
      <c r="A207" t="s">
        <v>1098</v>
      </c>
      <c r="B207">
        <f>COUNTIF($D$2:D207,D207)</f>
        <v>1</v>
      </c>
      <c r="C207" t="str">
        <f>IF(COUNTIF($A:$A,A207)=1,
"Unique",
IF(COUNTIFS($A:$A,A207,$N:$N,N207,$AF:$AF,AF207,$AJ:$AJ,AJ207)&gt;1,
"Exact Duplicate",
"Conflicting Duplicate"))</f>
        <v>Unique</v>
      </c>
      <c r="D207" t="s">
        <v>1099</v>
      </c>
      <c r="E207" t="s">
        <v>1100</v>
      </c>
      <c r="F207" s="3">
        <v>45768</v>
      </c>
      <c r="G207" s="3">
        <v>45773</v>
      </c>
      <c r="H207" s="5" t="str">
        <f t="shared" si="54"/>
        <v>April</v>
      </c>
      <c r="I207" s="5">
        <f t="shared" si="55"/>
        <v>2025</v>
      </c>
      <c r="J207" t="str">
        <f>IF(F207="","Missing Date",
IF(ISNUMBER(F207),"Valid","Invalid Date"))</f>
        <v>Valid</v>
      </c>
      <c r="K207" t="str">
        <f t="shared" si="56"/>
        <v>Valid</v>
      </c>
      <c r="L207">
        <f>G207-F207</f>
        <v>5</v>
      </c>
      <c r="M207" t="s">
        <v>1101</v>
      </c>
      <c r="N207" t="s">
        <v>72</v>
      </c>
      <c r="O207" t="str">
        <f t="shared" si="57"/>
        <v>Ananya Rao</v>
      </c>
      <c r="P207" t="s">
        <v>26</v>
      </c>
      <c r="Q207" t="str">
        <f t="shared" si="58"/>
        <v>Consumer</v>
      </c>
      <c r="R207" t="s">
        <v>73</v>
      </c>
      <c r="S207" t="str">
        <f t="shared" si="59"/>
        <v>West</v>
      </c>
      <c r="T207" t="s">
        <v>74</v>
      </c>
      <c r="U207" t="str">
        <f t="shared" si="60"/>
        <v>Maharashtra</v>
      </c>
      <c r="V207" t="s">
        <v>75</v>
      </c>
      <c r="W207" t="str">
        <f t="shared" si="61"/>
        <v>Mumbai</v>
      </c>
      <c r="X207" t="s">
        <v>918</v>
      </c>
      <c r="Y207" t="str">
        <f t="shared" si="62"/>
        <v>Office Supplies</v>
      </c>
      <c r="Z207" t="s">
        <v>109</v>
      </c>
      <c r="AA207" t="str">
        <f t="shared" si="63"/>
        <v>Labels</v>
      </c>
      <c r="AB207" t="s">
        <v>1102</v>
      </c>
      <c r="AC207" t="s">
        <v>48</v>
      </c>
      <c r="AD207" t="str">
        <f t="shared" si="64"/>
        <v>Same Day</v>
      </c>
      <c r="AE207">
        <v>6</v>
      </c>
      <c r="AF207">
        <v>873.59</v>
      </c>
      <c r="AG207">
        <v>0.2</v>
      </c>
      <c r="AH207">
        <v>0.2</v>
      </c>
      <c r="AI207" t="str">
        <f t="shared" si="65"/>
        <v>Valid</v>
      </c>
      <c r="AJ207">
        <v>4193.2299999999996</v>
      </c>
      <c r="AK207">
        <f t="shared" si="66"/>
        <v>4193.232</v>
      </c>
      <c r="AL207">
        <v>3329.99</v>
      </c>
      <c r="AM207">
        <v>863.24</v>
      </c>
      <c r="AN207">
        <f t="shared" si="67"/>
        <v>863.24200000000019</v>
      </c>
      <c r="AO207">
        <f t="shared" si="68"/>
        <v>-3329.99</v>
      </c>
      <c r="AP207" t="s">
        <v>34</v>
      </c>
      <c r="AQ207" t="str">
        <f t="shared" si="69"/>
        <v>Paid</v>
      </c>
      <c r="AR207" t="s">
        <v>35</v>
      </c>
      <c r="AS207" t="str">
        <f t="shared" si="70"/>
        <v>Completed</v>
      </c>
      <c r="AT207" t="str">
        <f t="shared" si="71"/>
        <v>Clean</v>
      </c>
    </row>
    <row r="208" spans="1:46">
      <c r="A208" t="s">
        <v>1103</v>
      </c>
      <c r="B208">
        <f>COUNTIF($D$2:D208,D208)</f>
        <v>1</v>
      </c>
      <c r="C208" t="str">
        <f>IF(COUNTIF($A:$A,A208)=1,
"Unique",
IF(COUNTIFS($A:$A,A208,$N:$N,N208,$AF:$AF,AF208,$AJ:$AJ,AJ208)&gt;1,
"Exact Duplicate",
"Conflicting Duplicate"))</f>
        <v>Unique</v>
      </c>
      <c r="D208" t="s">
        <v>1104</v>
      </c>
      <c r="E208" t="s">
        <v>118</v>
      </c>
      <c r="F208" s="3">
        <v>45795</v>
      </c>
      <c r="G208" s="2">
        <v>45797</v>
      </c>
      <c r="H208" s="5" t="str">
        <f t="shared" si="54"/>
        <v>May</v>
      </c>
      <c r="I208" s="5">
        <f t="shared" si="55"/>
        <v>2025</v>
      </c>
      <c r="J208" t="str">
        <f>IF(F208="","Missing Date",
IF(ISNUMBER(F208),"Valid","Invalid Date"))</f>
        <v>Valid</v>
      </c>
      <c r="K208" t="str">
        <f t="shared" si="56"/>
        <v>Valid</v>
      </c>
      <c r="L208">
        <f>G208-F208</f>
        <v>2</v>
      </c>
      <c r="M208" t="s">
        <v>1105</v>
      </c>
      <c r="N208" t="s">
        <v>210</v>
      </c>
      <c r="O208" t="str">
        <f t="shared" si="57"/>
        <v>Diya Patel</v>
      </c>
      <c r="P208" t="s">
        <v>41</v>
      </c>
      <c r="Q208" t="str">
        <f t="shared" si="58"/>
        <v>Small Business</v>
      </c>
      <c r="R208" t="s">
        <v>27</v>
      </c>
      <c r="S208" t="str">
        <f t="shared" si="59"/>
        <v>North</v>
      </c>
      <c r="T208" t="s">
        <v>174</v>
      </c>
      <c r="U208" t="str">
        <f t="shared" si="60"/>
        <v>Uttar Pradesh</v>
      </c>
      <c r="V208" t="s">
        <v>175</v>
      </c>
      <c r="W208" t="str">
        <f t="shared" si="61"/>
        <v>Noida</v>
      </c>
      <c r="X208" t="s">
        <v>45</v>
      </c>
      <c r="Y208" t="str">
        <f t="shared" si="62"/>
        <v>Furniture</v>
      </c>
      <c r="Z208" t="s">
        <v>65</v>
      </c>
      <c r="AA208" t="str">
        <f t="shared" si="63"/>
        <v>Furnishings</v>
      </c>
      <c r="AB208" t="s">
        <v>1106</v>
      </c>
      <c r="AC208" t="s">
        <v>56</v>
      </c>
      <c r="AD208" t="str">
        <f t="shared" si="64"/>
        <v>First Class</v>
      </c>
      <c r="AE208">
        <v>2</v>
      </c>
      <c r="AF208">
        <v>215.13</v>
      </c>
      <c r="AG208">
        <v>0</v>
      </c>
      <c r="AH208">
        <v>0</v>
      </c>
      <c r="AI208" t="str">
        <f t="shared" si="65"/>
        <v>Valid</v>
      </c>
      <c r="AJ208">
        <v>430.26</v>
      </c>
      <c r="AK208">
        <f t="shared" si="66"/>
        <v>430.26</v>
      </c>
      <c r="AL208">
        <v>286.38</v>
      </c>
      <c r="AM208">
        <v>143.88</v>
      </c>
      <c r="AN208">
        <f t="shared" si="67"/>
        <v>143.88</v>
      </c>
      <c r="AO208">
        <f t="shared" si="68"/>
        <v>-286.38</v>
      </c>
      <c r="AP208" t="s">
        <v>34</v>
      </c>
      <c r="AQ208" t="str">
        <f t="shared" si="69"/>
        <v>Paid</v>
      </c>
      <c r="AR208" t="s">
        <v>35</v>
      </c>
      <c r="AS208" t="str">
        <f t="shared" si="70"/>
        <v>Completed</v>
      </c>
      <c r="AT208" t="str">
        <f t="shared" si="71"/>
        <v>Clean</v>
      </c>
    </row>
    <row r="209" spans="1:46">
      <c r="A209" t="s">
        <v>1107</v>
      </c>
      <c r="B209">
        <f>COUNTIF($D$2:D209,D209)</f>
        <v>1</v>
      </c>
      <c r="C209" t="str">
        <f>IF(COUNTIF($A:$A,A209)=1,
"Unique",
IF(COUNTIFS($A:$A,A209,$N:$N,N209,$AF:$AF,AF209,$AJ:$AJ,AJ209)&gt;1,
"Exact Duplicate",
"Conflicting Duplicate"))</f>
        <v>Unique</v>
      </c>
      <c r="D209" t="s">
        <v>1108</v>
      </c>
      <c r="E209" t="s">
        <v>1109</v>
      </c>
      <c r="F209" s="2">
        <v>45572</v>
      </c>
      <c r="G209" s="3">
        <v>45489</v>
      </c>
      <c r="H209" s="5" t="str">
        <f t="shared" si="54"/>
        <v>October</v>
      </c>
      <c r="I209" s="5">
        <f t="shared" si="55"/>
        <v>2024</v>
      </c>
      <c r="J209" t="str">
        <f>IF(F209="","Missing Date",
IF(ISNUMBER(F209),"Valid","Invalid Date"))</f>
        <v>Valid</v>
      </c>
      <c r="K209" t="str">
        <f t="shared" si="56"/>
        <v>Valid</v>
      </c>
      <c r="L209">
        <f>G209-F209</f>
        <v>-83</v>
      </c>
      <c r="M209" t="s">
        <v>1110</v>
      </c>
      <c r="N209" t="s">
        <v>162</v>
      </c>
      <c r="O209" t="str">
        <f t="shared" si="57"/>
        <v>Aarav Sharma</v>
      </c>
      <c r="P209" t="s">
        <v>115</v>
      </c>
      <c r="Q209" t="str">
        <f t="shared" si="58"/>
        <v>Home Office</v>
      </c>
      <c r="R209" t="s">
        <v>73</v>
      </c>
      <c r="S209" t="str">
        <f t="shared" si="59"/>
        <v>West</v>
      </c>
      <c r="T209" t="s">
        <v>249</v>
      </c>
      <c r="U209" t="str">
        <f t="shared" si="60"/>
        <v>Goa</v>
      </c>
      <c r="V209" t="s">
        <v>250</v>
      </c>
      <c r="W209" t="str">
        <f t="shared" si="61"/>
        <v>Panaji</v>
      </c>
      <c r="X209" t="s">
        <v>45</v>
      </c>
      <c r="Y209" t="str">
        <f t="shared" si="62"/>
        <v>Furniture</v>
      </c>
      <c r="Z209" t="s">
        <v>204</v>
      </c>
      <c r="AA209" t="str">
        <f t="shared" si="63"/>
        <v>Bookcases</v>
      </c>
      <c r="AB209" t="s">
        <v>1111</v>
      </c>
      <c r="AC209" t="s">
        <v>33</v>
      </c>
      <c r="AD209" t="str">
        <f t="shared" si="64"/>
        <v>Second Class</v>
      </c>
      <c r="AE209">
        <v>2</v>
      </c>
      <c r="AF209">
        <v>1095.45</v>
      </c>
      <c r="AG209">
        <v>0.2</v>
      </c>
      <c r="AH209">
        <v>0.2</v>
      </c>
      <c r="AI209" t="str">
        <f t="shared" si="65"/>
        <v>Valid</v>
      </c>
      <c r="AJ209">
        <v>1752.72</v>
      </c>
      <c r="AK209">
        <f t="shared" si="66"/>
        <v>1752.7200000000003</v>
      </c>
      <c r="AL209">
        <v>996.41</v>
      </c>
      <c r="AM209">
        <v>756.31</v>
      </c>
      <c r="AN209">
        <f t="shared" si="67"/>
        <v>756.31000000000029</v>
      </c>
      <c r="AO209">
        <f t="shared" si="68"/>
        <v>-996.41</v>
      </c>
      <c r="AP209" t="s">
        <v>34</v>
      </c>
      <c r="AQ209" t="str">
        <f t="shared" si="69"/>
        <v>Paid</v>
      </c>
      <c r="AR209" t="s">
        <v>35</v>
      </c>
      <c r="AS209" t="str">
        <f t="shared" si="70"/>
        <v>Completed</v>
      </c>
      <c r="AT209" t="str">
        <f t="shared" si="71"/>
        <v>Clean</v>
      </c>
    </row>
    <row r="210" spans="1:46">
      <c r="A210" t="s">
        <v>1112</v>
      </c>
      <c r="B210">
        <f>COUNTIF($D$2:D210,D210)</f>
        <v>1</v>
      </c>
      <c r="C210" t="str">
        <f>IF(COUNTIF($A:$A,A210)=1,
"Unique",
IF(COUNTIFS($A:$A,A210,$N:$N,N210,$AF:$AF,AF210,$AJ:$AJ,AJ210)&gt;1,
"Exact Duplicate",
"Conflicting Duplicate"))</f>
        <v>Unique</v>
      </c>
      <c r="D210" t="s">
        <v>1113</v>
      </c>
      <c r="E210" t="s">
        <v>1114</v>
      </c>
      <c r="F210" s="3">
        <v>45837</v>
      </c>
      <c r="G210" s="3">
        <v>45784</v>
      </c>
      <c r="H210" s="5" t="str">
        <f t="shared" si="54"/>
        <v>June</v>
      </c>
      <c r="I210" s="5">
        <f t="shared" si="55"/>
        <v>2025</v>
      </c>
      <c r="J210" t="str">
        <f>IF(F210="","Missing Date",
IF(ISNUMBER(F210),"Valid","Invalid Date"))</f>
        <v>Valid</v>
      </c>
      <c r="K210" t="str">
        <f t="shared" si="56"/>
        <v>Valid</v>
      </c>
      <c r="L210">
        <f>G210-F210</f>
        <v>-53</v>
      </c>
      <c r="M210" t="s">
        <v>1115</v>
      </c>
      <c r="N210" t="s">
        <v>210</v>
      </c>
      <c r="O210" t="str">
        <f t="shared" si="57"/>
        <v>Diya Patel</v>
      </c>
      <c r="P210" t="s">
        <v>26</v>
      </c>
      <c r="Q210" t="str">
        <f t="shared" si="58"/>
        <v>Consumer</v>
      </c>
      <c r="R210" t="s">
        <v>27</v>
      </c>
      <c r="S210" t="str">
        <f t="shared" si="59"/>
        <v>North</v>
      </c>
      <c r="T210" t="s">
        <v>154</v>
      </c>
      <c r="U210" t="str">
        <f t="shared" si="60"/>
        <v>Punjab</v>
      </c>
      <c r="V210" t="s">
        <v>155</v>
      </c>
      <c r="W210" t="str">
        <f t="shared" si="61"/>
        <v>Ludhiana</v>
      </c>
      <c r="X210" t="s">
        <v>45</v>
      </c>
      <c r="Y210" t="str">
        <f t="shared" si="62"/>
        <v>Furniture</v>
      </c>
      <c r="Z210" t="s">
        <v>76</v>
      </c>
      <c r="AA210" t="str">
        <f t="shared" si="63"/>
        <v>Chairs</v>
      </c>
      <c r="AB210" t="s">
        <v>1116</v>
      </c>
      <c r="AC210" t="s">
        <v>48</v>
      </c>
      <c r="AD210" t="str">
        <f t="shared" si="64"/>
        <v>Same Day</v>
      </c>
      <c r="AE210">
        <v>1</v>
      </c>
      <c r="AF210">
        <v>999.83</v>
      </c>
      <c r="AG210">
        <v>0</v>
      </c>
      <c r="AH210">
        <v>0</v>
      </c>
      <c r="AI210" t="str">
        <f t="shared" si="65"/>
        <v>Valid</v>
      </c>
      <c r="AJ210">
        <v>999.83</v>
      </c>
      <c r="AK210">
        <f t="shared" si="66"/>
        <v>999.83</v>
      </c>
      <c r="AL210">
        <v>634.91</v>
      </c>
      <c r="AM210">
        <v>364.92</v>
      </c>
      <c r="AN210">
        <f t="shared" si="67"/>
        <v>364.92000000000007</v>
      </c>
      <c r="AO210">
        <f t="shared" si="68"/>
        <v>-634.91</v>
      </c>
      <c r="AP210" t="s">
        <v>34</v>
      </c>
      <c r="AQ210" t="str">
        <f t="shared" si="69"/>
        <v>Paid</v>
      </c>
      <c r="AR210" t="s">
        <v>35</v>
      </c>
      <c r="AS210" t="str">
        <f t="shared" si="70"/>
        <v>Completed</v>
      </c>
      <c r="AT210" t="str">
        <f t="shared" si="71"/>
        <v>Clean</v>
      </c>
    </row>
    <row r="211" spans="1:46">
      <c r="A211" t="s">
        <v>1117</v>
      </c>
      <c r="B211">
        <f>COUNTIF($D$2:D211,D211)</f>
        <v>1</v>
      </c>
      <c r="C211" t="str">
        <f>IF(COUNTIF($A:$A,A211)=1,
"Unique",
IF(COUNTIFS($A:$A,A211,$N:$N,N211,$AF:$AF,AF211,$AJ:$AJ,AJ211)&gt;1,
"Exact Duplicate",
"Conflicting Duplicate"))</f>
        <v>Unique</v>
      </c>
      <c r="D211" t="s">
        <v>1118</v>
      </c>
      <c r="E211" t="s">
        <v>1119</v>
      </c>
      <c r="F211" s="3">
        <v>45882</v>
      </c>
      <c r="G211" s="3">
        <v>45883</v>
      </c>
      <c r="H211" s="5" t="str">
        <f t="shared" si="54"/>
        <v>August</v>
      </c>
      <c r="I211" s="5">
        <f t="shared" si="55"/>
        <v>2025</v>
      </c>
      <c r="J211" t="str">
        <f>IF(F211="","Missing Date",
IF(ISNUMBER(F211),"Valid","Invalid Date"))</f>
        <v>Valid</v>
      </c>
      <c r="K211" t="str">
        <f t="shared" si="56"/>
        <v>Valid</v>
      </c>
      <c r="L211">
        <f>G211-F211</f>
        <v>1</v>
      </c>
      <c r="M211" t="s">
        <v>1120</v>
      </c>
      <c r="N211" t="s">
        <v>180</v>
      </c>
      <c r="O211" t="str">
        <f t="shared" si="57"/>
        <v>Rohan Mehta</v>
      </c>
      <c r="P211" t="s">
        <v>41</v>
      </c>
      <c r="Q211" t="str">
        <f t="shared" si="58"/>
        <v>Small Business</v>
      </c>
      <c r="R211" t="s">
        <v>62</v>
      </c>
      <c r="S211" t="str">
        <f t="shared" si="59"/>
        <v>South</v>
      </c>
      <c r="T211" t="s">
        <v>100</v>
      </c>
      <c r="U211" t="str">
        <f t="shared" si="60"/>
        <v>Andhra Pradesh</v>
      </c>
      <c r="V211" t="s">
        <v>101</v>
      </c>
      <c r="W211" t="str">
        <f t="shared" si="61"/>
        <v>Vijayawada</v>
      </c>
      <c r="X211" t="s">
        <v>30</v>
      </c>
      <c r="Y211" t="str">
        <f t="shared" si="62"/>
        <v>Office Supplies</v>
      </c>
      <c r="Z211" t="s">
        <v>31</v>
      </c>
      <c r="AA211" t="str">
        <f t="shared" si="63"/>
        <v>Paper</v>
      </c>
      <c r="AB211" t="s">
        <v>1121</v>
      </c>
      <c r="AC211" t="s">
        <v>56</v>
      </c>
      <c r="AD211" t="str">
        <f t="shared" si="64"/>
        <v>First Class</v>
      </c>
      <c r="AE211">
        <v>9</v>
      </c>
      <c r="AF211">
        <v>864.98</v>
      </c>
      <c r="AG211">
        <v>0.1</v>
      </c>
      <c r="AH211">
        <v>0.1</v>
      </c>
      <c r="AI211" t="str">
        <f t="shared" si="65"/>
        <v>Valid</v>
      </c>
      <c r="AJ211">
        <v>7006.34</v>
      </c>
      <c r="AK211">
        <f t="shared" si="66"/>
        <v>7006.3379999999997</v>
      </c>
      <c r="AL211">
        <v>4640.88</v>
      </c>
      <c r="AM211">
        <v>2365.46</v>
      </c>
      <c r="AN211">
        <f t="shared" si="67"/>
        <v>2365.4579999999996</v>
      </c>
      <c r="AO211">
        <f t="shared" si="68"/>
        <v>-4640.88</v>
      </c>
      <c r="AP211" t="s">
        <v>34</v>
      </c>
      <c r="AQ211" t="str">
        <f t="shared" si="69"/>
        <v>Paid</v>
      </c>
      <c r="AR211" t="s">
        <v>35</v>
      </c>
      <c r="AS211" t="str">
        <f t="shared" si="70"/>
        <v>Completed</v>
      </c>
      <c r="AT211" t="str">
        <f t="shared" si="71"/>
        <v>Clean</v>
      </c>
    </row>
    <row r="212" spans="1:46">
      <c r="A212" t="s">
        <v>1122</v>
      </c>
      <c r="B212">
        <f>COUNTIF($D$2:D212,D212)</f>
        <v>1</v>
      </c>
      <c r="C212" t="str">
        <f>IF(COUNTIF($A:$A,A212)=1,
"Unique",
IF(COUNTIFS($A:$A,A212,$N:$N,N212,$AF:$AF,AF212,$AJ:$AJ,AJ212)&gt;1,
"Exact Duplicate",
"Conflicting Duplicate"))</f>
        <v>Unique</v>
      </c>
      <c r="D212" t="s">
        <v>1123</v>
      </c>
      <c r="E212" t="s">
        <v>1124</v>
      </c>
      <c r="F212" s="3">
        <v>45366</v>
      </c>
      <c r="G212" s="3">
        <v>45369</v>
      </c>
      <c r="H212" s="5" t="str">
        <f t="shared" si="54"/>
        <v>March</v>
      </c>
      <c r="I212" s="5">
        <f t="shared" si="55"/>
        <v>2024</v>
      </c>
      <c r="J212" t="str">
        <f>IF(F212="","Missing Date",
IF(ISNUMBER(F212),"Valid","Invalid Date"))</f>
        <v>Valid</v>
      </c>
      <c r="K212" t="str">
        <f t="shared" si="56"/>
        <v>Valid</v>
      </c>
      <c r="L212">
        <f>G212-F212</f>
        <v>3</v>
      </c>
      <c r="M212" t="s">
        <v>1125</v>
      </c>
      <c r="N212" t="s">
        <v>366</v>
      </c>
      <c r="O212" t="str">
        <f t="shared" si="57"/>
        <v>Kabir Singh</v>
      </c>
      <c r="P212" t="s">
        <v>115</v>
      </c>
      <c r="Q212" t="str">
        <f t="shared" si="58"/>
        <v>Home Office</v>
      </c>
      <c r="R212" t="s">
        <v>62</v>
      </c>
      <c r="S212" t="str">
        <f t="shared" si="59"/>
        <v>South</v>
      </c>
      <c r="T212" t="s">
        <v>229</v>
      </c>
      <c r="U212" t="str">
        <f t="shared" si="60"/>
        <v>Karnataka</v>
      </c>
      <c r="V212" t="s">
        <v>230</v>
      </c>
      <c r="W212" t="str">
        <f t="shared" si="61"/>
        <v>Bengaluru</v>
      </c>
      <c r="X212" t="s">
        <v>86</v>
      </c>
      <c r="Y212" t="str">
        <f t="shared" si="62"/>
        <v>Technology</v>
      </c>
      <c r="Z212" t="s">
        <v>382</v>
      </c>
      <c r="AA212" t="str">
        <f t="shared" si="63"/>
        <v>Machines</v>
      </c>
      <c r="AB212" t="s">
        <v>1126</v>
      </c>
      <c r="AC212" t="s">
        <v>33</v>
      </c>
      <c r="AD212" t="str">
        <f t="shared" si="64"/>
        <v>Second Class</v>
      </c>
      <c r="AE212">
        <v>1</v>
      </c>
      <c r="AF212">
        <v>4131.3599999999997</v>
      </c>
      <c r="AG212">
        <v>0</v>
      </c>
      <c r="AH212">
        <v>0</v>
      </c>
      <c r="AI212" t="str">
        <f t="shared" si="65"/>
        <v>Valid</v>
      </c>
      <c r="AJ212">
        <v>4131.3599999999997</v>
      </c>
      <c r="AK212">
        <f t="shared" si="66"/>
        <v>4131.3599999999997</v>
      </c>
      <c r="AL212">
        <v>2937.07</v>
      </c>
      <c r="AM212">
        <v>1194.29</v>
      </c>
      <c r="AN212">
        <f t="shared" si="67"/>
        <v>1194.2899999999995</v>
      </c>
      <c r="AO212">
        <f t="shared" si="68"/>
        <v>-2937.07</v>
      </c>
      <c r="AP212" t="s">
        <v>200</v>
      </c>
      <c r="AQ212" t="str">
        <f t="shared" si="69"/>
        <v>Failed</v>
      </c>
      <c r="AR212" t="s">
        <v>125</v>
      </c>
      <c r="AS212" t="str">
        <f t="shared" si="70"/>
        <v>Returned</v>
      </c>
      <c r="AT212" t="str">
        <f t="shared" si="71"/>
        <v>Clean</v>
      </c>
    </row>
    <row r="213" spans="1:46">
      <c r="A213" t="s">
        <v>1127</v>
      </c>
      <c r="B213">
        <f>COUNTIF($D$2:D213,D213)</f>
        <v>1</v>
      </c>
      <c r="C213" t="str">
        <f>IF(COUNTIF($A:$A,A213)=1,
"Unique",
IF(COUNTIFS($A:$A,A213,$N:$N,N213,$AF:$AF,AF213,$AJ:$AJ,AJ213)&gt;1,
"Exact Duplicate",
"Conflicting Duplicate"))</f>
        <v>Unique</v>
      </c>
      <c r="D213" t="s">
        <v>1128</v>
      </c>
      <c r="E213" t="s">
        <v>1129</v>
      </c>
      <c r="F213" s="3">
        <v>45428</v>
      </c>
      <c r="G213" s="3">
        <v>45429</v>
      </c>
      <c r="H213" s="5" t="str">
        <f t="shared" si="54"/>
        <v>May</v>
      </c>
      <c r="I213" s="5">
        <f t="shared" si="55"/>
        <v>2024</v>
      </c>
      <c r="J213" t="str">
        <f>IF(F213="","Missing Date",
IF(ISNUMBER(F213),"Valid","Invalid Date"))</f>
        <v>Valid</v>
      </c>
      <c r="K213" t="str">
        <f t="shared" si="56"/>
        <v>Valid</v>
      </c>
      <c r="L213">
        <f>G213-F213</f>
        <v>1</v>
      </c>
      <c r="M213" t="s">
        <v>1130</v>
      </c>
      <c r="N213" t="s">
        <v>180</v>
      </c>
      <c r="O213" t="str">
        <f t="shared" si="57"/>
        <v>Rohan Mehta</v>
      </c>
      <c r="P213" t="s">
        <v>108</v>
      </c>
      <c r="Q213" t="str">
        <f t="shared" si="58"/>
        <v>Corporate</v>
      </c>
      <c r="R213" t="s">
        <v>1131</v>
      </c>
      <c r="S213" t="str">
        <f t="shared" si="59"/>
        <v>East</v>
      </c>
      <c r="T213" t="s">
        <v>121</v>
      </c>
      <c r="U213" t="str">
        <f t="shared" si="60"/>
        <v>West Bengal</v>
      </c>
      <c r="V213" t="s">
        <v>122</v>
      </c>
      <c r="W213" t="str">
        <f t="shared" si="61"/>
        <v>Kolkata</v>
      </c>
      <c r="X213" t="s">
        <v>86</v>
      </c>
      <c r="Y213" t="str">
        <f t="shared" si="62"/>
        <v>Technology</v>
      </c>
      <c r="Z213" t="s">
        <v>94</v>
      </c>
      <c r="AA213" t="str">
        <f t="shared" si="63"/>
        <v>Copiers</v>
      </c>
      <c r="AB213" t="s">
        <v>1132</v>
      </c>
      <c r="AC213" t="s">
        <v>33</v>
      </c>
      <c r="AD213" t="str">
        <f t="shared" si="64"/>
        <v>Second Class</v>
      </c>
      <c r="AE213">
        <v>8</v>
      </c>
      <c r="AF213">
        <v>4221.95</v>
      </c>
      <c r="AG213">
        <v>0.2</v>
      </c>
      <c r="AH213">
        <v>0.2</v>
      </c>
      <c r="AI213" t="str">
        <f t="shared" si="65"/>
        <v>Valid</v>
      </c>
      <c r="AJ213">
        <v>27020.48</v>
      </c>
      <c r="AK213">
        <f t="shared" si="66"/>
        <v>27020.48</v>
      </c>
      <c r="AL213">
        <v>22885.24</v>
      </c>
      <c r="AM213">
        <v>4135.24</v>
      </c>
      <c r="AN213">
        <f t="shared" si="67"/>
        <v>4135.239999999998</v>
      </c>
      <c r="AO213">
        <f t="shared" si="68"/>
        <v>-22885.24</v>
      </c>
      <c r="AP213" t="s">
        <v>34</v>
      </c>
      <c r="AQ213" t="str">
        <f t="shared" si="69"/>
        <v>Paid</v>
      </c>
      <c r="AR213" t="s">
        <v>35</v>
      </c>
      <c r="AS213" t="str">
        <f t="shared" si="70"/>
        <v>Completed</v>
      </c>
      <c r="AT213" t="str">
        <f t="shared" si="71"/>
        <v>Clean</v>
      </c>
    </row>
    <row r="214" spans="1:46">
      <c r="A214" t="s">
        <v>1133</v>
      </c>
      <c r="B214">
        <f>COUNTIF($D$2:D214,D214)</f>
        <v>1</v>
      </c>
      <c r="C214" t="str">
        <f>IF(COUNTIF($A:$A,A214)=1,
"Unique",
IF(COUNTIFS($A:$A,A214,$N:$N,N214,$AF:$AF,AF214,$AJ:$AJ,AJ214)&gt;1,
"Exact Duplicate",
"Conflicting Duplicate"))</f>
        <v>Unique</v>
      </c>
      <c r="D214" t="s">
        <v>1134</v>
      </c>
      <c r="E214" t="s">
        <v>1135</v>
      </c>
      <c r="F214" s="3">
        <v>45556</v>
      </c>
      <c r="G214" s="3">
        <v>45556</v>
      </c>
      <c r="H214" s="5" t="str">
        <f t="shared" si="54"/>
        <v>September</v>
      </c>
      <c r="I214" s="5">
        <f t="shared" si="55"/>
        <v>2024</v>
      </c>
      <c r="J214" t="str">
        <f>IF(F214="","Missing Date",
IF(ISNUMBER(F214),"Valid","Invalid Date"))</f>
        <v>Valid</v>
      </c>
      <c r="K214" t="str">
        <f t="shared" si="56"/>
        <v>Valid</v>
      </c>
      <c r="L214">
        <f>G214-F214</f>
        <v>0</v>
      </c>
      <c r="M214" t="s">
        <v>1136</v>
      </c>
      <c r="N214" t="s">
        <v>72</v>
      </c>
      <c r="O214" t="str">
        <f t="shared" si="57"/>
        <v>Ananya Rao</v>
      </c>
      <c r="P214" t="s">
        <v>41</v>
      </c>
      <c r="Q214" t="str">
        <f t="shared" si="58"/>
        <v>Small Business</v>
      </c>
      <c r="R214" t="s">
        <v>42</v>
      </c>
      <c r="S214" t="str">
        <f t="shared" si="59"/>
        <v>East</v>
      </c>
      <c r="T214" t="s">
        <v>43</v>
      </c>
      <c r="U214" t="str">
        <f t="shared" si="60"/>
        <v>Odisha</v>
      </c>
      <c r="V214" t="s">
        <v>44</v>
      </c>
      <c r="W214" t="str">
        <f t="shared" si="61"/>
        <v>Bhubaneswar</v>
      </c>
      <c r="X214" t="s">
        <v>86</v>
      </c>
      <c r="Y214" t="str">
        <f t="shared" si="62"/>
        <v>Technology</v>
      </c>
      <c r="Z214" t="s">
        <v>223</v>
      </c>
      <c r="AA214" t="str">
        <f t="shared" si="63"/>
        <v>Phones</v>
      </c>
      <c r="AB214" t="s">
        <v>1137</v>
      </c>
      <c r="AC214" t="s">
        <v>48</v>
      </c>
      <c r="AD214" t="str">
        <f t="shared" si="64"/>
        <v>Same Day</v>
      </c>
      <c r="AE214">
        <v>2</v>
      </c>
      <c r="AF214">
        <v>214.5</v>
      </c>
      <c r="AG214">
        <v>0.15</v>
      </c>
      <c r="AH214">
        <v>0.15</v>
      </c>
      <c r="AI214" t="str">
        <f t="shared" si="65"/>
        <v>Valid</v>
      </c>
      <c r="AJ214">
        <v>364.65</v>
      </c>
      <c r="AK214">
        <f t="shared" si="66"/>
        <v>364.65</v>
      </c>
      <c r="AL214">
        <v>280.74</v>
      </c>
      <c r="AM214">
        <v>83.91</v>
      </c>
      <c r="AN214">
        <f t="shared" si="67"/>
        <v>83.909999999999968</v>
      </c>
      <c r="AO214">
        <f t="shared" si="68"/>
        <v>-280.74</v>
      </c>
      <c r="AP214" t="s">
        <v>34</v>
      </c>
      <c r="AQ214" t="str">
        <f t="shared" si="69"/>
        <v>Paid</v>
      </c>
      <c r="AR214" t="s">
        <v>35</v>
      </c>
      <c r="AS214" t="str">
        <f t="shared" si="70"/>
        <v>Completed</v>
      </c>
      <c r="AT214" t="str">
        <f t="shared" si="71"/>
        <v>Clean</v>
      </c>
    </row>
    <row r="215" spans="1:46">
      <c r="A215" t="s">
        <v>1138</v>
      </c>
      <c r="B215">
        <f>COUNTIF($D$2:D215,D215)</f>
        <v>1</v>
      </c>
      <c r="C215" t="str">
        <f>IF(COUNTIF($A:$A,A215)=1,
"Unique",
IF(COUNTIFS($A:$A,A215,$N:$N,N215,$AF:$AF,AF215,$AJ:$AJ,AJ215)&gt;1,
"Exact Duplicate",
"Conflicting Duplicate"))</f>
        <v>Unique</v>
      </c>
      <c r="D215" t="s">
        <v>1139</v>
      </c>
      <c r="E215" t="s">
        <v>1140</v>
      </c>
      <c r="F215" s="2">
        <v>45427</v>
      </c>
      <c r="G215" s="3">
        <v>45433</v>
      </c>
      <c r="H215" s="5" t="str">
        <f t="shared" si="54"/>
        <v>May</v>
      </c>
      <c r="I215" s="5">
        <f t="shared" si="55"/>
        <v>2024</v>
      </c>
      <c r="J215" t="str">
        <f>IF(F215="","Missing Date",
IF(ISNUMBER(F215),"Valid","Invalid Date"))</f>
        <v>Valid</v>
      </c>
      <c r="K215" t="str">
        <f t="shared" si="56"/>
        <v>Valid</v>
      </c>
      <c r="L215">
        <f>G215-F215</f>
        <v>6</v>
      </c>
      <c r="M215" t="s">
        <v>1141</v>
      </c>
      <c r="N215" t="s">
        <v>53</v>
      </c>
      <c r="O215" t="str">
        <f t="shared" si="57"/>
        <v>Isha Nair</v>
      </c>
      <c r="P215" t="s">
        <v>41</v>
      </c>
      <c r="Q215" t="str">
        <f t="shared" si="58"/>
        <v>Small Business</v>
      </c>
      <c r="R215" t="s">
        <v>42</v>
      </c>
      <c r="S215" t="str">
        <f t="shared" si="59"/>
        <v>East</v>
      </c>
      <c r="T215" t="s">
        <v>186</v>
      </c>
      <c r="U215" t="str">
        <f t="shared" si="60"/>
        <v>Bihar</v>
      </c>
      <c r="V215" t="s">
        <v>187</v>
      </c>
      <c r="W215" t="str">
        <f t="shared" si="61"/>
        <v>Patna</v>
      </c>
      <c r="X215" t="s">
        <v>86</v>
      </c>
      <c r="Y215" t="str">
        <f t="shared" si="62"/>
        <v>Technology</v>
      </c>
      <c r="Z215" t="s">
        <v>87</v>
      </c>
      <c r="AA215" t="str">
        <f t="shared" si="63"/>
        <v>Accessories</v>
      </c>
      <c r="AB215" t="s">
        <v>1142</v>
      </c>
      <c r="AC215" t="s">
        <v>33</v>
      </c>
      <c r="AD215" t="str">
        <f t="shared" si="64"/>
        <v>Second Class</v>
      </c>
      <c r="AE215">
        <v>4</v>
      </c>
      <c r="AF215">
        <v>4332.7299999999996</v>
      </c>
      <c r="AG215">
        <v>0.2</v>
      </c>
      <c r="AH215">
        <v>0.2</v>
      </c>
      <c r="AI215" t="str">
        <f t="shared" si="65"/>
        <v>Valid</v>
      </c>
      <c r="AJ215">
        <v>13864.74</v>
      </c>
      <c r="AK215">
        <f t="shared" si="66"/>
        <v>13864.735999999999</v>
      </c>
      <c r="AL215">
        <v>11294.06</v>
      </c>
      <c r="AM215">
        <v>2570.6799999999998</v>
      </c>
      <c r="AN215">
        <f t="shared" si="67"/>
        <v>2570.6759999999995</v>
      </c>
      <c r="AO215">
        <f t="shared" si="68"/>
        <v>-11294.06</v>
      </c>
      <c r="AP215" t="s">
        <v>34</v>
      </c>
      <c r="AQ215" t="str">
        <f t="shared" si="69"/>
        <v>Paid</v>
      </c>
      <c r="AR215" t="s">
        <v>35</v>
      </c>
      <c r="AS215" t="str">
        <f t="shared" si="70"/>
        <v>Completed</v>
      </c>
      <c r="AT215" t="str">
        <f t="shared" si="71"/>
        <v>Clean</v>
      </c>
    </row>
    <row r="216" spans="1:46">
      <c r="A216" t="s">
        <v>1143</v>
      </c>
      <c r="B216">
        <f>COUNTIF($D$2:D216,D216)</f>
        <v>1</v>
      </c>
      <c r="C216" t="str">
        <f>IF(COUNTIF($A:$A,A216)=1,
"Unique",
IF(COUNTIFS($A:$A,A216,$N:$N,N216,$AF:$AF,AF216,$AJ:$AJ,AJ216)&gt;1,
"Exact Duplicate",
"Conflicting Duplicate"))</f>
        <v>Unique</v>
      </c>
      <c r="D216" t="s">
        <v>1144</v>
      </c>
      <c r="E216" t="s">
        <v>1145</v>
      </c>
      <c r="F216" s="2">
        <v>45368</v>
      </c>
      <c r="G216" s="3">
        <v>45374</v>
      </c>
      <c r="H216" s="5" t="str">
        <f t="shared" si="54"/>
        <v>March</v>
      </c>
      <c r="I216" s="5">
        <f t="shared" si="55"/>
        <v>2024</v>
      </c>
      <c r="J216" t="str">
        <f>IF(F216="","Missing Date",
IF(ISNUMBER(F216),"Valid","Invalid Date"))</f>
        <v>Valid</v>
      </c>
      <c r="K216" t="str">
        <f t="shared" si="56"/>
        <v>Valid</v>
      </c>
      <c r="L216">
        <f>G216-F216</f>
        <v>6</v>
      </c>
      <c r="M216" t="s">
        <v>1146</v>
      </c>
      <c r="N216" t="s">
        <v>148</v>
      </c>
      <c r="O216" t="str">
        <f t="shared" si="57"/>
        <v>Rahul Verma</v>
      </c>
      <c r="P216" t="s">
        <v>26</v>
      </c>
      <c r="Q216" t="str">
        <f t="shared" si="58"/>
        <v>Consumer</v>
      </c>
      <c r="R216" t="s">
        <v>27</v>
      </c>
      <c r="S216" t="str">
        <f t="shared" si="59"/>
        <v>North</v>
      </c>
      <c r="T216" t="s">
        <v>323</v>
      </c>
      <c r="U216" t="str">
        <f t="shared" si="60"/>
        <v>Haryana</v>
      </c>
      <c r="V216" t="s">
        <v>324</v>
      </c>
      <c r="W216" t="str">
        <f t="shared" si="61"/>
        <v>Gurugram</v>
      </c>
      <c r="X216" t="s">
        <v>86</v>
      </c>
      <c r="Y216" t="str">
        <f t="shared" si="62"/>
        <v>Technology</v>
      </c>
      <c r="Z216" t="s">
        <v>87</v>
      </c>
      <c r="AA216" t="str">
        <f t="shared" si="63"/>
        <v>Accessories</v>
      </c>
      <c r="AB216" t="s">
        <v>1147</v>
      </c>
      <c r="AC216" t="s">
        <v>56</v>
      </c>
      <c r="AD216" t="str">
        <f t="shared" si="64"/>
        <v>First Class</v>
      </c>
      <c r="AE216">
        <v>3</v>
      </c>
      <c r="AF216">
        <v>248.18</v>
      </c>
      <c r="AG216">
        <v>0.05</v>
      </c>
      <c r="AH216">
        <v>0.05</v>
      </c>
      <c r="AI216" t="str">
        <f t="shared" si="65"/>
        <v>Valid</v>
      </c>
      <c r="AJ216">
        <v>707.31</v>
      </c>
      <c r="AK216">
        <f t="shared" si="66"/>
        <v>707.31299999999999</v>
      </c>
      <c r="AL216">
        <v>569</v>
      </c>
      <c r="AM216">
        <v>138.31</v>
      </c>
      <c r="AN216">
        <f t="shared" si="67"/>
        <v>138.31299999999999</v>
      </c>
      <c r="AO216">
        <f t="shared" si="68"/>
        <v>-569</v>
      </c>
      <c r="AP216" t="s">
        <v>34</v>
      </c>
      <c r="AQ216" t="str">
        <f t="shared" si="69"/>
        <v>Paid</v>
      </c>
      <c r="AR216" t="s">
        <v>35</v>
      </c>
      <c r="AS216" t="str">
        <f t="shared" si="70"/>
        <v>Completed</v>
      </c>
      <c r="AT216" t="str">
        <f t="shared" si="71"/>
        <v>Clean</v>
      </c>
    </row>
    <row r="217" spans="1:46">
      <c r="A217" t="s">
        <v>1148</v>
      </c>
      <c r="B217">
        <f>COUNTIF($D$2:D217,D217)</f>
        <v>1</v>
      </c>
      <c r="C217" t="str">
        <f>IF(COUNTIF($A:$A,A217)=1,
"Unique",
IF(COUNTIFS($A:$A,A217,$N:$N,N217,$AF:$AF,AF217,$AJ:$AJ,AJ217)&gt;1,
"Exact Duplicate",
"Conflicting Duplicate"))</f>
        <v>Unique</v>
      </c>
      <c r="D217" t="s">
        <v>1149</v>
      </c>
      <c r="E217" t="s">
        <v>207</v>
      </c>
      <c r="F217" s="3">
        <v>45294</v>
      </c>
      <c r="G217" s="3">
        <v>45385</v>
      </c>
      <c r="H217" s="5" t="str">
        <f t="shared" si="54"/>
        <v>January</v>
      </c>
      <c r="I217" s="5">
        <f t="shared" si="55"/>
        <v>2024</v>
      </c>
      <c r="J217" t="str">
        <f>IF(F217="","Missing Date",
IF(ISNUMBER(F217),"Valid","Invalid Date"))</f>
        <v>Valid</v>
      </c>
      <c r="K217" t="str">
        <f t="shared" si="56"/>
        <v>Valid</v>
      </c>
      <c r="L217">
        <f>G217-F217</f>
        <v>91</v>
      </c>
      <c r="M217" t="s">
        <v>1150</v>
      </c>
      <c r="N217" t="s">
        <v>40</v>
      </c>
      <c r="O217" t="str">
        <f t="shared" si="57"/>
        <v>Mira Das</v>
      </c>
      <c r="P217" t="s">
        <v>26</v>
      </c>
      <c r="Q217" t="str">
        <f t="shared" si="58"/>
        <v>Consumer</v>
      </c>
      <c r="R217" t="s">
        <v>73</v>
      </c>
      <c r="S217" t="str">
        <f t="shared" si="59"/>
        <v>West</v>
      </c>
      <c r="T217" t="s">
        <v>84</v>
      </c>
      <c r="U217" t="str">
        <f t="shared" si="60"/>
        <v>Madhya Pradesh</v>
      </c>
      <c r="V217" t="s">
        <v>85</v>
      </c>
      <c r="W217" t="str">
        <f t="shared" si="61"/>
        <v>Indore</v>
      </c>
      <c r="X217" t="s">
        <v>30</v>
      </c>
      <c r="Y217" t="str">
        <f t="shared" si="62"/>
        <v>Office Supplies</v>
      </c>
      <c r="Z217" t="s">
        <v>31</v>
      </c>
      <c r="AA217" t="str">
        <f t="shared" si="63"/>
        <v>Paper</v>
      </c>
      <c r="AB217" t="s">
        <v>1151</v>
      </c>
      <c r="AC217" t="s">
        <v>56</v>
      </c>
      <c r="AD217" t="str">
        <f t="shared" si="64"/>
        <v>First Class</v>
      </c>
      <c r="AE217">
        <v>8</v>
      </c>
      <c r="AF217">
        <v>3202.4</v>
      </c>
      <c r="AG217">
        <v>0.25</v>
      </c>
      <c r="AH217">
        <v>0.25</v>
      </c>
      <c r="AI217" t="str">
        <f t="shared" si="65"/>
        <v>Valid</v>
      </c>
      <c r="AJ217">
        <v>19214.400000000001</v>
      </c>
      <c r="AK217">
        <f t="shared" si="66"/>
        <v>19214.400000000001</v>
      </c>
      <c r="AL217">
        <v>10916.01</v>
      </c>
      <c r="AM217">
        <v>8298.39</v>
      </c>
      <c r="AN217">
        <f t="shared" si="67"/>
        <v>8298.3900000000012</v>
      </c>
      <c r="AO217">
        <f t="shared" si="68"/>
        <v>-10916.01</v>
      </c>
      <c r="AP217" t="s">
        <v>34</v>
      </c>
      <c r="AQ217" t="str">
        <f t="shared" si="69"/>
        <v>Paid</v>
      </c>
      <c r="AR217" t="s">
        <v>35</v>
      </c>
      <c r="AS217" t="str">
        <f t="shared" si="70"/>
        <v>Completed</v>
      </c>
      <c r="AT217" t="str">
        <f t="shared" si="71"/>
        <v>Clean</v>
      </c>
    </row>
    <row r="218" spans="1:46">
      <c r="A218" t="s">
        <v>1152</v>
      </c>
      <c r="B218">
        <f>COUNTIF($D$2:D218,D218)</f>
        <v>2</v>
      </c>
      <c r="C218" t="str">
        <f>IF(COUNTIF($A:$A,A218)=1,
"Unique",
IF(COUNTIFS($A:$A,A218,$N:$N,N218,$AF:$AF,AF218,$AJ:$AJ,AJ218)&gt;1,
"Exact Duplicate",
"Conflicting Duplicate"))</f>
        <v>Unique</v>
      </c>
      <c r="D218" t="s">
        <v>90</v>
      </c>
      <c r="E218" t="s">
        <v>1153</v>
      </c>
      <c r="F218" s="3">
        <v>45757</v>
      </c>
      <c r="G218" s="2">
        <v>45762</v>
      </c>
      <c r="H218" s="5" t="str">
        <f t="shared" si="54"/>
        <v>April</v>
      </c>
      <c r="I218" s="5">
        <f t="shared" si="55"/>
        <v>2025</v>
      </c>
      <c r="J218" t="str">
        <f>IF(F218="","Missing Date",
IF(ISNUMBER(F218),"Valid","Invalid Date"))</f>
        <v>Valid</v>
      </c>
      <c r="K218" t="str">
        <f t="shared" si="56"/>
        <v>Valid</v>
      </c>
      <c r="L218">
        <f>G218-F218</f>
        <v>5</v>
      </c>
      <c r="M218" t="s">
        <v>1154</v>
      </c>
      <c r="N218" t="s">
        <v>53</v>
      </c>
      <c r="O218" t="str">
        <f t="shared" si="57"/>
        <v>Isha Nair</v>
      </c>
      <c r="P218" t="s">
        <v>26</v>
      </c>
      <c r="Q218" t="str">
        <f t="shared" si="58"/>
        <v>Consumer</v>
      </c>
      <c r="R218" t="s">
        <v>73</v>
      </c>
      <c r="S218" t="str">
        <f t="shared" si="59"/>
        <v>West</v>
      </c>
      <c r="T218" t="s">
        <v>235</v>
      </c>
      <c r="U218" t="str">
        <f t="shared" si="60"/>
        <v>Gujarat</v>
      </c>
      <c r="V218" t="s">
        <v>236</v>
      </c>
      <c r="W218" t="str">
        <f t="shared" si="61"/>
        <v>Ahmedabad</v>
      </c>
      <c r="X218" t="s">
        <v>45</v>
      </c>
      <c r="Y218" t="str">
        <f t="shared" si="62"/>
        <v>Furniture</v>
      </c>
      <c r="Z218" t="s">
        <v>46</v>
      </c>
      <c r="AA218" t="str">
        <f t="shared" si="63"/>
        <v>Tables</v>
      </c>
      <c r="AB218" t="s">
        <v>1155</v>
      </c>
      <c r="AC218" t="s">
        <v>67</v>
      </c>
      <c r="AD218" t="str">
        <f t="shared" si="64"/>
        <v>Standard Class</v>
      </c>
      <c r="AE218">
        <v>8</v>
      </c>
      <c r="AF218">
        <v>1839.87</v>
      </c>
      <c r="AG218">
        <v>0.25</v>
      </c>
      <c r="AH218">
        <v>0.25</v>
      </c>
      <c r="AI218" t="str">
        <f t="shared" si="65"/>
        <v>Valid</v>
      </c>
      <c r="AJ218">
        <v>11039.22</v>
      </c>
      <c r="AK218">
        <f t="shared" si="66"/>
        <v>11039.22</v>
      </c>
      <c r="AL218">
        <v>7642.91</v>
      </c>
      <c r="AM218">
        <v>3396.31</v>
      </c>
      <c r="AN218">
        <f t="shared" si="67"/>
        <v>3396.3099999999995</v>
      </c>
      <c r="AO218">
        <f t="shared" si="68"/>
        <v>-7642.91</v>
      </c>
      <c r="AP218" t="s">
        <v>200</v>
      </c>
      <c r="AQ218" t="str">
        <f t="shared" si="69"/>
        <v>Failed</v>
      </c>
      <c r="AR218" t="s">
        <v>125</v>
      </c>
      <c r="AS218" t="str">
        <f t="shared" si="70"/>
        <v>Returned</v>
      </c>
      <c r="AT218" t="str">
        <f t="shared" si="71"/>
        <v>Clean</v>
      </c>
    </row>
    <row r="219" spans="1:46">
      <c r="A219" t="s">
        <v>1156</v>
      </c>
      <c r="B219">
        <f>COUNTIF($D$2:D219,D219)</f>
        <v>1</v>
      </c>
      <c r="C219" t="str">
        <f>IF(COUNTIF($A:$A,A219)=1,
"Unique",
IF(COUNTIFS($A:$A,A219,$N:$N,N219,$AF:$AF,AF219,$AJ:$AJ,AJ219)&gt;1,
"Exact Duplicate",
"Conflicting Duplicate"))</f>
        <v>Unique</v>
      </c>
      <c r="D219" t="s">
        <v>1157</v>
      </c>
      <c r="E219" t="s">
        <v>1158</v>
      </c>
      <c r="F219" s="3">
        <v>45661</v>
      </c>
      <c r="G219" s="3">
        <v>45755</v>
      </c>
      <c r="H219" s="5" t="str">
        <f t="shared" si="54"/>
        <v>January</v>
      </c>
      <c r="I219" s="5">
        <f t="shared" si="55"/>
        <v>2025</v>
      </c>
      <c r="J219" t="str">
        <f>IF(F219="","Missing Date",
IF(ISNUMBER(F219),"Valid","Invalid Date"))</f>
        <v>Valid</v>
      </c>
      <c r="K219" t="str">
        <f t="shared" si="56"/>
        <v>Valid</v>
      </c>
      <c r="L219">
        <f>G219-F219</f>
        <v>94</v>
      </c>
      <c r="M219" t="s">
        <v>1159</v>
      </c>
      <c r="N219" t="s">
        <v>107</v>
      </c>
      <c r="O219" t="str">
        <f t="shared" si="57"/>
        <v>Aditi Sen</v>
      </c>
      <c r="P219" t="s">
        <v>26</v>
      </c>
      <c r="Q219" t="str">
        <f t="shared" si="58"/>
        <v>Consumer</v>
      </c>
      <c r="R219" t="s">
        <v>42</v>
      </c>
      <c r="S219" t="str">
        <f t="shared" si="59"/>
        <v>East</v>
      </c>
      <c r="T219" t="s">
        <v>43</v>
      </c>
      <c r="U219" t="str">
        <f t="shared" si="60"/>
        <v>Odisha</v>
      </c>
      <c r="V219" t="s">
        <v>44</v>
      </c>
      <c r="W219" t="str">
        <f t="shared" si="61"/>
        <v>Bhubaneswar</v>
      </c>
      <c r="X219" t="s">
        <v>45</v>
      </c>
      <c r="Y219" t="str">
        <f t="shared" si="62"/>
        <v>Furniture</v>
      </c>
      <c r="Z219" t="s">
        <v>204</v>
      </c>
      <c r="AA219" t="str">
        <f t="shared" si="63"/>
        <v>Bookcases</v>
      </c>
      <c r="AB219" t="s">
        <v>1160</v>
      </c>
      <c r="AC219" t="s">
        <v>33</v>
      </c>
      <c r="AD219" t="str">
        <f t="shared" si="64"/>
        <v>Second Class</v>
      </c>
      <c r="AE219">
        <v>5</v>
      </c>
      <c r="AF219">
        <v>1021.28</v>
      </c>
      <c r="AG219">
        <v>0.1</v>
      </c>
      <c r="AH219">
        <v>0.1</v>
      </c>
      <c r="AI219" t="str">
        <f t="shared" si="65"/>
        <v>Valid</v>
      </c>
      <c r="AJ219">
        <v>4595.76</v>
      </c>
      <c r="AK219">
        <f t="shared" si="66"/>
        <v>4595.76</v>
      </c>
      <c r="AL219">
        <v>3396.8</v>
      </c>
      <c r="AM219">
        <v>1198.96</v>
      </c>
      <c r="AN219">
        <f t="shared" si="67"/>
        <v>1198.96</v>
      </c>
      <c r="AO219">
        <f t="shared" si="68"/>
        <v>-3396.8</v>
      </c>
      <c r="AP219" t="s">
        <v>124</v>
      </c>
      <c r="AQ219" t="str">
        <f t="shared" si="69"/>
        <v>Refunded</v>
      </c>
      <c r="AR219" t="s">
        <v>78</v>
      </c>
      <c r="AS219" t="str">
        <f t="shared" si="70"/>
        <v>Cancelled</v>
      </c>
      <c r="AT219" t="str">
        <f t="shared" si="71"/>
        <v>Clean</v>
      </c>
    </row>
    <row r="220" spans="1:46">
      <c r="A220" t="s">
        <v>1161</v>
      </c>
      <c r="B220">
        <f>COUNTIF($D$2:D220,D220)</f>
        <v>1</v>
      </c>
      <c r="C220" t="str">
        <f>IF(COUNTIF($A:$A,A220)=1,
"Unique",
IF(COUNTIFS($A:$A,A220,$N:$N,N220,$AF:$AF,AF220,$AJ:$AJ,AJ220)&gt;1,
"Exact Duplicate",
"Conflicting Duplicate"))</f>
        <v>Unique</v>
      </c>
      <c r="D220" t="s">
        <v>1162</v>
      </c>
      <c r="E220" t="s">
        <v>1163</v>
      </c>
      <c r="F220" s="2">
        <v>45714</v>
      </c>
      <c r="G220" s="3">
        <v>45715</v>
      </c>
      <c r="H220" s="5" t="str">
        <f t="shared" si="54"/>
        <v>February</v>
      </c>
      <c r="I220" s="5">
        <f t="shared" si="55"/>
        <v>2025</v>
      </c>
      <c r="J220" t="str">
        <f>IF(F220="","Missing Date",
IF(ISNUMBER(F220),"Valid","Invalid Date"))</f>
        <v>Valid</v>
      </c>
      <c r="K220" t="str">
        <f t="shared" si="56"/>
        <v>Valid</v>
      </c>
      <c r="L220">
        <f>G220-F220</f>
        <v>1</v>
      </c>
      <c r="M220" t="s">
        <v>1164</v>
      </c>
      <c r="N220" t="s">
        <v>142</v>
      </c>
      <c r="O220" t="str">
        <f t="shared" si="57"/>
        <v>Priya Menon</v>
      </c>
      <c r="P220" t="s">
        <v>108</v>
      </c>
      <c r="Q220" t="str">
        <f t="shared" si="58"/>
        <v>Corporate</v>
      </c>
      <c r="R220" t="s">
        <v>73</v>
      </c>
      <c r="S220" t="str">
        <f t="shared" si="59"/>
        <v>West</v>
      </c>
      <c r="T220" t="s">
        <v>235</v>
      </c>
      <c r="U220" t="str">
        <f t="shared" si="60"/>
        <v>Gujarat</v>
      </c>
      <c r="V220" t="s">
        <v>236</v>
      </c>
      <c r="W220" t="str">
        <f t="shared" si="61"/>
        <v>Ahmedabad</v>
      </c>
      <c r="X220" t="s">
        <v>45</v>
      </c>
      <c r="Y220" t="str">
        <f t="shared" si="62"/>
        <v>Furniture</v>
      </c>
      <c r="Z220" t="s">
        <v>204</v>
      </c>
      <c r="AA220" t="str">
        <f t="shared" si="63"/>
        <v>Bookcases</v>
      </c>
      <c r="AB220" t="s">
        <v>1165</v>
      </c>
      <c r="AC220" t="s">
        <v>67</v>
      </c>
      <c r="AD220" t="str">
        <f t="shared" si="64"/>
        <v>Standard Class</v>
      </c>
      <c r="AE220">
        <v>5</v>
      </c>
      <c r="AF220">
        <v>258.27999999999997</v>
      </c>
      <c r="AG220">
        <v>0</v>
      </c>
      <c r="AH220">
        <v>0</v>
      </c>
      <c r="AI220" t="str">
        <f t="shared" si="65"/>
        <v>Valid</v>
      </c>
      <c r="AJ220">
        <v>1291.4000000000001</v>
      </c>
      <c r="AK220">
        <f t="shared" si="66"/>
        <v>1291.3999999999999</v>
      </c>
      <c r="AL220">
        <v>756.93</v>
      </c>
      <c r="AM220">
        <v>534.47</v>
      </c>
      <c r="AN220">
        <f t="shared" si="67"/>
        <v>534.46999999999991</v>
      </c>
      <c r="AO220">
        <f t="shared" si="68"/>
        <v>-756.93</v>
      </c>
      <c r="AP220" t="s">
        <v>34</v>
      </c>
      <c r="AQ220" t="str">
        <f t="shared" si="69"/>
        <v>Paid</v>
      </c>
      <c r="AR220" t="s">
        <v>35</v>
      </c>
      <c r="AS220" t="str">
        <f t="shared" si="70"/>
        <v>Completed</v>
      </c>
      <c r="AT220" t="str">
        <f t="shared" si="71"/>
        <v>Clean</v>
      </c>
    </row>
    <row r="221" spans="1:46">
      <c r="A221" t="s">
        <v>1166</v>
      </c>
      <c r="B221">
        <f>COUNTIF($D$2:D221,D221)</f>
        <v>1</v>
      </c>
      <c r="C221" t="str">
        <f>IF(COUNTIF($A:$A,A221)=1,
"Unique",
IF(COUNTIFS($A:$A,A221,$N:$N,N221,$AF:$AF,AF221,$AJ:$AJ,AJ221)&gt;1,
"Exact Duplicate",
"Conflicting Duplicate"))</f>
        <v>Unique</v>
      </c>
      <c r="D221" t="s">
        <v>684</v>
      </c>
      <c r="E221" t="s">
        <v>1167</v>
      </c>
      <c r="F221" s="3">
        <v>45461</v>
      </c>
      <c r="G221" s="3">
        <v>45462</v>
      </c>
      <c r="H221" s="5" t="str">
        <f t="shared" si="54"/>
        <v>June</v>
      </c>
      <c r="I221" s="5">
        <f t="shared" si="55"/>
        <v>2024</v>
      </c>
      <c r="J221" t="str">
        <f>IF(F221="","Missing Date",
IF(ISNUMBER(F221),"Valid","Invalid Date"))</f>
        <v>Valid</v>
      </c>
      <c r="K221" t="str">
        <f t="shared" si="56"/>
        <v>Valid</v>
      </c>
      <c r="L221">
        <f>G221-F221</f>
        <v>1</v>
      </c>
      <c r="M221" t="s">
        <v>1168</v>
      </c>
      <c r="N221" t="s">
        <v>148</v>
      </c>
      <c r="O221" t="str">
        <f t="shared" si="57"/>
        <v>Rahul Verma</v>
      </c>
      <c r="P221" t="s">
        <v>26</v>
      </c>
      <c r="Q221" t="str">
        <f t="shared" si="58"/>
        <v>Consumer</v>
      </c>
      <c r="R221" t="s">
        <v>42</v>
      </c>
      <c r="S221" t="str">
        <f t="shared" si="59"/>
        <v>East</v>
      </c>
      <c r="T221" t="s">
        <v>186</v>
      </c>
      <c r="U221" t="str">
        <f t="shared" si="60"/>
        <v>Bihar</v>
      </c>
      <c r="V221" t="s">
        <v>187</v>
      </c>
      <c r="W221" t="str">
        <f t="shared" si="61"/>
        <v>Patna</v>
      </c>
      <c r="X221" t="s">
        <v>86</v>
      </c>
      <c r="Y221" t="str">
        <f t="shared" si="62"/>
        <v>Technology</v>
      </c>
      <c r="Z221" t="s">
        <v>382</v>
      </c>
      <c r="AA221" t="str">
        <f t="shared" si="63"/>
        <v>Machines</v>
      </c>
      <c r="AB221" t="s">
        <v>1169</v>
      </c>
      <c r="AC221" t="s">
        <v>56</v>
      </c>
      <c r="AD221" t="str">
        <f t="shared" si="64"/>
        <v>First Class</v>
      </c>
      <c r="AE221">
        <v>2</v>
      </c>
      <c r="AF221">
        <v>121.49</v>
      </c>
      <c r="AG221" t="s">
        <v>1170</v>
      </c>
      <c r="AH221">
        <v>0.85</v>
      </c>
      <c r="AI221" t="str">
        <f t="shared" si="65"/>
        <v>Invalid - Above Range</v>
      </c>
      <c r="AJ221">
        <v>242.98</v>
      </c>
      <c r="AK221">
        <f t="shared" si="66"/>
        <v>36.447000000000003</v>
      </c>
      <c r="AL221">
        <v>161.41999999999999</v>
      </c>
      <c r="AM221">
        <v>81.56</v>
      </c>
      <c r="AN221">
        <f t="shared" si="67"/>
        <v>-124.97299999999998</v>
      </c>
      <c r="AO221">
        <f t="shared" si="68"/>
        <v>-161.41999999999999</v>
      </c>
      <c r="AP221" t="s">
        <v>34</v>
      </c>
      <c r="AQ221" t="str">
        <f t="shared" si="69"/>
        <v>Paid</v>
      </c>
      <c r="AR221" t="s">
        <v>35</v>
      </c>
      <c r="AS221" t="str">
        <f t="shared" si="70"/>
        <v>Completed</v>
      </c>
      <c r="AT221" t="str">
        <f t="shared" si="71"/>
        <v>Clean</v>
      </c>
    </row>
    <row r="222" spans="1:46">
      <c r="A222" t="s">
        <v>1171</v>
      </c>
      <c r="B222">
        <f>COUNTIF($D$2:D222,D222)</f>
        <v>2</v>
      </c>
      <c r="C222" t="str">
        <f>IF(COUNTIF($A:$A,A222)=1,
"Unique",
IF(COUNTIFS($A:$A,A222,$N:$N,N222,$AF:$AF,AF222,$AJ:$AJ,AJ222)&gt;1,
"Exact Duplicate",
"Conflicting Duplicate"))</f>
        <v>Unique</v>
      </c>
      <c r="D222" t="s">
        <v>1172</v>
      </c>
      <c r="E222" t="s">
        <v>1172</v>
      </c>
      <c r="F222" s="3">
        <v>45538</v>
      </c>
      <c r="G222" s="3">
        <v>45538</v>
      </c>
      <c r="H222" s="5" t="str">
        <f t="shared" si="54"/>
        <v>September</v>
      </c>
      <c r="I222" s="5">
        <f t="shared" si="55"/>
        <v>2024</v>
      </c>
      <c r="J222" t="str">
        <f>IF(F222="","Missing Date",
IF(ISNUMBER(F222),"Valid","Invalid Date"))</f>
        <v>Valid</v>
      </c>
      <c r="K222" t="str">
        <f t="shared" si="56"/>
        <v>Valid</v>
      </c>
      <c r="L222">
        <f>G222-F222</f>
        <v>0</v>
      </c>
      <c r="M222" t="s">
        <v>1173</v>
      </c>
      <c r="N222" t="s">
        <v>168</v>
      </c>
      <c r="O222" t="str">
        <f t="shared" si="57"/>
        <v>Sneha Kapoor</v>
      </c>
      <c r="P222" t="s">
        <v>26</v>
      </c>
      <c r="Q222" t="str">
        <f t="shared" si="58"/>
        <v>Consumer</v>
      </c>
      <c r="R222" t="s">
        <v>62</v>
      </c>
      <c r="S222" t="str">
        <f t="shared" si="59"/>
        <v>South</v>
      </c>
      <c r="T222" t="s">
        <v>242</v>
      </c>
      <c r="U222" t="str">
        <f t="shared" si="60"/>
        <v>Kerala</v>
      </c>
      <c r="V222" t="s">
        <v>243</v>
      </c>
      <c r="W222" t="str">
        <f t="shared" si="61"/>
        <v>Kochi</v>
      </c>
      <c r="X222" t="s">
        <v>30</v>
      </c>
      <c r="Y222" t="str">
        <f t="shared" si="62"/>
        <v>Office Supplies</v>
      </c>
      <c r="Z222" t="s">
        <v>156</v>
      </c>
      <c r="AA222" t="str">
        <f t="shared" si="63"/>
        <v>Storage</v>
      </c>
      <c r="AB222" t="s">
        <v>1174</v>
      </c>
      <c r="AC222" t="s">
        <v>56</v>
      </c>
      <c r="AD222" t="str">
        <f t="shared" si="64"/>
        <v>First Class</v>
      </c>
      <c r="AE222">
        <v>4</v>
      </c>
      <c r="AF222">
        <v>2810.17</v>
      </c>
      <c r="AG222">
        <v>0.15</v>
      </c>
      <c r="AH222">
        <v>0.15</v>
      </c>
      <c r="AI222" t="str">
        <f t="shared" si="65"/>
        <v>Valid</v>
      </c>
      <c r="AJ222">
        <v>9554.58</v>
      </c>
      <c r="AK222">
        <f t="shared" si="66"/>
        <v>9554.5779999999995</v>
      </c>
      <c r="AL222">
        <v>6068.47</v>
      </c>
      <c r="AM222">
        <v>3486.11</v>
      </c>
      <c r="AN222">
        <f t="shared" si="67"/>
        <v>3486.1079999999993</v>
      </c>
      <c r="AO222">
        <f t="shared" si="68"/>
        <v>-6068.47</v>
      </c>
      <c r="AP222" t="s">
        <v>124</v>
      </c>
      <c r="AQ222" t="str">
        <f t="shared" si="69"/>
        <v>Refunded</v>
      </c>
      <c r="AR222" t="s">
        <v>78</v>
      </c>
      <c r="AS222" t="str">
        <f t="shared" si="70"/>
        <v>Cancelled</v>
      </c>
      <c r="AT222" t="str">
        <f t="shared" si="71"/>
        <v>Clean</v>
      </c>
    </row>
    <row r="223" spans="1:46">
      <c r="A223" t="s">
        <v>1175</v>
      </c>
      <c r="B223">
        <f>COUNTIF($D$2:D223,D223)</f>
        <v>1</v>
      </c>
      <c r="C223" t="str">
        <f>IF(COUNTIF($A:$A,A223)=1,
"Unique",
IF(COUNTIFS($A:$A,A223,$N:$N,N223,$AF:$AF,AF223,$AJ:$AJ,AJ223)&gt;1,
"Exact Duplicate",
"Conflicting Duplicate"))</f>
        <v>Unique</v>
      </c>
      <c r="D223" t="s">
        <v>1176</v>
      </c>
      <c r="E223" t="s">
        <v>1177</v>
      </c>
      <c r="F223" s="3">
        <v>45992</v>
      </c>
      <c r="G223" s="3">
        <v>45672</v>
      </c>
      <c r="H223" s="5" t="str">
        <f t="shared" si="54"/>
        <v>December</v>
      </c>
      <c r="I223" s="5">
        <f t="shared" si="55"/>
        <v>2025</v>
      </c>
      <c r="J223" t="str">
        <f>IF(F223="","Missing Date",
IF(ISNUMBER(F223),"Valid","Invalid Date"))</f>
        <v>Valid</v>
      </c>
      <c r="K223" t="str">
        <f t="shared" si="56"/>
        <v>Valid</v>
      </c>
      <c r="L223">
        <f>G223-F223</f>
        <v>-320</v>
      </c>
      <c r="M223" t="s">
        <v>1178</v>
      </c>
      <c r="N223" t="s">
        <v>40</v>
      </c>
      <c r="O223" t="str">
        <f t="shared" si="57"/>
        <v>Mira Das</v>
      </c>
      <c r="P223" t="s">
        <v>108</v>
      </c>
      <c r="Q223" t="str">
        <f t="shared" si="58"/>
        <v>Corporate</v>
      </c>
      <c r="R223" t="s">
        <v>62</v>
      </c>
      <c r="S223" t="str">
        <f t="shared" si="59"/>
        <v>South</v>
      </c>
      <c r="T223" t="s">
        <v>229</v>
      </c>
      <c r="U223" t="str">
        <f t="shared" si="60"/>
        <v>Karnataka</v>
      </c>
      <c r="V223" t="s">
        <v>230</v>
      </c>
      <c r="W223" t="str">
        <f t="shared" si="61"/>
        <v>Bengaluru</v>
      </c>
      <c r="X223" t="s">
        <v>45</v>
      </c>
      <c r="Y223" t="str">
        <f t="shared" si="62"/>
        <v>Furniture</v>
      </c>
      <c r="Z223" t="s">
        <v>76</v>
      </c>
      <c r="AA223" t="str">
        <f t="shared" si="63"/>
        <v>Chairs</v>
      </c>
      <c r="AB223" t="s">
        <v>1179</v>
      </c>
      <c r="AC223" t="s">
        <v>48</v>
      </c>
      <c r="AD223" t="str">
        <f t="shared" si="64"/>
        <v>Same Day</v>
      </c>
      <c r="AE223">
        <v>4</v>
      </c>
      <c r="AF223">
        <v>1531.53</v>
      </c>
      <c r="AG223">
        <v>0.2</v>
      </c>
      <c r="AH223">
        <v>0.2</v>
      </c>
      <c r="AI223" t="str">
        <f t="shared" si="65"/>
        <v>Valid</v>
      </c>
      <c r="AJ223">
        <v>4900.8999999999996</v>
      </c>
      <c r="AK223">
        <f t="shared" si="66"/>
        <v>4900.8959999999997</v>
      </c>
      <c r="AL223">
        <v>3552.69</v>
      </c>
      <c r="AM223">
        <v>1348.21</v>
      </c>
      <c r="AN223">
        <f t="shared" si="67"/>
        <v>1348.2059999999997</v>
      </c>
      <c r="AO223">
        <f t="shared" si="68"/>
        <v>-3552.69</v>
      </c>
      <c r="AP223" t="s">
        <v>34</v>
      </c>
      <c r="AQ223" t="str">
        <f t="shared" si="69"/>
        <v>Paid</v>
      </c>
      <c r="AR223" t="s">
        <v>35</v>
      </c>
      <c r="AS223" t="str">
        <f t="shared" si="70"/>
        <v>Completed</v>
      </c>
      <c r="AT223" t="str">
        <f t="shared" si="71"/>
        <v>Clean</v>
      </c>
    </row>
    <row r="224" spans="1:46">
      <c r="A224" t="s">
        <v>1180</v>
      </c>
      <c r="B224">
        <f>COUNTIF($D$2:D224,D224)</f>
        <v>1</v>
      </c>
      <c r="C224" t="str">
        <f>IF(COUNTIF($A:$A,A224)=1,
"Unique",
IF(COUNTIFS($A:$A,A224,$N:$N,N224,$AF:$AF,AF224,$AJ:$AJ,AJ224)&gt;1,
"Exact Duplicate",
"Conflicting Duplicate"))</f>
        <v>Unique</v>
      </c>
      <c r="D224" t="s">
        <v>1181</v>
      </c>
      <c r="E224" t="s">
        <v>1013</v>
      </c>
      <c r="F224" s="3">
        <v>45776</v>
      </c>
      <c r="G224" s="2">
        <v>45693</v>
      </c>
      <c r="H224" s="5" t="str">
        <f t="shared" si="54"/>
        <v>April</v>
      </c>
      <c r="I224" s="5">
        <f t="shared" si="55"/>
        <v>2025</v>
      </c>
      <c r="J224" t="str">
        <f>IF(F224="","Missing Date",
IF(ISNUMBER(F224),"Valid","Invalid Date"))</f>
        <v>Valid</v>
      </c>
      <c r="K224" t="str">
        <f t="shared" si="56"/>
        <v>Valid</v>
      </c>
      <c r="L224">
        <f>G224-F224</f>
        <v>-83</v>
      </c>
      <c r="M224" t="s">
        <v>1182</v>
      </c>
      <c r="N224" t="s">
        <v>83</v>
      </c>
      <c r="O224" t="str">
        <f t="shared" si="57"/>
        <v>Vikram Iyer</v>
      </c>
      <c r="P224" t="s">
        <v>41</v>
      </c>
      <c r="Q224" t="str">
        <f t="shared" si="58"/>
        <v>Small Business</v>
      </c>
      <c r="R224" t="s">
        <v>73</v>
      </c>
      <c r="S224" t="str">
        <f t="shared" si="59"/>
        <v>West</v>
      </c>
      <c r="T224" t="s">
        <v>249</v>
      </c>
      <c r="U224" t="str">
        <f t="shared" si="60"/>
        <v>Goa</v>
      </c>
      <c r="V224" t="s">
        <v>250</v>
      </c>
      <c r="W224" t="str">
        <f t="shared" si="61"/>
        <v>Panaji</v>
      </c>
      <c r="X224" t="s">
        <v>30</v>
      </c>
      <c r="Y224" t="str">
        <f t="shared" si="62"/>
        <v>Office Supplies</v>
      </c>
      <c r="Z224" t="s">
        <v>156</v>
      </c>
      <c r="AA224" t="str">
        <f t="shared" si="63"/>
        <v>Storage</v>
      </c>
      <c r="AB224" t="s">
        <v>1183</v>
      </c>
      <c r="AC224" t="s">
        <v>56</v>
      </c>
      <c r="AD224" t="str">
        <f t="shared" si="64"/>
        <v>First Class</v>
      </c>
      <c r="AE224">
        <v>6</v>
      </c>
      <c r="AF224">
        <v>4308.09</v>
      </c>
      <c r="AG224">
        <v>0</v>
      </c>
      <c r="AH224">
        <v>0</v>
      </c>
      <c r="AI224" t="str">
        <f t="shared" si="65"/>
        <v>Valid</v>
      </c>
      <c r="AJ224">
        <v>25848.54</v>
      </c>
      <c r="AK224">
        <f t="shared" si="66"/>
        <v>25848.54</v>
      </c>
      <c r="AL224">
        <v>17729.09</v>
      </c>
      <c r="AM224">
        <v>8119.45</v>
      </c>
      <c r="AN224">
        <f t="shared" si="67"/>
        <v>8119.4500000000007</v>
      </c>
      <c r="AO224">
        <f t="shared" si="68"/>
        <v>-17729.09</v>
      </c>
      <c r="AP224" t="s">
        <v>34</v>
      </c>
      <c r="AQ224" t="str">
        <f t="shared" si="69"/>
        <v>Paid</v>
      </c>
      <c r="AR224" t="s">
        <v>35</v>
      </c>
      <c r="AS224" t="str">
        <f t="shared" si="70"/>
        <v>Completed</v>
      </c>
      <c r="AT224" t="str">
        <f t="shared" si="71"/>
        <v>Clean</v>
      </c>
    </row>
    <row r="225" spans="1:46">
      <c r="A225" t="s">
        <v>1184</v>
      </c>
      <c r="B225">
        <f>COUNTIF($D$2:D225,D225)</f>
        <v>1</v>
      </c>
      <c r="C225" t="str">
        <f>IF(COUNTIF($A:$A,A225)=1,
"Unique",
IF(COUNTIFS($A:$A,A225,$N:$N,N225,$AF:$AF,AF225,$AJ:$AJ,AJ225)&gt;1,
"Exact Duplicate",
"Conflicting Duplicate"))</f>
        <v>Unique</v>
      </c>
      <c r="D225" t="s">
        <v>1185</v>
      </c>
      <c r="E225" t="s">
        <v>1186</v>
      </c>
      <c r="F225" s="3">
        <v>45707</v>
      </c>
      <c r="G225" s="3">
        <v>45714</v>
      </c>
      <c r="H225" s="5" t="str">
        <f t="shared" si="54"/>
        <v>February</v>
      </c>
      <c r="I225" s="5">
        <f t="shared" si="55"/>
        <v>2025</v>
      </c>
      <c r="J225" t="str">
        <f>IF(F225="","Missing Date",
IF(ISNUMBER(F225),"Valid","Invalid Date"))</f>
        <v>Valid</v>
      </c>
      <c r="K225" t="str">
        <f t="shared" si="56"/>
        <v>Valid</v>
      </c>
      <c r="L225">
        <f>G225-F225</f>
        <v>7</v>
      </c>
      <c r="M225" t="s">
        <v>1187</v>
      </c>
      <c r="N225" t="s">
        <v>40</v>
      </c>
      <c r="O225" t="str">
        <f t="shared" si="57"/>
        <v>Mira Das</v>
      </c>
      <c r="P225" t="s">
        <v>108</v>
      </c>
      <c r="Q225" t="str">
        <f t="shared" si="58"/>
        <v>Corporate</v>
      </c>
      <c r="R225" t="s">
        <v>73</v>
      </c>
      <c r="S225" t="str">
        <f t="shared" si="59"/>
        <v>West</v>
      </c>
      <c r="T225" t="s">
        <v>74</v>
      </c>
      <c r="U225" t="str">
        <f t="shared" si="60"/>
        <v>Maharashtra</v>
      </c>
      <c r="V225" t="s">
        <v>75</v>
      </c>
      <c r="W225" t="str">
        <f t="shared" si="61"/>
        <v>Mumbai</v>
      </c>
      <c r="X225" t="s">
        <v>45</v>
      </c>
      <c r="Y225" t="str">
        <f t="shared" si="62"/>
        <v>Furniture</v>
      </c>
      <c r="Z225" t="s">
        <v>65</v>
      </c>
      <c r="AA225" t="str">
        <f t="shared" si="63"/>
        <v>Furnishings</v>
      </c>
      <c r="AB225" t="s">
        <v>1188</v>
      </c>
      <c r="AC225" t="s">
        <v>56</v>
      </c>
      <c r="AD225" t="str">
        <f t="shared" si="64"/>
        <v>First Class</v>
      </c>
      <c r="AE225">
        <v>3</v>
      </c>
      <c r="AF225">
        <v>490.3</v>
      </c>
      <c r="AG225">
        <v>0.2</v>
      </c>
      <c r="AH225">
        <v>0.2</v>
      </c>
      <c r="AI225" t="str">
        <f t="shared" si="65"/>
        <v>Valid</v>
      </c>
      <c r="AJ225">
        <v>1176.72</v>
      </c>
      <c r="AK225">
        <f t="shared" si="66"/>
        <v>1176.72</v>
      </c>
      <c r="AL225">
        <v>654.33000000000004</v>
      </c>
      <c r="AM225">
        <v>522.39</v>
      </c>
      <c r="AN225">
        <f t="shared" si="67"/>
        <v>522.39</v>
      </c>
      <c r="AO225">
        <f t="shared" si="68"/>
        <v>-654.33000000000004</v>
      </c>
      <c r="AP225" t="s">
        <v>137</v>
      </c>
      <c r="AQ225" t="str">
        <f t="shared" si="69"/>
        <v>Pending</v>
      </c>
      <c r="AR225" t="s">
        <v>125</v>
      </c>
      <c r="AS225" t="str">
        <f t="shared" si="70"/>
        <v>Returned</v>
      </c>
      <c r="AT225" t="str">
        <f t="shared" si="71"/>
        <v>Clean</v>
      </c>
    </row>
    <row r="226" spans="1:46">
      <c r="A226" t="s">
        <v>1189</v>
      </c>
      <c r="B226">
        <f>COUNTIF($D$2:D226,D226)</f>
        <v>1</v>
      </c>
      <c r="C226" t="str">
        <f>IF(COUNTIF($A:$A,A226)=1,
"Unique",
IF(COUNTIFS($A:$A,A226,$N:$N,N226,$AF:$AF,AF226,$AJ:$AJ,AJ226)&gt;1,
"Exact Duplicate",
"Conflicting Duplicate"))</f>
        <v>Conflicting Duplicate</v>
      </c>
      <c r="D226" t="s">
        <v>1190</v>
      </c>
      <c r="E226" t="s">
        <v>1191</v>
      </c>
      <c r="F226" s="3">
        <v>45932</v>
      </c>
      <c r="G226" s="2">
        <v>45879</v>
      </c>
      <c r="H226" s="5" t="str">
        <f t="shared" si="54"/>
        <v>October</v>
      </c>
      <c r="I226" s="5">
        <f t="shared" si="55"/>
        <v>2025</v>
      </c>
      <c r="J226" t="str">
        <f>IF(F226="","Missing Date",
IF(ISNUMBER(F226),"Valid","Invalid Date"))</f>
        <v>Valid</v>
      </c>
      <c r="K226" t="str">
        <f t="shared" si="56"/>
        <v>Valid</v>
      </c>
      <c r="L226">
        <f>G226-F226</f>
        <v>-53</v>
      </c>
      <c r="M226" t="s">
        <v>1192</v>
      </c>
      <c r="N226" t="s">
        <v>53</v>
      </c>
      <c r="O226" t="str">
        <f t="shared" si="57"/>
        <v>Isha Nair</v>
      </c>
      <c r="P226" t="s">
        <v>41</v>
      </c>
      <c r="Q226" t="str">
        <f t="shared" si="58"/>
        <v>Small Business</v>
      </c>
      <c r="R226" t="s">
        <v>27</v>
      </c>
      <c r="S226" t="str">
        <f t="shared" si="59"/>
        <v>North</v>
      </c>
      <c r="T226" t="s">
        <v>154</v>
      </c>
      <c r="U226" t="str">
        <f t="shared" si="60"/>
        <v>Punjab</v>
      </c>
      <c r="V226" t="s">
        <v>155</v>
      </c>
      <c r="W226" t="str">
        <f t="shared" si="61"/>
        <v>Ludhiana</v>
      </c>
      <c r="X226" t="s">
        <v>45</v>
      </c>
      <c r="Y226" t="str">
        <f t="shared" si="62"/>
        <v>Furniture</v>
      </c>
      <c r="Z226" t="s">
        <v>65</v>
      </c>
      <c r="AA226" t="str">
        <f t="shared" si="63"/>
        <v>Furnishings</v>
      </c>
      <c r="AB226" t="s">
        <v>1193</v>
      </c>
      <c r="AC226" t="s">
        <v>67</v>
      </c>
      <c r="AD226" t="str">
        <f t="shared" si="64"/>
        <v>Standard Class</v>
      </c>
      <c r="AE226">
        <v>4</v>
      </c>
      <c r="AF226">
        <v>3944.64</v>
      </c>
      <c r="AG226">
        <v>0.25</v>
      </c>
      <c r="AH226">
        <v>0.25</v>
      </c>
      <c r="AI226" t="str">
        <f t="shared" si="65"/>
        <v>Valid</v>
      </c>
      <c r="AJ226">
        <v>11833.92</v>
      </c>
      <c r="AK226">
        <f t="shared" si="66"/>
        <v>11833.92</v>
      </c>
      <c r="AL226">
        <v>6682.92</v>
      </c>
      <c r="AM226">
        <v>5151</v>
      </c>
      <c r="AN226">
        <f t="shared" si="67"/>
        <v>5151</v>
      </c>
      <c r="AO226">
        <f t="shared" si="68"/>
        <v>-6682.92</v>
      </c>
      <c r="AP226" t="s">
        <v>34</v>
      </c>
      <c r="AQ226" t="str">
        <f t="shared" si="69"/>
        <v>Paid</v>
      </c>
      <c r="AR226" t="s">
        <v>78</v>
      </c>
      <c r="AS226" t="str">
        <f t="shared" si="70"/>
        <v>Cancelled</v>
      </c>
      <c r="AT226" t="str">
        <f t="shared" si="71"/>
        <v>Clean</v>
      </c>
    </row>
    <row r="227" spans="1:46">
      <c r="A227" t="s">
        <v>1194</v>
      </c>
      <c r="B227">
        <f>COUNTIF($D$2:D227,D227)</f>
        <v>1</v>
      </c>
      <c r="C227" t="str">
        <f>IF(COUNTIF($A:$A,A227)=1,
"Unique",
IF(COUNTIFS($A:$A,A227,$N:$N,N227,$AF:$AF,AF227,$AJ:$AJ,AJ227)&gt;1,
"Exact Duplicate",
"Conflicting Duplicate"))</f>
        <v>Unique</v>
      </c>
      <c r="D227" t="s">
        <v>1195</v>
      </c>
      <c r="E227" t="s">
        <v>1196</v>
      </c>
      <c r="F227" s="2">
        <v>45331</v>
      </c>
      <c r="G227" s="3">
        <v>45574</v>
      </c>
      <c r="H227" s="5" t="str">
        <f t="shared" si="54"/>
        <v>February</v>
      </c>
      <c r="I227" s="5">
        <f t="shared" si="55"/>
        <v>2024</v>
      </c>
      <c r="J227" t="str">
        <f>IF(F227="","Missing Date",
IF(ISNUMBER(F227),"Valid","Invalid Date"))</f>
        <v>Valid</v>
      </c>
      <c r="K227" t="str">
        <f t="shared" si="56"/>
        <v>Valid</v>
      </c>
      <c r="L227">
        <f>G227-F227</f>
        <v>243</v>
      </c>
      <c r="M227" t="s">
        <v>1197</v>
      </c>
      <c r="N227" t="s">
        <v>40</v>
      </c>
      <c r="O227" t="str">
        <f t="shared" si="57"/>
        <v>Mira Das</v>
      </c>
      <c r="P227" t="s">
        <v>108</v>
      </c>
      <c r="Q227" t="str">
        <f t="shared" si="58"/>
        <v>Corporate</v>
      </c>
      <c r="R227" t="s">
        <v>73</v>
      </c>
      <c r="S227" t="str">
        <f t="shared" si="59"/>
        <v>West</v>
      </c>
      <c r="T227" t="s">
        <v>249</v>
      </c>
      <c r="U227" t="str">
        <f t="shared" si="60"/>
        <v>Goa</v>
      </c>
      <c r="V227" t="s">
        <v>250</v>
      </c>
      <c r="W227" t="str">
        <f t="shared" si="61"/>
        <v>Panaji</v>
      </c>
      <c r="X227" t="s">
        <v>86</v>
      </c>
      <c r="Y227" t="str">
        <f t="shared" si="62"/>
        <v>Technology</v>
      </c>
      <c r="Z227" t="s">
        <v>223</v>
      </c>
      <c r="AA227" t="str">
        <f t="shared" si="63"/>
        <v>Phones</v>
      </c>
      <c r="AB227" t="s">
        <v>1198</v>
      </c>
      <c r="AC227" t="s">
        <v>67</v>
      </c>
      <c r="AD227" t="str">
        <f t="shared" si="64"/>
        <v>Standard Class</v>
      </c>
      <c r="AE227">
        <v>6</v>
      </c>
      <c r="AF227">
        <v>1032.47</v>
      </c>
      <c r="AG227">
        <v>0.15</v>
      </c>
      <c r="AH227">
        <v>0.15</v>
      </c>
      <c r="AI227" t="str">
        <f t="shared" si="65"/>
        <v>Valid</v>
      </c>
      <c r="AJ227">
        <v>5265.6</v>
      </c>
      <c r="AK227">
        <f t="shared" si="66"/>
        <v>5265.5969999999998</v>
      </c>
      <c r="AL227">
        <v>4293.1099999999997</v>
      </c>
      <c r="AM227">
        <v>787.57</v>
      </c>
      <c r="AN227">
        <f t="shared" si="67"/>
        <v>972.48700000000008</v>
      </c>
      <c r="AO227">
        <f t="shared" si="68"/>
        <v>-4293.1099999999997</v>
      </c>
      <c r="AP227" t="s">
        <v>34</v>
      </c>
      <c r="AQ227" t="str">
        <f t="shared" si="69"/>
        <v>Paid</v>
      </c>
      <c r="AR227" t="s">
        <v>35</v>
      </c>
      <c r="AS227" t="str">
        <f t="shared" si="70"/>
        <v>Completed</v>
      </c>
      <c r="AT227" t="str">
        <f t="shared" si="71"/>
        <v>Clean</v>
      </c>
    </row>
    <row r="228" spans="1:46">
      <c r="A228" t="s">
        <v>1199</v>
      </c>
      <c r="B228">
        <f>COUNTIF($D$2:D228,D228)</f>
        <v>1</v>
      </c>
      <c r="C228" t="str">
        <f>IF(COUNTIF($A:$A,A228)=1,
"Unique",
IF(COUNTIFS($A:$A,A228,$N:$N,N228,$AF:$AF,AF228,$AJ:$AJ,AJ228)&gt;1,
"Exact Duplicate",
"Conflicting Duplicate"))</f>
        <v>Unique</v>
      </c>
      <c r="D228" t="s">
        <v>1200</v>
      </c>
      <c r="E228" t="s">
        <v>1153</v>
      </c>
      <c r="F228" s="3">
        <v>45934</v>
      </c>
      <c r="G228" s="2">
        <v>45762</v>
      </c>
      <c r="H228" s="5" t="str">
        <f t="shared" si="54"/>
        <v>October</v>
      </c>
      <c r="I228" s="5">
        <f t="shared" si="55"/>
        <v>2025</v>
      </c>
      <c r="J228" t="str">
        <f>IF(F228="","Missing Date",
IF(ISNUMBER(F228),"Valid","Invalid Date"))</f>
        <v>Valid</v>
      </c>
      <c r="K228" t="str">
        <f t="shared" si="56"/>
        <v>Valid</v>
      </c>
      <c r="L228">
        <f>G228-F228</f>
        <v>-172</v>
      </c>
      <c r="M228" t="s">
        <v>1201</v>
      </c>
      <c r="N228" t="s">
        <v>210</v>
      </c>
      <c r="O228" t="str">
        <f t="shared" si="57"/>
        <v>Diya Patel</v>
      </c>
      <c r="P228" t="s">
        <v>115</v>
      </c>
      <c r="Q228" t="str">
        <f t="shared" si="58"/>
        <v>Home Office</v>
      </c>
      <c r="R228" t="s">
        <v>4104</v>
      </c>
      <c r="S228" t="s">
        <v>4104</v>
      </c>
      <c r="T228" t="s">
        <v>242</v>
      </c>
      <c r="U228" t="str">
        <f t="shared" si="60"/>
        <v>Kerala</v>
      </c>
      <c r="V228" t="s">
        <v>243</v>
      </c>
      <c r="W228" t="str">
        <f t="shared" si="61"/>
        <v>Kochi</v>
      </c>
      <c r="X228" t="s">
        <v>86</v>
      </c>
      <c r="Y228" t="str">
        <f t="shared" si="62"/>
        <v>Technology</v>
      </c>
      <c r="Z228" t="s">
        <v>94</v>
      </c>
      <c r="AA228" t="str">
        <f t="shared" si="63"/>
        <v>Copiers</v>
      </c>
      <c r="AB228" t="s">
        <v>1202</v>
      </c>
      <c r="AC228" t="s">
        <v>48</v>
      </c>
      <c r="AD228" t="str">
        <f t="shared" si="64"/>
        <v>Same Day</v>
      </c>
      <c r="AE228">
        <v>1</v>
      </c>
      <c r="AF228">
        <v>2208.27</v>
      </c>
      <c r="AG228">
        <v>0.1</v>
      </c>
      <c r="AH228">
        <v>0.1</v>
      </c>
      <c r="AI228" t="str">
        <f t="shared" si="65"/>
        <v>Valid</v>
      </c>
      <c r="AJ228">
        <v>1987.44</v>
      </c>
      <c r="AK228">
        <f t="shared" si="66"/>
        <v>1987.443</v>
      </c>
      <c r="AL228">
        <v>1110.23</v>
      </c>
      <c r="AM228">
        <v>877.21</v>
      </c>
      <c r="AN228">
        <f t="shared" si="67"/>
        <v>877.21299999999997</v>
      </c>
      <c r="AO228">
        <f t="shared" si="68"/>
        <v>-1110.23</v>
      </c>
      <c r="AP228" t="s">
        <v>34</v>
      </c>
      <c r="AQ228" t="str">
        <f t="shared" si="69"/>
        <v>Paid</v>
      </c>
      <c r="AR228" t="s">
        <v>35</v>
      </c>
      <c r="AS228" t="str">
        <f t="shared" si="70"/>
        <v>Completed</v>
      </c>
      <c r="AT228" t="str">
        <f t="shared" si="71"/>
        <v>Clean</v>
      </c>
    </row>
    <row r="229" spans="1:46">
      <c r="A229" t="s">
        <v>1203</v>
      </c>
      <c r="B229">
        <f>COUNTIF($D$2:D229,D229)</f>
        <v>1</v>
      </c>
      <c r="C229" t="str">
        <f>IF(COUNTIF($A:$A,A229)=1,
"Unique",
IF(COUNTIFS($A:$A,A229,$N:$N,N229,$AF:$AF,AF229,$AJ:$AJ,AJ229)&gt;1,
"Exact Duplicate",
"Conflicting Duplicate"))</f>
        <v>Unique</v>
      </c>
      <c r="D229" t="s">
        <v>1204</v>
      </c>
      <c r="E229" t="s">
        <v>1205</v>
      </c>
      <c r="F229" s="3">
        <v>45419</v>
      </c>
      <c r="G229" s="2">
        <v>45633</v>
      </c>
      <c r="H229" s="5" t="str">
        <f t="shared" si="54"/>
        <v>May</v>
      </c>
      <c r="I229" s="5">
        <f t="shared" si="55"/>
        <v>2024</v>
      </c>
      <c r="J229" t="str">
        <f>IF(F229="","Missing Date",
IF(ISNUMBER(F229),"Valid","Invalid Date"))</f>
        <v>Valid</v>
      </c>
      <c r="K229" t="str">
        <f t="shared" si="56"/>
        <v>Valid</v>
      </c>
      <c r="L229">
        <f>G229-F229</f>
        <v>214</v>
      </c>
      <c r="M229" t="s">
        <v>1206</v>
      </c>
      <c r="N229" t="s">
        <v>72</v>
      </c>
      <c r="O229" t="str">
        <f t="shared" si="57"/>
        <v>Ananya Rao</v>
      </c>
      <c r="P229" t="s">
        <v>1207</v>
      </c>
      <c r="Q229" t="str">
        <f t="shared" si="58"/>
        <v>Small Business</v>
      </c>
      <c r="R229" t="s">
        <v>73</v>
      </c>
      <c r="S229" t="str">
        <f t="shared" si="59"/>
        <v>West</v>
      </c>
      <c r="T229" t="s">
        <v>249</v>
      </c>
      <c r="U229" t="str">
        <f t="shared" si="60"/>
        <v>Goa</v>
      </c>
      <c r="V229" t="s">
        <v>250</v>
      </c>
      <c r="W229" t="str">
        <f t="shared" si="61"/>
        <v>Panaji</v>
      </c>
      <c r="X229" t="s">
        <v>30</v>
      </c>
      <c r="Y229" t="str">
        <f t="shared" si="62"/>
        <v>Office Supplies</v>
      </c>
      <c r="Z229" t="s">
        <v>198</v>
      </c>
      <c r="AA229" t="str">
        <f t="shared" si="63"/>
        <v>Binders</v>
      </c>
      <c r="AB229" t="s">
        <v>1208</v>
      </c>
      <c r="AC229" t="s">
        <v>56</v>
      </c>
      <c r="AD229" t="str">
        <f t="shared" si="64"/>
        <v>First Class</v>
      </c>
      <c r="AE229">
        <v>3</v>
      </c>
      <c r="AF229">
        <v>577.75</v>
      </c>
      <c r="AG229">
        <v>0.15</v>
      </c>
      <c r="AH229">
        <v>0.15</v>
      </c>
      <c r="AI229" t="str">
        <f t="shared" si="65"/>
        <v>Valid</v>
      </c>
      <c r="AJ229">
        <v>1473.26</v>
      </c>
      <c r="AK229">
        <f t="shared" si="66"/>
        <v>1473.2625</v>
      </c>
      <c r="AL229">
        <v>899.86</v>
      </c>
      <c r="AM229">
        <v>573.4</v>
      </c>
      <c r="AN229">
        <f t="shared" si="67"/>
        <v>573.40250000000003</v>
      </c>
      <c r="AO229">
        <f t="shared" si="68"/>
        <v>-899.86</v>
      </c>
      <c r="AP229" t="s">
        <v>34</v>
      </c>
      <c r="AQ229" t="str">
        <f t="shared" si="69"/>
        <v>Paid</v>
      </c>
      <c r="AR229" t="s">
        <v>35</v>
      </c>
      <c r="AS229" t="str">
        <f t="shared" si="70"/>
        <v>Completed</v>
      </c>
      <c r="AT229" t="str">
        <f t="shared" si="71"/>
        <v>Clean</v>
      </c>
    </row>
    <row r="230" spans="1:46">
      <c r="A230" t="s">
        <v>1209</v>
      </c>
      <c r="B230">
        <f>COUNTIF($D$2:D230,D230)</f>
        <v>2</v>
      </c>
      <c r="C230" t="str">
        <f>IF(COUNTIF($A:$A,A230)=1,
"Unique",
IF(COUNTIFS($A:$A,A230,$N:$N,N230,$AF:$AF,AF230,$AJ:$AJ,AJ230)&gt;1,
"Exact Duplicate",
"Conflicting Duplicate"))</f>
        <v>Unique</v>
      </c>
      <c r="D230" t="s">
        <v>1210</v>
      </c>
      <c r="E230" t="s">
        <v>1211</v>
      </c>
      <c r="F230" s="3">
        <v>45406</v>
      </c>
      <c r="G230" s="2">
        <v>45410</v>
      </c>
      <c r="H230" s="5" t="str">
        <f t="shared" si="54"/>
        <v>April</v>
      </c>
      <c r="I230" s="5">
        <f t="shared" si="55"/>
        <v>2024</v>
      </c>
      <c r="J230" t="str">
        <f>IF(F230="","Missing Date",
IF(ISNUMBER(F230),"Valid","Invalid Date"))</f>
        <v>Valid</v>
      </c>
      <c r="K230" t="str">
        <f t="shared" si="56"/>
        <v>Valid</v>
      </c>
      <c r="L230">
        <f>G230-F230</f>
        <v>4</v>
      </c>
      <c r="M230" t="s">
        <v>1212</v>
      </c>
      <c r="N230" t="s">
        <v>25</v>
      </c>
      <c r="O230" t="str">
        <f t="shared" si="57"/>
        <v>Karan Malhotra</v>
      </c>
      <c r="P230" t="s">
        <v>41</v>
      </c>
      <c r="Q230" t="str">
        <f t="shared" si="58"/>
        <v>Small Business</v>
      </c>
      <c r="R230" t="s">
        <v>62</v>
      </c>
      <c r="S230" t="str">
        <f t="shared" si="59"/>
        <v>South</v>
      </c>
      <c r="T230" t="s">
        <v>63</v>
      </c>
      <c r="U230" t="str">
        <f t="shared" si="60"/>
        <v>Telangana</v>
      </c>
      <c r="V230" t="s">
        <v>64</v>
      </c>
      <c r="W230" t="str">
        <f t="shared" si="61"/>
        <v>Hyderabad</v>
      </c>
      <c r="X230" t="s">
        <v>30</v>
      </c>
      <c r="Y230" t="str">
        <f t="shared" si="62"/>
        <v>Office Supplies</v>
      </c>
      <c r="Z230" t="s">
        <v>109</v>
      </c>
      <c r="AA230" t="str">
        <f t="shared" si="63"/>
        <v>Labels</v>
      </c>
      <c r="AB230" t="s">
        <v>1213</v>
      </c>
      <c r="AC230" t="s">
        <v>33</v>
      </c>
      <c r="AD230" t="str">
        <f t="shared" si="64"/>
        <v>Second Class</v>
      </c>
      <c r="AE230">
        <v>1</v>
      </c>
      <c r="AF230">
        <v>3194.37</v>
      </c>
      <c r="AG230">
        <v>0.15</v>
      </c>
      <c r="AH230">
        <v>0.15</v>
      </c>
      <c r="AI230" t="str">
        <f t="shared" si="65"/>
        <v>Valid</v>
      </c>
      <c r="AJ230">
        <v>2715.21</v>
      </c>
      <c r="AK230">
        <f t="shared" si="66"/>
        <v>2715.2145</v>
      </c>
      <c r="AL230">
        <v>1551.55</v>
      </c>
      <c r="AM230">
        <v>1163.6600000000001</v>
      </c>
      <c r="AN230">
        <f t="shared" si="67"/>
        <v>1163.6645000000001</v>
      </c>
      <c r="AO230">
        <f t="shared" si="68"/>
        <v>-1551.55</v>
      </c>
      <c r="AP230" t="s">
        <v>34</v>
      </c>
      <c r="AQ230" t="str">
        <f t="shared" si="69"/>
        <v>Paid</v>
      </c>
      <c r="AR230" t="s">
        <v>35</v>
      </c>
      <c r="AS230" t="str">
        <f t="shared" si="70"/>
        <v>Completed</v>
      </c>
      <c r="AT230" t="str">
        <f t="shared" si="71"/>
        <v>Clean</v>
      </c>
    </row>
    <row r="231" spans="1:46">
      <c r="A231" t="s">
        <v>1214</v>
      </c>
      <c r="B231">
        <f>COUNTIF($D$2:D231,D231)</f>
        <v>1</v>
      </c>
      <c r="C231" t="str">
        <f>IF(COUNTIF($A:$A,A231)=1,
"Unique",
IF(COUNTIFS($A:$A,A231,$N:$N,N231,$AF:$AF,AF231,$AJ:$AJ,AJ231)&gt;1,
"Exact Duplicate",
"Conflicting Duplicate"))</f>
        <v>Unique</v>
      </c>
      <c r="D231" t="s">
        <v>1215</v>
      </c>
      <c r="E231" t="s">
        <v>1216</v>
      </c>
      <c r="F231" s="3">
        <v>45836</v>
      </c>
      <c r="G231" s="3">
        <v>45842</v>
      </c>
      <c r="H231" s="5" t="str">
        <f t="shared" si="54"/>
        <v>June</v>
      </c>
      <c r="I231" s="5">
        <f t="shared" si="55"/>
        <v>2025</v>
      </c>
      <c r="J231" t="str">
        <f>IF(F231="","Missing Date",
IF(ISNUMBER(F231),"Valid","Invalid Date"))</f>
        <v>Valid</v>
      </c>
      <c r="K231" t="str">
        <f t="shared" si="56"/>
        <v>Valid</v>
      </c>
      <c r="L231">
        <f>G231-F231</f>
        <v>6</v>
      </c>
      <c r="M231" t="s">
        <v>1217</v>
      </c>
      <c r="N231" t="s">
        <v>180</v>
      </c>
      <c r="O231" t="str">
        <f t="shared" si="57"/>
        <v>Rohan Mehta</v>
      </c>
      <c r="P231" t="s">
        <v>26</v>
      </c>
      <c r="Q231" t="str">
        <f t="shared" si="58"/>
        <v>Consumer</v>
      </c>
      <c r="R231" t="s">
        <v>62</v>
      </c>
      <c r="S231" t="str">
        <f t="shared" si="59"/>
        <v>South</v>
      </c>
      <c r="T231" t="s">
        <v>63</v>
      </c>
      <c r="U231" t="str">
        <f t="shared" si="60"/>
        <v>Telangana</v>
      </c>
      <c r="V231" t="s">
        <v>64</v>
      </c>
      <c r="W231" t="str">
        <f t="shared" si="61"/>
        <v>Hyderabad</v>
      </c>
      <c r="X231" t="s">
        <v>45</v>
      </c>
      <c r="Y231" t="str">
        <f t="shared" si="62"/>
        <v>Furniture</v>
      </c>
      <c r="Z231" t="s">
        <v>204</v>
      </c>
      <c r="AA231" t="str">
        <f t="shared" si="63"/>
        <v>Bookcases</v>
      </c>
      <c r="AB231" t="s">
        <v>1218</v>
      </c>
      <c r="AC231" t="s">
        <v>56</v>
      </c>
      <c r="AD231" t="str">
        <f t="shared" si="64"/>
        <v>First Class</v>
      </c>
      <c r="AE231">
        <v>3</v>
      </c>
      <c r="AF231">
        <v>2886.23</v>
      </c>
      <c r="AG231">
        <v>0</v>
      </c>
      <c r="AH231">
        <v>0</v>
      </c>
      <c r="AI231" t="str">
        <f t="shared" si="65"/>
        <v>Valid</v>
      </c>
      <c r="AJ231">
        <v>8658.69</v>
      </c>
      <c r="AK231">
        <f t="shared" si="66"/>
        <v>8658.69</v>
      </c>
      <c r="AL231">
        <v>5535.94</v>
      </c>
      <c r="AM231">
        <v>3122.75</v>
      </c>
      <c r="AN231">
        <f t="shared" si="67"/>
        <v>3122.7500000000009</v>
      </c>
      <c r="AO231">
        <f t="shared" si="68"/>
        <v>-5535.94</v>
      </c>
      <c r="AP231" t="s">
        <v>124</v>
      </c>
      <c r="AQ231" t="str">
        <f t="shared" si="69"/>
        <v>Refunded</v>
      </c>
      <c r="AR231" t="s">
        <v>125</v>
      </c>
      <c r="AS231" t="str">
        <f t="shared" si="70"/>
        <v>Returned</v>
      </c>
      <c r="AT231" t="str">
        <f t="shared" si="71"/>
        <v>Clean</v>
      </c>
    </row>
    <row r="232" spans="1:46">
      <c r="A232" t="s">
        <v>1219</v>
      </c>
      <c r="B232">
        <f>COUNTIF($D$2:D232,D232)</f>
        <v>1</v>
      </c>
      <c r="C232" t="str">
        <f>IF(COUNTIF($A:$A,A232)=1,
"Unique",
IF(COUNTIFS($A:$A,A232,$N:$N,N232,$AF:$AF,AF232,$AJ:$AJ,AJ232)&gt;1,
"Exact Duplicate",
"Conflicting Duplicate"))</f>
        <v>Unique</v>
      </c>
      <c r="D232" t="s">
        <v>81</v>
      </c>
      <c r="E232" t="s">
        <v>1220</v>
      </c>
      <c r="F232" s="3">
        <v>45440</v>
      </c>
      <c r="G232" s="3">
        <v>45357</v>
      </c>
      <c r="H232" s="5" t="str">
        <f t="shared" si="54"/>
        <v>May</v>
      </c>
      <c r="I232" s="5">
        <f t="shared" si="55"/>
        <v>2024</v>
      </c>
      <c r="J232" t="str">
        <f>IF(F232="","Missing Date",
IF(ISNUMBER(F232),"Valid","Invalid Date"))</f>
        <v>Valid</v>
      </c>
      <c r="K232" t="str">
        <f t="shared" si="56"/>
        <v>Valid</v>
      </c>
      <c r="L232">
        <f>G232-F232</f>
        <v>-83</v>
      </c>
      <c r="M232" t="s">
        <v>1221</v>
      </c>
      <c r="N232" t="s">
        <v>93</v>
      </c>
      <c r="O232" t="str">
        <f t="shared" si="57"/>
        <v>Neha Gupta</v>
      </c>
      <c r="P232" t="s">
        <v>41</v>
      </c>
      <c r="Q232" t="str">
        <f t="shared" si="58"/>
        <v>Small Business</v>
      </c>
      <c r="R232" t="s">
        <v>27</v>
      </c>
      <c r="S232" t="str">
        <f t="shared" si="59"/>
        <v>North</v>
      </c>
      <c r="T232" t="s">
        <v>28</v>
      </c>
      <c r="U232" t="str">
        <f t="shared" si="60"/>
        <v>Rajasthan</v>
      </c>
      <c r="V232" t="s">
        <v>29</v>
      </c>
      <c r="W232" t="str">
        <f t="shared" si="61"/>
        <v>Jaipur</v>
      </c>
      <c r="X232" t="s">
        <v>30</v>
      </c>
      <c r="Y232" t="str">
        <f t="shared" si="62"/>
        <v>Office Supplies</v>
      </c>
      <c r="Z232" t="s">
        <v>31</v>
      </c>
      <c r="AA232" t="str">
        <f t="shared" si="63"/>
        <v>Paper</v>
      </c>
      <c r="AB232" t="s">
        <v>1222</v>
      </c>
      <c r="AC232" t="s">
        <v>67</v>
      </c>
      <c r="AD232" t="str">
        <f t="shared" si="64"/>
        <v>Standard Class</v>
      </c>
      <c r="AE232">
        <v>8</v>
      </c>
      <c r="AF232">
        <v>1540.33</v>
      </c>
      <c r="AG232">
        <v>0.1</v>
      </c>
      <c r="AH232">
        <v>0.1</v>
      </c>
      <c r="AI232" t="str">
        <f t="shared" si="65"/>
        <v>Valid</v>
      </c>
      <c r="AJ232">
        <v>11090.38</v>
      </c>
      <c r="AK232">
        <f t="shared" si="66"/>
        <v>11090.376</v>
      </c>
      <c r="AL232">
        <v>8840.9500000000007</v>
      </c>
      <c r="AM232">
        <v>2249.4299999999998</v>
      </c>
      <c r="AN232">
        <f t="shared" si="67"/>
        <v>2249.4259999999995</v>
      </c>
      <c r="AO232">
        <f t="shared" si="68"/>
        <v>-8840.9500000000007</v>
      </c>
      <c r="AP232" t="s">
        <v>34</v>
      </c>
      <c r="AQ232" t="str">
        <f t="shared" si="69"/>
        <v>Paid</v>
      </c>
      <c r="AR232" t="s">
        <v>35</v>
      </c>
      <c r="AS232" t="str">
        <f t="shared" si="70"/>
        <v>Completed</v>
      </c>
      <c r="AT232" t="str">
        <f t="shared" si="71"/>
        <v>Clean</v>
      </c>
    </row>
    <row r="233" spans="1:46">
      <c r="A233" t="s">
        <v>1223</v>
      </c>
      <c r="B233">
        <f>COUNTIF($D$2:D233,D233)</f>
        <v>2</v>
      </c>
      <c r="C233" t="str">
        <f>IF(COUNTIF($A:$A,A233)=1,
"Unique",
IF(COUNTIFS($A:$A,A233,$N:$N,N233,$AF:$AF,AF233,$AJ:$AJ,AJ233)&gt;1,
"Exact Duplicate",
"Conflicting Duplicate"))</f>
        <v>Unique</v>
      </c>
      <c r="D233" t="s">
        <v>1224</v>
      </c>
      <c r="E233" t="s">
        <v>1225</v>
      </c>
      <c r="F233" s="3">
        <v>45327</v>
      </c>
      <c r="G233" s="3">
        <v>45414</v>
      </c>
      <c r="H233" s="5" t="str">
        <f t="shared" si="54"/>
        <v>February</v>
      </c>
      <c r="I233" s="5">
        <f t="shared" si="55"/>
        <v>2024</v>
      </c>
      <c r="J233" t="str">
        <f>IF(F233="","Missing Date",
IF(ISNUMBER(F233),"Valid","Invalid Date"))</f>
        <v>Valid</v>
      </c>
      <c r="K233" t="str">
        <f t="shared" si="56"/>
        <v>Valid</v>
      </c>
      <c r="L233">
        <f>G233-F233</f>
        <v>87</v>
      </c>
      <c r="M233" t="s">
        <v>1226</v>
      </c>
      <c r="N233" t="s">
        <v>72</v>
      </c>
      <c r="O233" t="str">
        <f t="shared" si="57"/>
        <v>Ananya Rao</v>
      </c>
      <c r="P233" t="s">
        <v>108</v>
      </c>
      <c r="Q233" t="str">
        <f t="shared" si="58"/>
        <v>Corporate</v>
      </c>
      <c r="R233" t="s">
        <v>27</v>
      </c>
      <c r="S233" t="str">
        <f t="shared" si="59"/>
        <v>North</v>
      </c>
      <c r="T233" t="s">
        <v>28</v>
      </c>
      <c r="U233" t="str">
        <f t="shared" si="60"/>
        <v>Rajasthan</v>
      </c>
      <c r="V233" t="s">
        <v>29</v>
      </c>
      <c r="W233" t="str">
        <f t="shared" si="61"/>
        <v>Jaipur</v>
      </c>
      <c r="X233" t="s">
        <v>1227</v>
      </c>
      <c r="Y233" t="str">
        <f t="shared" si="62"/>
        <v>Office Supplies</v>
      </c>
      <c r="Z233" t="s">
        <v>109</v>
      </c>
      <c r="AA233" t="str">
        <f t="shared" si="63"/>
        <v>Labels</v>
      </c>
      <c r="AB233" t="s">
        <v>1228</v>
      </c>
      <c r="AC233" t="s">
        <v>56</v>
      </c>
      <c r="AD233" t="str">
        <f t="shared" si="64"/>
        <v>First Class</v>
      </c>
      <c r="AE233">
        <v>7</v>
      </c>
      <c r="AF233">
        <v>2183.38</v>
      </c>
      <c r="AG233">
        <v>0.25</v>
      </c>
      <c r="AH233">
        <v>0.25</v>
      </c>
      <c r="AI233" t="str">
        <f t="shared" si="65"/>
        <v>Valid</v>
      </c>
      <c r="AJ233">
        <v>11462.74</v>
      </c>
      <c r="AK233">
        <f t="shared" si="66"/>
        <v>11462.744999999999</v>
      </c>
      <c r="AL233">
        <v>7163.54</v>
      </c>
      <c r="AM233">
        <v>4299.2</v>
      </c>
      <c r="AN233">
        <f t="shared" si="67"/>
        <v>4299.204999999999</v>
      </c>
      <c r="AO233">
        <f t="shared" si="68"/>
        <v>-7163.54</v>
      </c>
      <c r="AP233" t="s">
        <v>124</v>
      </c>
      <c r="AQ233" t="str">
        <f t="shared" si="69"/>
        <v>Refunded</v>
      </c>
      <c r="AR233" t="s">
        <v>78</v>
      </c>
      <c r="AS233" t="str">
        <f t="shared" si="70"/>
        <v>Cancelled</v>
      </c>
      <c r="AT233" t="str">
        <f t="shared" si="71"/>
        <v>Clean</v>
      </c>
    </row>
    <row r="234" spans="1:46">
      <c r="A234" t="s">
        <v>1229</v>
      </c>
      <c r="B234">
        <f>COUNTIF($D$2:D234,D234)</f>
        <v>1</v>
      </c>
      <c r="C234" t="str">
        <f>IF(COUNTIF($A:$A,A234)=1,
"Unique",
IF(COUNTIFS($A:$A,A234,$N:$N,N234,$AF:$AF,AF234,$AJ:$AJ,AJ234)&gt;1,
"Exact Duplicate",
"Conflicting Duplicate"))</f>
        <v>Unique</v>
      </c>
      <c r="D234" t="s">
        <v>1230</v>
      </c>
      <c r="E234" t="s">
        <v>1231</v>
      </c>
      <c r="F234" s="3">
        <v>45753</v>
      </c>
      <c r="G234" s="3">
        <v>45936</v>
      </c>
      <c r="H234" s="5" t="str">
        <f t="shared" si="54"/>
        <v>April</v>
      </c>
      <c r="I234" s="5">
        <f t="shared" si="55"/>
        <v>2025</v>
      </c>
      <c r="J234" t="str">
        <f>IF(F234="","Missing Date",
IF(ISNUMBER(F234),"Valid","Invalid Date"))</f>
        <v>Valid</v>
      </c>
      <c r="K234" t="str">
        <f t="shared" si="56"/>
        <v>Valid</v>
      </c>
      <c r="L234">
        <f>G234-F234</f>
        <v>183</v>
      </c>
      <c r="M234" t="s">
        <v>1232</v>
      </c>
      <c r="N234" t="s">
        <v>148</v>
      </c>
      <c r="O234" t="str">
        <f t="shared" si="57"/>
        <v>Rahul Verma</v>
      </c>
      <c r="P234" t="s">
        <v>26</v>
      </c>
      <c r="Q234" t="str">
        <f t="shared" si="58"/>
        <v>Consumer</v>
      </c>
      <c r="R234" t="s">
        <v>62</v>
      </c>
      <c r="S234" t="str">
        <f t="shared" si="59"/>
        <v>South</v>
      </c>
      <c r="T234" t="s">
        <v>100</v>
      </c>
      <c r="U234" t="str">
        <f t="shared" si="60"/>
        <v>Andhra Pradesh</v>
      </c>
      <c r="V234" t="s">
        <v>101</v>
      </c>
      <c r="W234" t="str">
        <f t="shared" si="61"/>
        <v>Vijayawada</v>
      </c>
      <c r="X234" t="s">
        <v>86</v>
      </c>
      <c r="Y234" t="str">
        <f t="shared" si="62"/>
        <v>Technology</v>
      </c>
      <c r="Z234" t="s">
        <v>223</v>
      </c>
      <c r="AA234" t="str">
        <f t="shared" si="63"/>
        <v>Phones</v>
      </c>
      <c r="AB234" t="s">
        <v>1233</v>
      </c>
      <c r="AC234" t="s">
        <v>67</v>
      </c>
      <c r="AD234" t="str">
        <f t="shared" si="64"/>
        <v>Standard Class</v>
      </c>
      <c r="AE234">
        <v>4</v>
      </c>
      <c r="AF234">
        <v>223.37</v>
      </c>
      <c r="AG234">
        <v>0.25</v>
      </c>
      <c r="AH234">
        <v>0.25</v>
      </c>
      <c r="AI234" t="str">
        <f t="shared" si="65"/>
        <v>Valid</v>
      </c>
      <c r="AJ234">
        <v>670.11</v>
      </c>
      <c r="AK234">
        <f t="shared" si="66"/>
        <v>670.11</v>
      </c>
      <c r="AL234">
        <v>559.57000000000005</v>
      </c>
      <c r="AM234">
        <v>110.54</v>
      </c>
      <c r="AN234">
        <f t="shared" si="67"/>
        <v>110.53999999999996</v>
      </c>
      <c r="AO234">
        <f t="shared" si="68"/>
        <v>-559.57000000000005</v>
      </c>
      <c r="AP234" t="s">
        <v>34</v>
      </c>
      <c r="AQ234" t="str">
        <f t="shared" si="69"/>
        <v>Paid</v>
      </c>
      <c r="AR234" t="s">
        <v>35</v>
      </c>
      <c r="AS234" t="str">
        <f t="shared" si="70"/>
        <v>Completed</v>
      </c>
      <c r="AT234" t="str">
        <f t="shared" si="71"/>
        <v>Clean</v>
      </c>
    </row>
    <row r="235" spans="1:46">
      <c r="A235" t="s">
        <v>1234</v>
      </c>
      <c r="B235">
        <f>COUNTIF($D$2:D235,D235)</f>
        <v>1</v>
      </c>
      <c r="C235" t="str">
        <f>IF(COUNTIF($A:$A,A235)=1,
"Unique",
IF(COUNTIFS($A:$A,A235,$N:$N,N235,$AF:$AF,AF235,$AJ:$AJ,AJ235)&gt;1,
"Exact Duplicate",
"Conflicting Duplicate"))</f>
        <v>Unique</v>
      </c>
      <c r="D235" t="s">
        <v>1235</v>
      </c>
      <c r="E235" t="s">
        <v>1236</v>
      </c>
      <c r="F235" s="3">
        <v>45579</v>
      </c>
      <c r="G235" s="3">
        <v>45579</v>
      </c>
      <c r="H235" s="5" t="str">
        <f t="shared" si="54"/>
        <v>October</v>
      </c>
      <c r="I235" s="5">
        <f t="shared" si="55"/>
        <v>2024</v>
      </c>
      <c r="J235" t="str">
        <f>IF(F235="","Missing Date",
IF(ISNUMBER(F235),"Valid","Invalid Date"))</f>
        <v>Valid</v>
      </c>
      <c r="K235" t="str">
        <f t="shared" si="56"/>
        <v>Valid</v>
      </c>
      <c r="L235">
        <f>G235-F235</f>
        <v>0</v>
      </c>
      <c r="M235" t="s">
        <v>1237</v>
      </c>
      <c r="N235" t="s">
        <v>83</v>
      </c>
      <c r="O235" t="str">
        <f t="shared" si="57"/>
        <v>Vikram Iyer</v>
      </c>
      <c r="P235" t="s">
        <v>108</v>
      </c>
      <c r="Q235" t="str">
        <f t="shared" si="58"/>
        <v>Corporate</v>
      </c>
      <c r="R235" t="s">
        <v>62</v>
      </c>
      <c r="S235" t="str">
        <f t="shared" si="59"/>
        <v>South</v>
      </c>
      <c r="T235" t="s">
        <v>229</v>
      </c>
      <c r="U235" t="str">
        <f t="shared" si="60"/>
        <v>Karnataka</v>
      </c>
      <c r="V235" t="s">
        <v>230</v>
      </c>
      <c r="W235" t="str">
        <f t="shared" si="61"/>
        <v>Bengaluru</v>
      </c>
      <c r="X235" t="s">
        <v>45</v>
      </c>
      <c r="Y235" t="str">
        <f t="shared" si="62"/>
        <v>Furniture</v>
      </c>
      <c r="Z235" t="s">
        <v>204</v>
      </c>
      <c r="AA235" t="str">
        <f t="shared" si="63"/>
        <v>Bookcases</v>
      </c>
      <c r="AB235" t="s">
        <v>1238</v>
      </c>
      <c r="AC235" t="s">
        <v>4104</v>
      </c>
      <c r="AD235" t="str">
        <f t="shared" si="64"/>
        <v>Unknown</v>
      </c>
      <c r="AE235">
        <v>8</v>
      </c>
      <c r="AF235">
        <v>3904.59</v>
      </c>
      <c r="AG235">
        <v>0</v>
      </c>
      <c r="AH235">
        <v>0</v>
      </c>
      <c r="AI235" t="str">
        <f t="shared" si="65"/>
        <v>Valid</v>
      </c>
      <c r="AJ235">
        <v>31236.720000000001</v>
      </c>
      <c r="AK235">
        <f t="shared" si="66"/>
        <v>31236.720000000001</v>
      </c>
      <c r="AL235">
        <v>26377.7</v>
      </c>
      <c r="AM235">
        <v>4859.0200000000004</v>
      </c>
      <c r="AN235">
        <f t="shared" si="67"/>
        <v>4859.0200000000004</v>
      </c>
      <c r="AO235">
        <f t="shared" si="68"/>
        <v>-26377.7</v>
      </c>
      <c r="AP235" t="s">
        <v>34</v>
      </c>
      <c r="AQ235" t="str">
        <f t="shared" si="69"/>
        <v>Paid</v>
      </c>
      <c r="AR235" t="s">
        <v>35</v>
      </c>
      <c r="AS235" t="str">
        <f t="shared" si="70"/>
        <v>Completed</v>
      </c>
      <c r="AT235" t="str">
        <f t="shared" si="71"/>
        <v>Clean</v>
      </c>
    </row>
    <row r="236" spans="1:46">
      <c r="A236" t="s">
        <v>1239</v>
      </c>
      <c r="B236">
        <f>COUNTIF($D$2:D236,D236)</f>
        <v>2</v>
      </c>
      <c r="C236" t="str">
        <f>IF(COUNTIF($A:$A,A236)=1,
"Unique",
IF(COUNTIFS($A:$A,A236,$N:$N,N236,$AF:$AF,AF236,$AJ:$AJ,AJ236)&gt;1,
"Exact Duplicate",
"Conflicting Duplicate"))</f>
        <v>Unique</v>
      </c>
      <c r="D236" t="s">
        <v>1240</v>
      </c>
      <c r="E236" t="s">
        <v>1241</v>
      </c>
      <c r="F236" s="3">
        <v>45537</v>
      </c>
      <c r="G236" s="2">
        <v>45360</v>
      </c>
      <c r="H236" s="5" t="str">
        <f t="shared" si="54"/>
        <v>September</v>
      </c>
      <c r="I236" s="5">
        <f t="shared" si="55"/>
        <v>2024</v>
      </c>
      <c r="J236" t="str">
        <f>IF(F236="","Missing Date",
IF(ISNUMBER(F236),"Valid","Invalid Date"))</f>
        <v>Valid</v>
      </c>
      <c r="K236" t="str">
        <f t="shared" si="56"/>
        <v>Valid</v>
      </c>
      <c r="L236">
        <f>G236-F236</f>
        <v>-177</v>
      </c>
      <c r="M236" t="s">
        <v>1242</v>
      </c>
      <c r="N236" t="s">
        <v>366</v>
      </c>
      <c r="O236" t="str">
        <f t="shared" si="57"/>
        <v>Kabir Singh</v>
      </c>
      <c r="P236" t="s">
        <v>115</v>
      </c>
      <c r="Q236" t="str">
        <f t="shared" si="58"/>
        <v>Home Office</v>
      </c>
      <c r="R236" t="s">
        <v>27</v>
      </c>
      <c r="S236" t="str">
        <f t="shared" si="59"/>
        <v>North</v>
      </c>
      <c r="T236" t="s">
        <v>506</v>
      </c>
      <c r="U236" t="str">
        <f t="shared" si="60"/>
        <v>Delhi</v>
      </c>
      <c r="V236" t="s">
        <v>507</v>
      </c>
      <c r="W236" t="str">
        <f t="shared" si="61"/>
        <v>New Delhi</v>
      </c>
      <c r="X236" t="s">
        <v>45</v>
      </c>
      <c r="Y236" t="str">
        <f t="shared" si="62"/>
        <v>Furniture</v>
      </c>
      <c r="Z236" t="s">
        <v>65</v>
      </c>
      <c r="AA236" t="str">
        <f t="shared" si="63"/>
        <v>Furnishings</v>
      </c>
      <c r="AB236" t="s">
        <v>1243</v>
      </c>
      <c r="AC236" t="s">
        <v>56</v>
      </c>
      <c r="AD236" t="str">
        <f t="shared" si="64"/>
        <v>First Class</v>
      </c>
      <c r="AE236">
        <v>9</v>
      </c>
      <c r="AF236">
        <v>1353.61</v>
      </c>
      <c r="AG236">
        <v>0.1</v>
      </c>
      <c r="AH236">
        <v>0.1</v>
      </c>
      <c r="AI236" t="str">
        <f t="shared" si="65"/>
        <v>Valid</v>
      </c>
      <c r="AJ236">
        <v>10964.24</v>
      </c>
      <c r="AK236">
        <f t="shared" si="66"/>
        <v>10964.241</v>
      </c>
      <c r="AL236">
        <v>9262.4699999999993</v>
      </c>
      <c r="AM236">
        <v>1701.77</v>
      </c>
      <c r="AN236">
        <f t="shared" si="67"/>
        <v>1701.7710000000006</v>
      </c>
      <c r="AO236">
        <f t="shared" si="68"/>
        <v>-9262.4699999999993</v>
      </c>
      <c r="AP236" t="s">
        <v>34</v>
      </c>
      <c r="AQ236" t="str">
        <f t="shared" si="69"/>
        <v>Paid</v>
      </c>
      <c r="AR236" t="s">
        <v>35</v>
      </c>
      <c r="AS236" t="str">
        <f t="shared" si="70"/>
        <v>Completed</v>
      </c>
      <c r="AT236" t="str">
        <f t="shared" si="71"/>
        <v>Clean</v>
      </c>
    </row>
    <row r="237" spans="1:46">
      <c r="A237" t="s">
        <v>1244</v>
      </c>
      <c r="B237">
        <f>COUNTIF($D$2:D237,D237)</f>
        <v>2</v>
      </c>
      <c r="C237" t="str">
        <f>IF(COUNTIF($A:$A,A237)=1,
"Unique",
IF(COUNTIFS($A:$A,A237,$N:$N,N237,$AF:$AF,AF237,$AJ:$AJ,AJ237)&gt;1,
"Exact Duplicate",
"Conflicting Duplicate"))</f>
        <v>Unique</v>
      </c>
      <c r="D237" t="s">
        <v>1245</v>
      </c>
      <c r="E237" t="s">
        <v>1246</v>
      </c>
      <c r="F237" s="3">
        <v>45598</v>
      </c>
      <c r="G237" s="3">
        <v>45599</v>
      </c>
      <c r="H237" s="5" t="str">
        <f t="shared" si="54"/>
        <v>November</v>
      </c>
      <c r="I237" s="5">
        <f t="shared" si="55"/>
        <v>2024</v>
      </c>
      <c r="J237" t="str">
        <f>IF(F237="","Missing Date",
IF(ISNUMBER(F237),"Valid","Invalid Date"))</f>
        <v>Valid</v>
      </c>
      <c r="K237" t="str">
        <f t="shared" si="56"/>
        <v>Valid</v>
      </c>
      <c r="L237">
        <f>G237-F237</f>
        <v>1</v>
      </c>
      <c r="M237" t="s">
        <v>1247</v>
      </c>
      <c r="N237" t="s">
        <v>148</v>
      </c>
      <c r="O237" t="str">
        <f t="shared" si="57"/>
        <v>Rahul Verma</v>
      </c>
      <c r="P237" t="s">
        <v>41</v>
      </c>
      <c r="Q237" t="str">
        <f t="shared" si="58"/>
        <v>Small Business</v>
      </c>
      <c r="R237" t="s">
        <v>73</v>
      </c>
      <c r="S237" t="str">
        <f t="shared" si="59"/>
        <v>West</v>
      </c>
      <c r="T237" t="s">
        <v>28</v>
      </c>
      <c r="U237" t="str">
        <f t="shared" si="60"/>
        <v>Rajasthan</v>
      </c>
      <c r="V237" t="s">
        <v>135</v>
      </c>
      <c r="W237" t="str">
        <f t="shared" si="61"/>
        <v>Udaipur</v>
      </c>
      <c r="X237" t="s">
        <v>30</v>
      </c>
      <c r="Y237" t="str">
        <f t="shared" si="62"/>
        <v>Office Supplies</v>
      </c>
      <c r="Z237" t="s">
        <v>156</v>
      </c>
      <c r="AA237" t="str">
        <f t="shared" si="63"/>
        <v>Storage</v>
      </c>
      <c r="AB237" t="s">
        <v>1248</v>
      </c>
      <c r="AC237" t="s">
        <v>67</v>
      </c>
      <c r="AD237" t="str">
        <f t="shared" si="64"/>
        <v>Standard Class</v>
      </c>
      <c r="AE237">
        <v>6</v>
      </c>
      <c r="AF237">
        <v>2671.29</v>
      </c>
      <c r="AG237">
        <v>0.05</v>
      </c>
      <c r="AH237">
        <v>0.05</v>
      </c>
      <c r="AI237" t="str">
        <f t="shared" si="65"/>
        <v>Valid</v>
      </c>
      <c r="AJ237">
        <v>15226.35</v>
      </c>
      <c r="AK237">
        <f t="shared" si="66"/>
        <v>15226.352999999999</v>
      </c>
      <c r="AL237">
        <v>11145.28</v>
      </c>
      <c r="AM237">
        <v>4081.07</v>
      </c>
      <c r="AN237">
        <f t="shared" si="67"/>
        <v>4081.0729999999985</v>
      </c>
      <c r="AO237">
        <f t="shared" si="68"/>
        <v>-11145.28</v>
      </c>
      <c r="AP237" t="s">
        <v>34</v>
      </c>
      <c r="AQ237" t="str">
        <f t="shared" si="69"/>
        <v>Paid</v>
      </c>
      <c r="AR237" t="s">
        <v>35</v>
      </c>
      <c r="AS237" t="str">
        <f t="shared" si="70"/>
        <v>Completed</v>
      </c>
      <c r="AT237" t="str">
        <f t="shared" si="71"/>
        <v>Clean</v>
      </c>
    </row>
    <row r="238" spans="1:46">
      <c r="A238" t="s">
        <v>1249</v>
      </c>
      <c r="B238">
        <f>COUNTIF($D$2:D238,D238)</f>
        <v>1</v>
      </c>
      <c r="C238" t="str">
        <f>IF(COUNTIF($A:$A,A238)=1,
"Unique",
IF(COUNTIFS($A:$A,A238,$N:$N,N238,$AF:$AF,AF238,$AJ:$AJ,AJ238)&gt;1,
"Exact Duplicate",
"Conflicting Duplicate"))</f>
        <v>Unique</v>
      </c>
      <c r="D238" t="s">
        <v>1236</v>
      </c>
      <c r="E238" t="s">
        <v>1250</v>
      </c>
      <c r="F238" s="3">
        <v>45579</v>
      </c>
      <c r="G238" s="2">
        <v>45586</v>
      </c>
      <c r="H238" s="5" t="str">
        <f t="shared" si="54"/>
        <v>October</v>
      </c>
      <c r="I238" s="5">
        <f t="shared" si="55"/>
        <v>2024</v>
      </c>
      <c r="J238" t="str">
        <f>IF(F238="","Missing Date",
IF(ISNUMBER(F238),"Valid","Invalid Date"))</f>
        <v>Valid</v>
      </c>
      <c r="K238" t="str">
        <f t="shared" si="56"/>
        <v>Valid</v>
      </c>
      <c r="L238">
        <f>G238-F238</f>
        <v>7</v>
      </c>
      <c r="M238" t="s">
        <v>1251</v>
      </c>
      <c r="N238" t="s">
        <v>142</v>
      </c>
      <c r="O238" t="str">
        <f t="shared" si="57"/>
        <v>Priya Menon</v>
      </c>
      <c r="P238" t="s">
        <v>108</v>
      </c>
      <c r="Q238" t="str">
        <f t="shared" si="58"/>
        <v>Corporate</v>
      </c>
      <c r="R238" t="s">
        <v>27</v>
      </c>
      <c r="S238" t="str">
        <f t="shared" si="59"/>
        <v>North</v>
      </c>
      <c r="T238" t="s">
        <v>174</v>
      </c>
      <c r="U238" t="str">
        <f t="shared" si="60"/>
        <v>Uttar Pradesh</v>
      </c>
      <c r="V238" t="s">
        <v>175</v>
      </c>
      <c r="W238" t="str">
        <f t="shared" si="61"/>
        <v>Noida</v>
      </c>
      <c r="X238" t="s">
        <v>45</v>
      </c>
      <c r="Y238" t="str">
        <f t="shared" si="62"/>
        <v>Furniture</v>
      </c>
      <c r="Z238" t="s">
        <v>204</v>
      </c>
      <c r="AA238" t="str">
        <f t="shared" si="63"/>
        <v>Bookcases</v>
      </c>
      <c r="AB238" t="s">
        <v>1252</v>
      </c>
      <c r="AC238" t="s">
        <v>56</v>
      </c>
      <c r="AD238" t="str">
        <f t="shared" si="64"/>
        <v>First Class</v>
      </c>
      <c r="AE238">
        <v>6</v>
      </c>
      <c r="AF238">
        <v>4062.78</v>
      </c>
      <c r="AG238">
        <v>0</v>
      </c>
      <c r="AH238">
        <v>0</v>
      </c>
      <c r="AI238" t="str">
        <f t="shared" si="65"/>
        <v>Valid</v>
      </c>
      <c r="AJ238">
        <v>24376.68</v>
      </c>
      <c r="AK238">
        <f t="shared" si="66"/>
        <v>24376.68</v>
      </c>
      <c r="AL238">
        <v>18533.39</v>
      </c>
      <c r="AM238">
        <v>5843.29</v>
      </c>
      <c r="AN238">
        <f t="shared" si="67"/>
        <v>5843.2900000000009</v>
      </c>
      <c r="AO238">
        <f t="shared" si="68"/>
        <v>-18533.39</v>
      </c>
      <c r="AP238" t="s">
        <v>34</v>
      </c>
      <c r="AQ238" t="str">
        <f t="shared" si="69"/>
        <v>Paid</v>
      </c>
      <c r="AR238" t="s">
        <v>35</v>
      </c>
      <c r="AS238" t="str">
        <f t="shared" si="70"/>
        <v>Completed</v>
      </c>
      <c r="AT238" t="str">
        <f t="shared" si="71"/>
        <v>Clean</v>
      </c>
    </row>
    <row r="239" spans="1:46">
      <c r="A239" t="s">
        <v>1253</v>
      </c>
      <c r="B239">
        <f>COUNTIF($D$2:D239,D239)</f>
        <v>1</v>
      </c>
      <c r="C239" t="str">
        <f>IF(COUNTIF($A:$A,A239)=1,
"Unique",
IF(COUNTIFS($A:$A,A239,$N:$N,N239,$AF:$AF,AF239,$AJ:$AJ,AJ239)&gt;1,
"Exact Duplicate",
"Conflicting Duplicate"))</f>
        <v>Unique</v>
      </c>
      <c r="D239" t="s">
        <v>1254</v>
      </c>
      <c r="E239" t="s">
        <v>1254</v>
      </c>
      <c r="F239" s="3">
        <v>45531</v>
      </c>
      <c r="G239" s="3">
        <v>45531</v>
      </c>
      <c r="H239" s="5" t="str">
        <f t="shared" si="54"/>
        <v>August</v>
      </c>
      <c r="I239" s="5">
        <f t="shared" si="55"/>
        <v>2024</v>
      </c>
      <c r="J239" t="str">
        <f>IF(F239="","Missing Date",
IF(ISNUMBER(F239),"Valid","Invalid Date"))</f>
        <v>Valid</v>
      </c>
      <c r="K239" t="str">
        <f t="shared" si="56"/>
        <v>Valid</v>
      </c>
      <c r="L239">
        <f>G239-F239</f>
        <v>0</v>
      </c>
      <c r="M239" t="s">
        <v>1255</v>
      </c>
      <c r="N239" t="s">
        <v>40</v>
      </c>
      <c r="O239" t="str">
        <f t="shared" si="57"/>
        <v>Mira Das</v>
      </c>
      <c r="P239" t="s">
        <v>26</v>
      </c>
      <c r="Q239" t="str">
        <f t="shared" si="58"/>
        <v>Consumer</v>
      </c>
      <c r="R239" t="s">
        <v>27</v>
      </c>
      <c r="S239" t="str">
        <f t="shared" si="59"/>
        <v>North</v>
      </c>
      <c r="T239" t="s">
        <v>323</v>
      </c>
      <c r="U239" t="str">
        <f t="shared" si="60"/>
        <v>Haryana</v>
      </c>
      <c r="V239" t="s">
        <v>324</v>
      </c>
      <c r="W239" t="str">
        <f t="shared" si="61"/>
        <v>Gurugram</v>
      </c>
      <c r="X239" t="s">
        <v>86</v>
      </c>
      <c r="Y239" t="str">
        <f t="shared" si="62"/>
        <v>Technology</v>
      </c>
      <c r="Z239" t="s">
        <v>94</v>
      </c>
      <c r="AA239" t="str">
        <f t="shared" si="63"/>
        <v>Copiers</v>
      </c>
      <c r="AB239" t="s">
        <v>1256</v>
      </c>
      <c r="AC239" t="s">
        <v>67</v>
      </c>
      <c r="AD239" t="str">
        <f t="shared" si="64"/>
        <v>Standard Class</v>
      </c>
      <c r="AE239">
        <v>9</v>
      </c>
      <c r="AF239">
        <v>2330.3000000000002</v>
      </c>
      <c r="AG239">
        <v>0</v>
      </c>
      <c r="AH239">
        <v>0</v>
      </c>
      <c r="AI239" t="str">
        <f t="shared" si="65"/>
        <v>Valid</v>
      </c>
      <c r="AJ239">
        <v>20972.7</v>
      </c>
      <c r="AK239">
        <f t="shared" si="66"/>
        <v>20972.7</v>
      </c>
      <c r="AL239">
        <v>13504.88</v>
      </c>
      <c r="AM239">
        <v>7467.82</v>
      </c>
      <c r="AN239">
        <f t="shared" si="67"/>
        <v>7467.8200000000015</v>
      </c>
      <c r="AO239">
        <f t="shared" si="68"/>
        <v>-13504.88</v>
      </c>
      <c r="AP239" t="s">
        <v>34</v>
      </c>
      <c r="AQ239" t="str">
        <f t="shared" si="69"/>
        <v>Paid</v>
      </c>
      <c r="AR239" t="s">
        <v>35</v>
      </c>
      <c r="AS239" t="str">
        <f t="shared" si="70"/>
        <v>Completed</v>
      </c>
      <c r="AT239" t="str">
        <f t="shared" si="71"/>
        <v>Clean</v>
      </c>
    </row>
    <row r="240" spans="1:46">
      <c r="A240" t="s">
        <v>1257</v>
      </c>
      <c r="B240">
        <f>COUNTIF($D$2:D240,D240)</f>
        <v>1</v>
      </c>
      <c r="C240" t="str">
        <f>IF(COUNTIF($A:$A,A240)=1,
"Unique",
IF(COUNTIFS($A:$A,A240,$N:$N,N240,$AF:$AF,AF240,$AJ:$AJ,AJ240)&gt;1,
"Exact Duplicate",
"Conflicting Duplicate"))</f>
        <v>Unique</v>
      </c>
      <c r="D240" t="s">
        <v>1258</v>
      </c>
      <c r="E240" t="s">
        <v>1259</v>
      </c>
      <c r="F240" s="3">
        <v>45303</v>
      </c>
      <c r="G240" s="3">
        <v>45308</v>
      </c>
      <c r="H240" s="5" t="str">
        <f t="shared" si="54"/>
        <v>January</v>
      </c>
      <c r="I240" s="5">
        <f t="shared" si="55"/>
        <v>2024</v>
      </c>
      <c r="J240" t="str">
        <f>IF(F240="","Missing Date",
IF(ISNUMBER(F240),"Valid","Invalid Date"))</f>
        <v>Valid</v>
      </c>
      <c r="K240" t="str">
        <f t="shared" si="56"/>
        <v>Valid</v>
      </c>
      <c r="L240">
        <f>G240-F240</f>
        <v>5</v>
      </c>
      <c r="M240" t="s">
        <v>1260</v>
      </c>
      <c r="N240" t="s">
        <v>61</v>
      </c>
      <c r="O240" t="str">
        <f t="shared" si="57"/>
        <v>Arjun Bose</v>
      </c>
      <c r="P240" t="s">
        <v>26</v>
      </c>
      <c r="Q240" t="str">
        <f t="shared" si="58"/>
        <v>Consumer</v>
      </c>
      <c r="R240" t="s">
        <v>62</v>
      </c>
      <c r="S240" t="str">
        <f t="shared" si="59"/>
        <v>South</v>
      </c>
      <c r="T240" t="s">
        <v>100</v>
      </c>
      <c r="U240" t="str">
        <f t="shared" si="60"/>
        <v>Andhra Pradesh</v>
      </c>
      <c r="V240" t="s">
        <v>101</v>
      </c>
      <c r="W240" t="str">
        <f t="shared" si="61"/>
        <v>Vijayawada</v>
      </c>
      <c r="X240" t="s">
        <v>30</v>
      </c>
      <c r="Y240" t="str">
        <f t="shared" si="62"/>
        <v>Office Supplies</v>
      </c>
      <c r="Z240" t="s">
        <v>156</v>
      </c>
      <c r="AA240" t="str">
        <f t="shared" si="63"/>
        <v>Storage</v>
      </c>
      <c r="AB240" t="s">
        <v>1261</v>
      </c>
      <c r="AC240" t="s">
        <v>56</v>
      </c>
      <c r="AD240" t="str">
        <f t="shared" si="64"/>
        <v>First Class</v>
      </c>
      <c r="AE240">
        <v>7</v>
      </c>
      <c r="AF240">
        <v>4005.05</v>
      </c>
      <c r="AG240">
        <v>0.55000000000000004</v>
      </c>
      <c r="AH240">
        <v>0.55000000000000004</v>
      </c>
      <c r="AI240" t="str">
        <f t="shared" si="65"/>
        <v>Valid</v>
      </c>
      <c r="AJ240">
        <v>26633.58</v>
      </c>
      <c r="AK240">
        <f t="shared" si="66"/>
        <v>12615.907499999999</v>
      </c>
      <c r="AL240">
        <v>18838.75</v>
      </c>
      <c r="AM240">
        <v>7794.83</v>
      </c>
      <c r="AN240">
        <f t="shared" si="67"/>
        <v>-6222.8425000000007</v>
      </c>
      <c r="AO240">
        <f t="shared" si="68"/>
        <v>-18838.75</v>
      </c>
      <c r="AP240" t="s">
        <v>34</v>
      </c>
      <c r="AQ240" t="str">
        <f t="shared" si="69"/>
        <v>Paid</v>
      </c>
      <c r="AR240" t="s">
        <v>35</v>
      </c>
      <c r="AS240" t="str">
        <f t="shared" si="70"/>
        <v>Completed</v>
      </c>
      <c r="AT240" t="str">
        <f t="shared" si="71"/>
        <v>Clean</v>
      </c>
    </row>
    <row r="241" spans="1:46">
      <c r="A241" t="s">
        <v>1262</v>
      </c>
      <c r="B241">
        <f>COUNTIF($D$2:D241,D241)</f>
        <v>1</v>
      </c>
      <c r="C241" t="str">
        <f>IF(COUNTIF($A:$A,A241)=1,
"Unique",
IF(COUNTIFS($A:$A,A241,$N:$N,N241,$AF:$AF,AF241,$AJ:$AJ,AJ241)&gt;1,
"Exact Duplicate",
"Conflicting Duplicate"))</f>
        <v>Unique</v>
      </c>
      <c r="D241" t="s">
        <v>1263</v>
      </c>
      <c r="E241" t="s">
        <v>1134</v>
      </c>
      <c r="F241" s="3">
        <v>45556</v>
      </c>
      <c r="G241" s="3">
        <v>45556</v>
      </c>
      <c r="H241" s="5" t="str">
        <f t="shared" si="54"/>
        <v>September</v>
      </c>
      <c r="I241" s="5">
        <f t="shared" si="55"/>
        <v>2024</v>
      </c>
      <c r="J241" t="str">
        <f>IF(F241="","Missing Date",
IF(ISNUMBER(F241),"Valid","Invalid Date"))</f>
        <v>Valid</v>
      </c>
      <c r="K241" t="str">
        <f t="shared" si="56"/>
        <v>Valid</v>
      </c>
      <c r="L241">
        <f>G241-F241</f>
        <v>0</v>
      </c>
      <c r="M241" t="s">
        <v>1264</v>
      </c>
      <c r="N241" t="s">
        <v>366</v>
      </c>
      <c r="O241" t="str">
        <f t="shared" si="57"/>
        <v>Kabir Singh</v>
      </c>
      <c r="P241" t="s">
        <v>108</v>
      </c>
      <c r="Q241" t="str">
        <f t="shared" si="58"/>
        <v>Corporate</v>
      </c>
      <c r="R241" t="s">
        <v>62</v>
      </c>
      <c r="S241" t="str">
        <f t="shared" si="59"/>
        <v>South</v>
      </c>
      <c r="T241" t="s">
        <v>229</v>
      </c>
      <c r="U241" t="str">
        <f t="shared" si="60"/>
        <v>Karnataka</v>
      </c>
      <c r="V241" t="s">
        <v>230</v>
      </c>
      <c r="W241" t="str">
        <f t="shared" si="61"/>
        <v>Bengaluru</v>
      </c>
      <c r="X241" t="s">
        <v>86</v>
      </c>
      <c r="Y241" t="str">
        <f t="shared" si="62"/>
        <v>Technology</v>
      </c>
      <c r="Z241" t="s">
        <v>382</v>
      </c>
      <c r="AA241" t="str">
        <f t="shared" si="63"/>
        <v>Machines</v>
      </c>
      <c r="AB241" t="s">
        <v>1265</v>
      </c>
      <c r="AC241" t="s">
        <v>56</v>
      </c>
      <c r="AD241" t="str">
        <f t="shared" si="64"/>
        <v>First Class</v>
      </c>
      <c r="AE241">
        <v>2</v>
      </c>
      <c r="AF241">
        <v>1960.06</v>
      </c>
      <c r="AG241">
        <v>0.2</v>
      </c>
      <c r="AH241">
        <v>0.2</v>
      </c>
      <c r="AI241" t="str">
        <f t="shared" si="65"/>
        <v>Valid</v>
      </c>
      <c r="AJ241">
        <v>3136.1</v>
      </c>
      <c r="AK241">
        <f t="shared" si="66"/>
        <v>3136.096</v>
      </c>
      <c r="AL241">
        <v>2279.4899999999998</v>
      </c>
      <c r="AM241">
        <v>856.61</v>
      </c>
      <c r="AN241">
        <f t="shared" si="67"/>
        <v>856.60600000000022</v>
      </c>
      <c r="AO241">
        <f t="shared" si="68"/>
        <v>-2279.4899999999998</v>
      </c>
      <c r="AP241" t="s">
        <v>34</v>
      </c>
      <c r="AQ241" t="str">
        <f t="shared" si="69"/>
        <v>Paid</v>
      </c>
      <c r="AR241" t="s">
        <v>35</v>
      </c>
      <c r="AS241" t="str">
        <f t="shared" si="70"/>
        <v>Completed</v>
      </c>
      <c r="AT241" t="str">
        <f t="shared" si="71"/>
        <v>Clean</v>
      </c>
    </row>
    <row r="242" spans="1:46">
      <c r="A242" t="s">
        <v>1266</v>
      </c>
      <c r="B242">
        <f>COUNTIF($D$2:D242,D242)</f>
        <v>1</v>
      </c>
      <c r="C242" t="str">
        <f>IF(COUNTIF($A:$A,A242)=1,
"Unique",
IF(COUNTIFS($A:$A,A242,$N:$N,N242,$AF:$AF,AF242,$AJ:$AJ,AJ242)&gt;1,
"Exact Duplicate",
"Conflicting Duplicate"))</f>
        <v>Unique</v>
      </c>
      <c r="D242" t="s">
        <v>1267</v>
      </c>
      <c r="E242" t="s">
        <v>824</v>
      </c>
      <c r="F242" s="2">
        <v>45643</v>
      </c>
      <c r="G242" s="3">
        <v>45649</v>
      </c>
      <c r="H242" s="5" t="str">
        <f t="shared" si="54"/>
        <v>December</v>
      </c>
      <c r="I242" s="5">
        <f t="shared" si="55"/>
        <v>2024</v>
      </c>
      <c r="J242" t="str">
        <f>IF(F242="","Missing Date",
IF(ISNUMBER(F242),"Valid","Invalid Date"))</f>
        <v>Valid</v>
      </c>
      <c r="K242" t="str">
        <f t="shared" si="56"/>
        <v>Valid</v>
      </c>
      <c r="L242">
        <f>G242-F242</f>
        <v>6</v>
      </c>
      <c r="M242" t="s">
        <v>1268</v>
      </c>
      <c r="N242" t="s">
        <v>162</v>
      </c>
      <c r="O242" t="str">
        <f t="shared" si="57"/>
        <v>Aarav Sharma</v>
      </c>
      <c r="P242" t="s">
        <v>108</v>
      </c>
      <c r="Q242" t="str">
        <f t="shared" si="58"/>
        <v>Corporate</v>
      </c>
      <c r="R242" t="s">
        <v>62</v>
      </c>
      <c r="S242" t="str">
        <f t="shared" si="59"/>
        <v>South</v>
      </c>
      <c r="T242" t="s">
        <v>63</v>
      </c>
      <c r="U242" t="str">
        <f t="shared" si="60"/>
        <v>Telangana</v>
      </c>
      <c r="V242" t="s">
        <v>64</v>
      </c>
      <c r="W242" t="str">
        <f t="shared" si="61"/>
        <v>Hyderabad</v>
      </c>
      <c r="X242" t="s">
        <v>30</v>
      </c>
      <c r="Y242" t="str">
        <f t="shared" si="62"/>
        <v>Office Supplies</v>
      </c>
      <c r="Z242" t="s">
        <v>198</v>
      </c>
      <c r="AA242" t="str">
        <f t="shared" si="63"/>
        <v>Binders</v>
      </c>
      <c r="AB242" t="s">
        <v>1269</v>
      </c>
      <c r="AC242" t="s">
        <v>56</v>
      </c>
      <c r="AD242" t="str">
        <f t="shared" si="64"/>
        <v>First Class</v>
      </c>
      <c r="AE242">
        <v>9</v>
      </c>
      <c r="AF242">
        <v>2315.1</v>
      </c>
      <c r="AG242">
        <v>0</v>
      </c>
      <c r="AH242">
        <v>0</v>
      </c>
      <c r="AI242" t="str">
        <f t="shared" si="65"/>
        <v>Valid</v>
      </c>
      <c r="AJ242">
        <v>20835.900000000001</v>
      </c>
      <c r="AK242">
        <f t="shared" si="66"/>
        <v>20835.899999999998</v>
      </c>
      <c r="AL242">
        <v>13928.19</v>
      </c>
      <c r="AM242">
        <v>6907.71</v>
      </c>
      <c r="AN242">
        <f t="shared" si="67"/>
        <v>6907.7099999999973</v>
      </c>
      <c r="AO242">
        <f t="shared" si="68"/>
        <v>-13928.19</v>
      </c>
      <c r="AP242" t="s">
        <v>34</v>
      </c>
      <c r="AQ242" t="str">
        <f t="shared" si="69"/>
        <v>Paid</v>
      </c>
      <c r="AR242" t="s">
        <v>35</v>
      </c>
      <c r="AS242" t="str">
        <f t="shared" si="70"/>
        <v>Completed</v>
      </c>
      <c r="AT242" t="str">
        <f t="shared" si="71"/>
        <v>Clean</v>
      </c>
    </row>
    <row r="243" spans="1:46">
      <c r="A243" t="s">
        <v>1270</v>
      </c>
      <c r="B243">
        <f>COUNTIF($D$2:D243,D243)</f>
        <v>1</v>
      </c>
      <c r="C243" t="str">
        <f>IF(COUNTIF($A:$A,A243)=1,
"Unique",
IF(COUNTIFS($A:$A,A243,$N:$N,N243,$AF:$AF,AF243,$AJ:$AJ,AJ243)&gt;1,
"Exact Duplicate",
"Conflicting Duplicate"))</f>
        <v>Unique</v>
      </c>
      <c r="D243" t="s">
        <v>1271</v>
      </c>
      <c r="E243" t="s">
        <v>1272</v>
      </c>
      <c r="F243" s="3">
        <v>45844</v>
      </c>
      <c r="G243" s="3">
        <v>45815</v>
      </c>
      <c r="H243" s="5" t="str">
        <f t="shared" si="54"/>
        <v>July</v>
      </c>
      <c r="I243" s="5">
        <f t="shared" si="55"/>
        <v>2025</v>
      </c>
      <c r="J243" t="str">
        <f>IF(F243="","Missing Date",
IF(ISNUMBER(F243),"Valid","Invalid Date"))</f>
        <v>Valid</v>
      </c>
      <c r="K243" t="str">
        <f t="shared" si="56"/>
        <v>Valid</v>
      </c>
      <c r="L243">
        <f>G243-F243</f>
        <v>-29</v>
      </c>
      <c r="M243" t="s">
        <v>1273</v>
      </c>
      <c r="N243" t="s">
        <v>168</v>
      </c>
      <c r="O243" t="str">
        <f t="shared" si="57"/>
        <v>Sneha Kapoor</v>
      </c>
      <c r="P243" t="s">
        <v>108</v>
      </c>
      <c r="Q243" t="str">
        <f t="shared" si="58"/>
        <v>Corporate</v>
      </c>
      <c r="R243" t="s">
        <v>27</v>
      </c>
      <c r="S243" t="str">
        <f t="shared" si="59"/>
        <v>North</v>
      </c>
      <c r="T243" t="s">
        <v>323</v>
      </c>
      <c r="U243" t="str">
        <f t="shared" si="60"/>
        <v>Haryana</v>
      </c>
      <c r="V243" t="s">
        <v>324</v>
      </c>
      <c r="W243" t="str">
        <f t="shared" si="61"/>
        <v>Gurugram</v>
      </c>
      <c r="X243" t="s">
        <v>30</v>
      </c>
      <c r="Y243" t="str">
        <f t="shared" si="62"/>
        <v>Office Supplies</v>
      </c>
      <c r="Z243" t="s">
        <v>156</v>
      </c>
      <c r="AA243" t="str">
        <f t="shared" si="63"/>
        <v>Storage</v>
      </c>
      <c r="AB243" t="s">
        <v>1274</v>
      </c>
      <c r="AC243" t="s">
        <v>67</v>
      </c>
      <c r="AD243" t="str">
        <f t="shared" si="64"/>
        <v>Standard Class</v>
      </c>
      <c r="AE243">
        <v>1</v>
      </c>
      <c r="AF243">
        <v>1617.2</v>
      </c>
      <c r="AG243">
        <v>0.25</v>
      </c>
      <c r="AH243">
        <v>0.25</v>
      </c>
      <c r="AI243" t="str">
        <f t="shared" si="65"/>
        <v>Valid</v>
      </c>
      <c r="AJ243">
        <v>1212.9000000000001</v>
      </c>
      <c r="AK243">
        <f t="shared" si="66"/>
        <v>1212.9000000000001</v>
      </c>
      <c r="AL243">
        <v>690.52</v>
      </c>
      <c r="AM243">
        <v>522.38</v>
      </c>
      <c r="AN243">
        <f t="shared" si="67"/>
        <v>522.38000000000011</v>
      </c>
      <c r="AO243">
        <f t="shared" si="68"/>
        <v>-690.52</v>
      </c>
      <c r="AP243" t="s">
        <v>137</v>
      </c>
      <c r="AQ243" t="str">
        <f t="shared" si="69"/>
        <v>Pending</v>
      </c>
      <c r="AR243" t="s">
        <v>125</v>
      </c>
      <c r="AS243" t="str">
        <f t="shared" si="70"/>
        <v>Returned</v>
      </c>
      <c r="AT243" t="str">
        <f t="shared" si="71"/>
        <v>Clean</v>
      </c>
    </row>
    <row r="244" spans="1:46">
      <c r="A244" t="s">
        <v>1275</v>
      </c>
      <c r="B244">
        <f>COUNTIF($D$2:D244,D244)</f>
        <v>1</v>
      </c>
      <c r="C244" t="str">
        <f>IF(COUNTIF($A:$A,A244)=1,
"Unique",
IF(COUNTIFS($A:$A,A244,$N:$N,N244,$AF:$AF,AF244,$AJ:$AJ,AJ244)&gt;1,
"Exact Duplicate",
"Conflicting Duplicate"))</f>
        <v>Unique</v>
      </c>
      <c r="D244" t="s">
        <v>1276</v>
      </c>
      <c r="E244" t="s">
        <v>1277</v>
      </c>
      <c r="F244" s="2">
        <v>45840</v>
      </c>
      <c r="G244" s="3">
        <v>45840</v>
      </c>
      <c r="H244" s="5" t="str">
        <f t="shared" si="54"/>
        <v>July</v>
      </c>
      <c r="I244" s="5">
        <f t="shared" si="55"/>
        <v>2025</v>
      </c>
      <c r="J244" t="str">
        <f>IF(F244="","Missing Date",
IF(ISNUMBER(F244),"Valid","Invalid Date"))</f>
        <v>Valid</v>
      </c>
      <c r="K244" t="str">
        <f t="shared" si="56"/>
        <v>Valid</v>
      </c>
      <c r="L244">
        <f>G244-F244</f>
        <v>0</v>
      </c>
      <c r="M244" t="s">
        <v>1278</v>
      </c>
      <c r="N244" t="s">
        <v>61</v>
      </c>
      <c r="O244" t="str">
        <f t="shared" si="57"/>
        <v>Arjun Bose</v>
      </c>
      <c r="P244" t="s">
        <v>26</v>
      </c>
      <c r="Q244" t="str">
        <f t="shared" si="58"/>
        <v>Consumer</v>
      </c>
      <c r="R244" t="s">
        <v>27</v>
      </c>
      <c r="S244" t="str">
        <f t="shared" si="59"/>
        <v>North</v>
      </c>
      <c r="T244" t="s">
        <v>174</v>
      </c>
      <c r="U244" t="str">
        <f t="shared" si="60"/>
        <v>Uttar Pradesh</v>
      </c>
      <c r="V244" t="s">
        <v>175</v>
      </c>
      <c r="W244" t="str">
        <f t="shared" si="61"/>
        <v>Noida</v>
      </c>
      <c r="X244" t="s">
        <v>30</v>
      </c>
      <c r="Y244" t="str">
        <f t="shared" si="62"/>
        <v>Office Supplies</v>
      </c>
      <c r="Z244" t="s">
        <v>54</v>
      </c>
      <c r="AA244" t="str">
        <f t="shared" si="63"/>
        <v>Art</v>
      </c>
      <c r="AB244" t="s">
        <v>1279</v>
      </c>
      <c r="AC244" t="s">
        <v>33</v>
      </c>
      <c r="AD244" t="str">
        <f t="shared" si="64"/>
        <v>Second Class</v>
      </c>
      <c r="AE244">
        <v>3</v>
      </c>
      <c r="AF244">
        <v>1999.24</v>
      </c>
      <c r="AG244">
        <v>0.05</v>
      </c>
      <c r="AH244">
        <v>0.05</v>
      </c>
      <c r="AI244" t="str">
        <f t="shared" si="65"/>
        <v>Valid</v>
      </c>
      <c r="AJ244">
        <v>5697.83</v>
      </c>
      <c r="AK244">
        <f t="shared" si="66"/>
        <v>5697.8339999999998</v>
      </c>
      <c r="AL244">
        <v>4251.5</v>
      </c>
      <c r="AM244">
        <v>1446.33</v>
      </c>
      <c r="AN244">
        <f t="shared" si="67"/>
        <v>1446.3339999999998</v>
      </c>
      <c r="AO244">
        <f t="shared" si="68"/>
        <v>-4251.5</v>
      </c>
      <c r="AP244" t="s">
        <v>34</v>
      </c>
      <c r="AQ244" t="str">
        <f t="shared" si="69"/>
        <v>Paid</v>
      </c>
      <c r="AR244" t="s">
        <v>35</v>
      </c>
      <c r="AS244" t="str">
        <f t="shared" si="70"/>
        <v>Completed</v>
      </c>
      <c r="AT244" t="str">
        <f t="shared" si="71"/>
        <v>Clean</v>
      </c>
    </row>
    <row r="245" spans="1:46">
      <c r="A245" t="s">
        <v>1280</v>
      </c>
      <c r="B245">
        <f>COUNTIF($D$2:D245,D245)</f>
        <v>2</v>
      </c>
      <c r="C245" t="str">
        <f>IF(COUNTIF($A:$A,A245)=1,
"Unique",
IF(COUNTIFS($A:$A,A245,$N:$N,N245,$AF:$AF,AF245,$AJ:$AJ,AJ245)&gt;1,
"Exact Duplicate",
"Conflicting Duplicate"))</f>
        <v>Unique</v>
      </c>
      <c r="D245" t="s">
        <v>283</v>
      </c>
      <c r="E245" t="s">
        <v>1281</v>
      </c>
      <c r="F245" s="3">
        <v>45867</v>
      </c>
      <c r="G245" s="2">
        <v>45696</v>
      </c>
      <c r="H245" s="5" t="str">
        <f t="shared" si="54"/>
        <v>July</v>
      </c>
      <c r="I245" s="5">
        <f t="shared" si="55"/>
        <v>2025</v>
      </c>
      <c r="J245" t="str">
        <f>IF(F245="","Missing Date",
IF(ISNUMBER(F245),"Valid","Invalid Date"))</f>
        <v>Valid</v>
      </c>
      <c r="K245" t="str">
        <f t="shared" si="56"/>
        <v>Valid</v>
      </c>
      <c r="L245">
        <f>G245-F245</f>
        <v>-171</v>
      </c>
      <c r="M245" t="s">
        <v>1282</v>
      </c>
      <c r="N245" t="s">
        <v>168</v>
      </c>
      <c r="O245" t="str">
        <f t="shared" si="57"/>
        <v>Sneha Kapoor</v>
      </c>
      <c r="P245" t="s">
        <v>41</v>
      </c>
      <c r="Q245" t="str">
        <f t="shared" si="58"/>
        <v>Small Business</v>
      </c>
      <c r="R245" t="s">
        <v>4104</v>
      </c>
      <c r="S245" t="s">
        <v>4104</v>
      </c>
      <c r="T245" t="s">
        <v>84</v>
      </c>
      <c r="U245" t="str">
        <f t="shared" si="60"/>
        <v>Madhya Pradesh</v>
      </c>
      <c r="V245" t="s">
        <v>85</v>
      </c>
      <c r="W245" t="str">
        <f t="shared" si="61"/>
        <v>Indore</v>
      </c>
      <c r="X245" t="s">
        <v>86</v>
      </c>
      <c r="Y245" t="str">
        <f t="shared" si="62"/>
        <v>Technology</v>
      </c>
      <c r="Z245" t="s">
        <v>87</v>
      </c>
      <c r="AA245" t="str">
        <f t="shared" si="63"/>
        <v>Accessories</v>
      </c>
      <c r="AB245" t="s">
        <v>1283</v>
      </c>
      <c r="AC245" t="s">
        <v>56</v>
      </c>
      <c r="AD245" t="str">
        <f t="shared" si="64"/>
        <v>First Class</v>
      </c>
      <c r="AE245">
        <v>1</v>
      </c>
      <c r="AF245">
        <v>4499.46</v>
      </c>
      <c r="AG245">
        <v>0.1</v>
      </c>
      <c r="AH245">
        <v>0.1</v>
      </c>
      <c r="AI245" t="str">
        <f t="shared" si="65"/>
        <v>Valid</v>
      </c>
      <c r="AJ245">
        <v>4049.51</v>
      </c>
      <c r="AK245">
        <f t="shared" si="66"/>
        <v>4049.5140000000001</v>
      </c>
      <c r="AL245">
        <v>2509.1999999999998</v>
      </c>
      <c r="AM245">
        <v>1540.31</v>
      </c>
      <c r="AN245">
        <f t="shared" si="67"/>
        <v>1540.3140000000003</v>
      </c>
      <c r="AO245">
        <f t="shared" si="68"/>
        <v>-2509.1999999999998</v>
      </c>
      <c r="AP245" t="s">
        <v>34</v>
      </c>
      <c r="AQ245" t="str">
        <f t="shared" si="69"/>
        <v>Paid</v>
      </c>
      <c r="AR245" t="s">
        <v>1026</v>
      </c>
      <c r="AS245" t="str">
        <f t="shared" si="70"/>
        <v>Completed</v>
      </c>
      <c r="AT245" t="str">
        <f t="shared" si="71"/>
        <v>Clean</v>
      </c>
    </row>
    <row r="246" spans="1:46">
      <c r="A246" t="s">
        <v>1284</v>
      </c>
      <c r="B246">
        <f>COUNTIF($D$2:D246,D246)</f>
        <v>1</v>
      </c>
      <c r="C246" t="str">
        <f>IF(COUNTIF($A:$A,A246)=1,
"Unique",
IF(COUNTIFS($A:$A,A246,$N:$N,N246,$AF:$AF,AF246,$AJ:$AJ,AJ246)&gt;1,
"Exact Duplicate",
"Conflicting Duplicate"))</f>
        <v>Unique</v>
      </c>
      <c r="D246" t="s">
        <v>636</v>
      </c>
      <c r="E246" t="s">
        <v>1285</v>
      </c>
      <c r="F246" s="3">
        <v>45527</v>
      </c>
      <c r="G246" s="3">
        <v>45528</v>
      </c>
      <c r="H246" s="5" t="str">
        <f t="shared" si="54"/>
        <v>August</v>
      </c>
      <c r="I246" s="5">
        <f t="shared" si="55"/>
        <v>2024</v>
      </c>
      <c r="J246" t="str">
        <f>IF(F246="","Missing Date",
IF(ISNUMBER(F246),"Valid","Invalid Date"))</f>
        <v>Valid</v>
      </c>
      <c r="K246" t="str">
        <f t="shared" si="56"/>
        <v>Valid</v>
      </c>
      <c r="L246">
        <f>G246-F246</f>
        <v>1</v>
      </c>
      <c r="M246" t="s">
        <v>1286</v>
      </c>
      <c r="N246" t="s">
        <v>93</v>
      </c>
      <c r="O246" t="str">
        <f t="shared" si="57"/>
        <v>Neha Gupta</v>
      </c>
      <c r="P246" t="s">
        <v>26</v>
      </c>
      <c r="Q246" t="str">
        <f t="shared" si="58"/>
        <v>Consumer</v>
      </c>
      <c r="R246" t="s">
        <v>62</v>
      </c>
      <c r="S246" t="str">
        <f t="shared" si="59"/>
        <v>South</v>
      </c>
      <c r="T246" t="s">
        <v>63</v>
      </c>
      <c r="U246" t="str">
        <f t="shared" si="60"/>
        <v>Telangana</v>
      </c>
      <c r="V246" t="s">
        <v>64</v>
      </c>
      <c r="W246" t="str">
        <f t="shared" si="61"/>
        <v>Hyderabad</v>
      </c>
      <c r="X246" t="s">
        <v>45</v>
      </c>
      <c r="Y246" t="str">
        <f t="shared" si="62"/>
        <v>Furniture</v>
      </c>
      <c r="Z246" t="s">
        <v>204</v>
      </c>
      <c r="AA246" t="str">
        <f t="shared" si="63"/>
        <v>Bookcases</v>
      </c>
      <c r="AB246" t="s">
        <v>1287</v>
      </c>
      <c r="AC246" t="s">
        <v>48</v>
      </c>
      <c r="AD246" t="str">
        <f t="shared" si="64"/>
        <v>Same Day</v>
      </c>
      <c r="AE246">
        <v>6</v>
      </c>
      <c r="AF246">
        <v>1021.89</v>
      </c>
      <c r="AG246">
        <v>0</v>
      </c>
      <c r="AH246">
        <v>0</v>
      </c>
      <c r="AI246" t="str">
        <f t="shared" si="65"/>
        <v>Valid</v>
      </c>
      <c r="AJ246">
        <v>6131.34</v>
      </c>
      <c r="AK246">
        <f t="shared" si="66"/>
        <v>6131.34</v>
      </c>
      <c r="AL246">
        <v>4060.88</v>
      </c>
      <c r="AM246">
        <v>2070.46</v>
      </c>
      <c r="AN246">
        <f t="shared" si="67"/>
        <v>2070.46</v>
      </c>
      <c r="AO246">
        <f t="shared" si="68"/>
        <v>-4060.88</v>
      </c>
      <c r="AP246" t="s">
        <v>34</v>
      </c>
      <c r="AQ246" t="str">
        <f t="shared" si="69"/>
        <v>Paid</v>
      </c>
      <c r="AR246" t="s">
        <v>35</v>
      </c>
      <c r="AS246" t="str">
        <f t="shared" si="70"/>
        <v>Completed</v>
      </c>
      <c r="AT246" t="str">
        <f t="shared" si="71"/>
        <v>Clean</v>
      </c>
    </row>
    <row r="247" spans="1:46">
      <c r="A247" t="s">
        <v>1288</v>
      </c>
      <c r="B247">
        <f>COUNTIF($D$2:D247,D247)</f>
        <v>2</v>
      </c>
      <c r="C247" t="str">
        <f>IF(COUNTIF($A:$A,A247)=1,
"Unique",
IF(COUNTIFS($A:$A,A247,$N:$N,N247,$AF:$AF,AF247,$AJ:$AJ,AJ247)&gt;1,
"Exact Duplicate",
"Conflicting Duplicate"))</f>
        <v>Unique</v>
      </c>
      <c r="D247" t="s">
        <v>644</v>
      </c>
      <c r="E247" t="s">
        <v>872</v>
      </c>
      <c r="F247" s="3">
        <v>45583</v>
      </c>
      <c r="G247" s="3">
        <v>45589</v>
      </c>
      <c r="H247" s="5" t="str">
        <f t="shared" si="54"/>
        <v>October</v>
      </c>
      <c r="I247" s="5">
        <f t="shared" si="55"/>
        <v>2024</v>
      </c>
      <c r="J247" t="str">
        <f>IF(F247="","Missing Date",
IF(ISNUMBER(F247),"Valid","Invalid Date"))</f>
        <v>Valid</v>
      </c>
      <c r="K247" t="str">
        <f t="shared" si="56"/>
        <v>Valid</v>
      </c>
      <c r="L247">
        <f>G247-F247</f>
        <v>6</v>
      </c>
      <c r="M247" t="s">
        <v>1289</v>
      </c>
      <c r="N247" t="s">
        <v>93</v>
      </c>
      <c r="O247" t="str">
        <f t="shared" si="57"/>
        <v>Neha Gupta</v>
      </c>
      <c r="P247" t="s">
        <v>115</v>
      </c>
      <c r="Q247" t="str">
        <f t="shared" si="58"/>
        <v>Home Office</v>
      </c>
      <c r="R247" t="s">
        <v>62</v>
      </c>
      <c r="S247" t="str">
        <f t="shared" si="59"/>
        <v>South</v>
      </c>
      <c r="T247" t="s">
        <v>242</v>
      </c>
      <c r="U247" t="str">
        <f t="shared" si="60"/>
        <v>Kerala</v>
      </c>
      <c r="V247" t="s">
        <v>243</v>
      </c>
      <c r="W247" t="str">
        <f t="shared" si="61"/>
        <v>Kochi</v>
      </c>
      <c r="X247" t="s">
        <v>1290</v>
      </c>
      <c r="Y247" t="str">
        <f t="shared" si="62"/>
        <v>Furniture</v>
      </c>
      <c r="Z247" t="s">
        <v>76</v>
      </c>
      <c r="AA247" t="str">
        <f t="shared" si="63"/>
        <v>Chairs</v>
      </c>
      <c r="AB247" t="s">
        <v>1291</v>
      </c>
      <c r="AC247" t="s">
        <v>33</v>
      </c>
      <c r="AD247" t="str">
        <f t="shared" si="64"/>
        <v>Second Class</v>
      </c>
      <c r="AE247">
        <v>3</v>
      </c>
      <c r="AF247">
        <v>3275.93</v>
      </c>
      <c r="AG247">
        <v>0</v>
      </c>
      <c r="AH247">
        <v>0</v>
      </c>
      <c r="AI247" t="str">
        <f t="shared" si="65"/>
        <v>Valid</v>
      </c>
      <c r="AJ247">
        <v>9827.7900000000009</v>
      </c>
      <c r="AK247">
        <f t="shared" si="66"/>
        <v>9827.7899999999991</v>
      </c>
      <c r="AL247">
        <v>5478.28</v>
      </c>
      <c r="AM247">
        <v>4349.51</v>
      </c>
      <c r="AN247">
        <f t="shared" si="67"/>
        <v>4349.5099999999993</v>
      </c>
      <c r="AO247">
        <f t="shared" si="68"/>
        <v>-5478.28</v>
      </c>
      <c r="AP247" t="s">
        <v>34</v>
      </c>
      <c r="AQ247" t="str">
        <f t="shared" si="69"/>
        <v>Paid</v>
      </c>
      <c r="AR247" t="s">
        <v>35</v>
      </c>
      <c r="AS247" t="str">
        <f t="shared" si="70"/>
        <v>Completed</v>
      </c>
      <c r="AT247" t="str">
        <f t="shared" si="71"/>
        <v>Clean</v>
      </c>
    </row>
    <row r="248" spans="1:46">
      <c r="A248" t="s">
        <v>1292</v>
      </c>
      <c r="B248">
        <f>COUNTIF($D$2:D248,D248)</f>
        <v>1</v>
      </c>
      <c r="C248" t="str">
        <f>IF(COUNTIF($A:$A,A248)=1,
"Unique",
IF(COUNTIFS($A:$A,A248,$N:$N,N248,$AF:$AF,AF248,$AJ:$AJ,AJ248)&gt;1,
"Exact Duplicate",
"Conflicting Duplicate"))</f>
        <v>Unique</v>
      </c>
      <c r="D248" t="s">
        <v>1293</v>
      </c>
      <c r="E248" t="s">
        <v>1294</v>
      </c>
      <c r="F248" s="2">
        <v>45387</v>
      </c>
      <c r="G248" s="2">
        <v>45540</v>
      </c>
      <c r="H248" s="5" t="str">
        <f t="shared" si="54"/>
        <v>April</v>
      </c>
      <c r="I248" s="5">
        <f t="shared" si="55"/>
        <v>2024</v>
      </c>
      <c r="J248" t="str">
        <f>IF(F248="","Missing Date",
IF(ISNUMBER(F248),"Valid","Invalid Date"))</f>
        <v>Valid</v>
      </c>
      <c r="K248" t="str">
        <f t="shared" si="56"/>
        <v>Valid</v>
      </c>
      <c r="L248">
        <f>G248-F248</f>
        <v>153</v>
      </c>
      <c r="M248" t="s">
        <v>1295</v>
      </c>
      <c r="N248" t="s">
        <v>72</v>
      </c>
      <c r="O248" t="str">
        <f t="shared" si="57"/>
        <v>Ananya Rao</v>
      </c>
      <c r="P248" t="s">
        <v>108</v>
      </c>
      <c r="Q248" t="str">
        <f t="shared" si="58"/>
        <v>Corporate</v>
      </c>
      <c r="R248" t="s">
        <v>27</v>
      </c>
      <c r="S248" t="str">
        <f t="shared" si="59"/>
        <v>North</v>
      </c>
      <c r="T248" t="s">
        <v>154</v>
      </c>
      <c r="U248" t="str">
        <f t="shared" si="60"/>
        <v>Punjab</v>
      </c>
      <c r="V248" t="s">
        <v>155</v>
      </c>
      <c r="W248" t="str">
        <f t="shared" si="61"/>
        <v>Ludhiana</v>
      </c>
      <c r="X248" t="s">
        <v>86</v>
      </c>
      <c r="Y248" t="str">
        <f t="shared" si="62"/>
        <v>Technology</v>
      </c>
      <c r="Z248" t="s">
        <v>382</v>
      </c>
      <c r="AA248" t="str">
        <f t="shared" si="63"/>
        <v>Machines</v>
      </c>
      <c r="AB248" t="s">
        <v>1296</v>
      </c>
      <c r="AC248" t="s">
        <v>48</v>
      </c>
      <c r="AD248" t="str">
        <f t="shared" si="64"/>
        <v>Same Day</v>
      </c>
      <c r="AE248">
        <v>3</v>
      </c>
      <c r="AF248">
        <v>231.95</v>
      </c>
      <c r="AG248">
        <v>0.25</v>
      </c>
      <c r="AH248">
        <v>0.25</v>
      </c>
      <c r="AI248" t="str">
        <f t="shared" si="65"/>
        <v>Valid</v>
      </c>
      <c r="AJ248">
        <v>521.89</v>
      </c>
      <c r="AK248">
        <f t="shared" si="66"/>
        <v>521.88749999999993</v>
      </c>
      <c r="AL248">
        <v>444.52</v>
      </c>
      <c r="AM248">
        <v>77.37</v>
      </c>
      <c r="AN248">
        <f t="shared" si="67"/>
        <v>77.36749999999995</v>
      </c>
      <c r="AO248">
        <f t="shared" si="68"/>
        <v>-444.52</v>
      </c>
      <c r="AP248" t="s">
        <v>124</v>
      </c>
      <c r="AQ248" t="str">
        <f t="shared" si="69"/>
        <v>Refunded</v>
      </c>
      <c r="AR248" t="s">
        <v>78</v>
      </c>
      <c r="AS248" t="str">
        <f t="shared" si="70"/>
        <v>Cancelled</v>
      </c>
      <c r="AT248" t="str">
        <f t="shared" si="71"/>
        <v>Clean</v>
      </c>
    </row>
    <row r="249" spans="1:46">
      <c r="A249" t="s">
        <v>1297</v>
      </c>
      <c r="B249">
        <f>COUNTIF($D$2:D249,D249)</f>
        <v>1</v>
      </c>
      <c r="C249" t="str">
        <f>IF(COUNTIF($A:$A,A249)=1,
"Unique",
IF(COUNTIFS($A:$A,A249,$N:$N,N249,$AF:$AF,AF249,$AJ:$AJ,AJ249)&gt;1,
"Exact Duplicate",
"Conflicting Duplicate"))</f>
        <v>Unique</v>
      </c>
      <c r="D249" t="s">
        <v>1298</v>
      </c>
      <c r="E249" t="s">
        <v>1299</v>
      </c>
      <c r="F249" s="3">
        <v>45498</v>
      </c>
      <c r="G249" s="2">
        <v>45299</v>
      </c>
      <c r="H249" s="5" t="str">
        <f t="shared" si="54"/>
        <v>July</v>
      </c>
      <c r="I249" s="5">
        <f t="shared" si="55"/>
        <v>2024</v>
      </c>
      <c r="J249" t="str">
        <f>IF(F249="","Missing Date",
IF(ISNUMBER(F249),"Valid","Invalid Date"))</f>
        <v>Valid</v>
      </c>
      <c r="K249" t="str">
        <f t="shared" si="56"/>
        <v>Valid</v>
      </c>
      <c r="L249">
        <f>G249-F249</f>
        <v>-199</v>
      </c>
      <c r="M249" t="s">
        <v>1300</v>
      </c>
      <c r="N249" t="s">
        <v>148</v>
      </c>
      <c r="O249" t="str">
        <f t="shared" si="57"/>
        <v>Rahul Verma</v>
      </c>
      <c r="P249" t="s">
        <v>108</v>
      </c>
      <c r="Q249" t="str">
        <f t="shared" si="58"/>
        <v>Corporate</v>
      </c>
      <c r="R249" t="s">
        <v>27</v>
      </c>
      <c r="S249" t="str">
        <f t="shared" si="59"/>
        <v>North</v>
      </c>
      <c r="T249" t="s">
        <v>28</v>
      </c>
      <c r="U249" t="str">
        <f t="shared" si="60"/>
        <v>Rajasthan</v>
      </c>
      <c r="V249" t="s">
        <v>29</v>
      </c>
      <c r="W249" t="str">
        <f t="shared" si="61"/>
        <v>Jaipur</v>
      </c>
      <c r="X249" t="s">
        <v>86</v>
      </c>
      <c r="Y249" t="str">
        <f t="shared" si="62"/>
        <v>Technology</v>
      </c>
      <c r="Z249" t="s">
        <v>87</v>
      </c>
      <c r="AA249" t="str">
        <f t="shared" si="63"/>
        <v>Accessories</v>
      </c>
      <c r="AB249" t="s">
        <v>1301</v>
      </c>
      <c r="AC249" t="s">
        <v>33</v>
      </c>
      <c r="AD249" t="str">
        <f t="shared" si="64"/>
        <v>Second Class</v>
      </c>
      <c r="AE249">
        <v>8</v>
      </c>
      <c r="AF249">
        <v>2493.4</v>
      </c>
      <c r="AG249">
        <v>0.25</v>
      </c>
      <c r="AH249">
        <v>0.25</v>
      </c>
      <c r="AI249" t="str">
        <f t="shared" si="65"/>
        <v>Valid</v>
      </c>
      <c r="AJ249">
        <v>14960.4</v>
      </c>
      <c r="AK249">
        <f t="shared" si="66"/>
        <v>14960.400000000001</v>
      </c>
      <c r="AL249">
        <v>12500.84</v>
      </c>
      <c r="AM249">
        <v>2459.56</v>
      </c>
      <c r="AN249">
        <f t="shared" si="67"/>
        <v>2459.5600000000013</v>
      </c>
      <c r="AO249">
        <f t="shared" si="68"/>
        <v>-12500.84</v>
      </c>
      <c r="AP249" t="s">
        <v>34</v>
      </c>
      <c r="AQ249" t="str">
        <f t="shared" si="69"/>
        <v>Paid</v>
      </c>
      <c r="AR249" t="s">
        <v>35</v>
      </c>
      <c r="AS249" t="str">
        <f t="shared" si="70"/>
        <v>Completed</v>
      </c>
      <c r="AT249" t="str">
        <f t="shared" si="71"/>
        <v>Clean</v>
      </c>
    </row>
    <row r="250" spans="1:46">
      <c r="A250" t="s">
        <v>1302</v>
      </c>
      <c r="B250">
        <f>COUNTIF($D$2:D250,D250)</f>
        <v>1</v>
      </c>
      <c r="C250" t="str">
        <f>IF(COUNTIF($A:$A,A250)=1,
"Unique",
IF(COUNTIFS($A:$A,A250,$N:$N,N250,$AF:$AF,AF250,$AJ:$AJ,AJ250)&gt;1,
"Exact Duplicate",
"Conflicting Duplicate"))</f>
        <v>Unique</v>
      </c>
      <c r="D250" t="s">
        <v>1303</v>
      </c>
      <c r="E250" t="s">
        <v>578</v>
      </c>
      <c r="F250" s="3">
        <v>45445</v>
      </c>
      <c r="G250" s="3">
        <v>45479</v>
      </c>
      <c r="H250" s="5" t="str">
        <f t="shared" si="54"/>
        <v>June</v>
      </c>
      <c r="I250" s="5">
        <f t="shared" si="55"/>
        <v>2024</v>
      </c>
      <c r="J250" t="str">
        <f>IF(F250="","Missing Date",
IF(ISNUMBER(F250),"Valid","Invalid Date"))</f>
        <v>Valid</v>
      </c>
      <c r="K250" t="str">
        <f t="shared" si="56"/>
        <v>Valid</v>
      </c>
      <c r="L250">
        <f>G250-F250</f>
        <v>34</v>
      </c>
      <c r="M250" t="s">
        <v>1304</v>
      </c>
      <c r="N250" t="s">
        <v>180</v>
      </c>
      <c r="O250" t="str">
        <f t="shared" si="57"/>
        <v>Rohan Mehta</v>
      </c>
      <c r="P250" t="s">
        <v>115</v>
      </c>
      <c r="Q250" t="str">
        <f t="shared" si="58"/>
        <v>Home Office</v>
      </c>
      <c r="R250" t="s">
        <v>42</v>
      </c>
      <c r="S250" t="str">
        <f t="shared" si="59"/>
        <v>East</v>
      </c>
      <c r="T250" t="s">
        <v>43</v>
      </c>
      <c r="U250" t="str">
        <f t="shared" si="60"/>
        <v>Odisha</v>
      </c>
      <c r="V250" t="s">
        <v>44</v>
      </c>
      <c r="W250" t="str">
        <f t="shared" si="61"/>
        <v>Bhubaneswar</v>
      </c>
      <c r="X250" t="s">
        <v>30</v>
      </c>
      <c r="Y250" t="str">
        <f t="shared" si="62"/>
        <v>Office Supplies</v>
      </c>
      <c r="Z250" t="s">
        <v>109</v>
      </c>
      <c r="AA250" t="str">
        <f t="shared" si="63"/>
        <v>Labels</v>
      </c>
      <c r="AB250" t="s">
        <v>1305</v>
      </c>
      <c r="AC250" t="s">
        <v>33</v>
      </c>
      <c r="AD250" t="str">
        <f t="shared" si="64"/>
        <v>Second Class</v>
      </c>
      <c r="AE250">
        <v>9</v>
      </c>
      <c r="AF250">
        <v>787.91</v>
      </c>
      <c r="AG250">
        <v>0.15</v>
      </c>
      <c r="AH250">
        <v>0.15</v>
      </c>
      <c r="AI250" t="str">
        <f t="shared" si="65"/>
        <v>Valid</v>
      </c>
      <c r="AJ250">
        <v>6027.51</v>
      </c>
      <c r="AK250">
        <f t="shared" si="66"/>
        <v>6027.5114999999996</v>
      </c>
      <c r="AL250">
        <v>4883.82</v>
      </c>
      <c r="AM250">
        <v>1143.69</v>
      </c>
      <c r="AN250">
        <f t="shared" si="67"/>
        <v>1143.6914999999999</v>
      </c>
      <c r="AO250">
        <f t="shared" si="68"/>
        <v>-4883.82</v>
      </c>
      <c r="AP250" t="s">
        <v>34</v>
      </c>
      <c r="AQ250" t="str">
        <f t="shared" si="69"/>
        <v>Paid</v>
      </c>
      <c r="AR250" t="s">
        <v>35</v>
      </c>
      <c r="AS250" t="str">
        <f t="shared" si="70"/>
        <v>Completed</v>
      </c>
      <c r="AT250" t="str">
        <f t="shared" si="71"/>
        <v>Clean</v>
      </c>
    </row>
    <row r="251" spans="1:46">
      <c r="A251" t="s">
        <v>1306</v>
      </c>
      <c r="B251">
        <f>COUNTIF($D$2:D251,D251)</f>
        <v>1</v>
      </c>
      <c r="C251" t="str">
        <f>IF(COUNTIF($A:$A,A251)=1,
"Unique",
IF(COUNTIFS($A:$A,A251,$N:$N,N251,$AF:$AF,AF251,$AJ:$AJ,AJ251)&gt;1,
"Exact Duplicate",
"Conflicting Duplicate"))</f>
        <v>Unique</v>
      </c>
      <c r="D251" t="s">
        <v>820</v>
      </c>
      <c r="E251" t="s">
        <v>1307</v>
      </c>
      <c r="F251" s="3">
        <v>45870</v>
      </c>
      <c r="G251" s="3">
        <v>45871</v>
      </c>
      <c r="H251" s="5" t="str">
        <f t="shared" si="54"/>
        <v>August</v>
      </c>
      <c r="I251" s="5">
        <f t="shared" si="55"/>
        <v>2025</v>
      </c>
      <c r="J251" t="str">
        <f>IF(F251="","Missing Date",
IF(ISNUMBER(F251),"Valid","Invalid Date"))</f>
        <v>Valid</v>
      </c>
      <c r="K251" t="str">
        <f t="shared" si="56"/>
        <v>Valid</v>
      </c>
      <c r="L251">
        <f>G251-F251</f>
        <v>1</v>
      </c>
      <c r="M251" t="s">
        <v>1308</v>
      </c>
      <c r="N251" t="s">
        <v>40</v>
      </c>
      <c r="O251" t="str">
        <f t="shared" si="57"/>
        <v>Mira Das</v>
      </c>
      <c r="P251" t="s">
        <v>108</v>
      </c>
      <c r="Q251" t="str">
        <f t="shared" si="58"/>
        <v>Corporate</v>
      </c>
      <c r="R251" t="s">
        <v>27</v>
      </c>
      <c r="S251" t="str">
        <f t="shared" si="59"/>
        <v>North</v>
      </c>
      <c r="T251" t="s">
        <v>28</v>
      </c>
      <c r="U251" t="str">
        <f t="shared" si="60"/>
        <v>Rajasthan</v>
      </c>
      <c r="V251" t="s">
        <v>29</v>
      </c>
      <c r="W251" t="str">
        <f t="shared" si="61"/>
        <v>Jaipur</v>
      </c>
      <c r="X251" t="s">
        <v>45</v>
      </c>
      <c r="Y251" t="str">
        <f t="shared" si="62"/>
        <v>Furniture</v>
      </c>
      <c r="Z251" t="s">
        <v>65</v>
      </c>
      <c r="AA251" t="str">
        <f t="shared" si="63"/>
        <v>Furnishings</v>
      </c>
      <c r="AB251" t="s">
        <v>1309</v>
      </c>
      <c r="AC251" t="s">
        <v>56</v>
      </c>
      <c r="AD251" t="str">
        <f t="shared" si="64"/>
        <v>First Class</v>
      </c>
      <c r="AE251">
        <v>4</v>
      </c>
      <c r="AF251">
        <v>2790.29</v>
      </c>
      <c r="AG251">
        <v>0.2</v>
      </c>
      <c r="AH251">
        <v>0.2</v>
      </c>
      <c r="AI251" t="str">
        <f t="shared" si="65"/>
        <v>Valid</v>
      </c>
      <c r="AJ251">
        <v>8928.93</v>
      </c>
      <c r="AK251">
        <f t="shared" si="66"/>
        <v>8928.9279999999999</v>
      </c>
      <c r="AL251">
        <v>5634.38</v>
      </c>
      <c r="AM251">
        <v>3294.55</v>
      </c>
      <c r="AN251">
        <f t="shared" si="67"/>
        <v>3294.5479999999998</v>
      </c>
      <c r="AO251">
        <f t="shared" si="68"/>
        <v>-5634.38</v>
      </c>
      <c r="AP251" t="s">
        <v>34</v>
      </c>
      <c r="AQ251" t="str">
        <f t="shared" si="69"/>
        <v>Paid</v>
      </c>
      <c r="AR251" t="s">
        <v>35</v>
      </c>
      <c r="AS251" t="str">
        <f t="shared" si="70"/>
        <v>Completed</v>
      </c>
      <c r="AT251" t="str">
        <f t="shared" si="71"/>
        <v>Clean</v>
      </c>
    </row>
    <row r="252" spans="1:46">
      <c r="A252" t="s">
        <v>1310</v>
      </c>
      <c r="B252">
        <f>COUNTIF($D$2:D252,D252)</f>
        <v>1</v>
      </c>
      <c r="C252" t="str">
        <f>IF(COUNTIF($A:$A,A252)=1,
"Unique",
IF(COUNTIFS($A:$A,A252,$N:$N,N252,$AF:$AF,AF252,$AJ:$AJ,AJ252)&gt;1,
"Exact Duplicate",
"Conflicting Duplicate"))</f>
        <v>Exact Duplicate</v>
      </c>
      <c r="D252" t="s">
        <v>1311</v>
      </c>
      <c r="E252" t="s">
        <v>1312</v>
      </c>
      <c r="F252" s="3">
        <v>45343</v>
      </c>
      <c r="G252" s="3">
        <v>45349</v>
      </c>
      <c r="H252" s="5" t="str">
        <f t="shared" si="54"/>
        <v>February</v>
      </c>
      <c r="I252" s="5">
        <f t="shared" si="55"/>
        <v>2024</v>
      </c>
      <c r="J252" t="str">
        <f>IF(F252="","Missing Date",
IF(ISNUMBER(F252),"Valid","Invalid Date"))</f>
        <v>Valid</v>
      </c>
      <c r="K252" t="str">
        <f t="shared" si="56"/>
        <v>Valid</v>
      </c>
      <c r="L252">
        <f>G252-F252</f>
        <v>6</v>
      </c>
      <c r="M252" t="s">
        <v>1313</v>
      </c>
      <c r="N252" t="s">
        <v>61</v>
      </c>
      <c r="O252" t="str">
        <f t="shared" si="57"/>
        <v>Arjun Bose</v>
      </c>
      <c r="P252" t="s">
        <v>41</v>
      </c>
      <c r="Q252" t="str">
        <f t="shared" si="58"/>
        <v>Small Business</v>
      </c>
      <c r="R252" t="s">
        <v>42</v>
      </c>
      <c r="S252" t="str">
        <f t="shared" si="59"/>
        <v>East</v>
      </c>
      <c r="T252" t="s">
        <v>121</v>
      </c>
      <c r="U252" t="str">
        <f t="shared" si="60"/>
        <v>West Bengal</v>
      </c>
      <c r="V252" t="s">
        <v>122</v>
      </c>
      <c r="W252" t="str">
        <f t="shared" si="61"/>
        <v>Kolkata</v>
      </c>
      <c r="X252" t="s">
        <v>45</v>
      </c>
      <c r="Y252" t="str">
        <f t="shared" si="62"/>
        <v>Furniture</v>
      </c>
      <c r="Z252" t="s">
        <v>65</v>
      </c>
      <c r="AA252" t="str">
        <f t="shared" si="63"/>
        <v>Furnishings</v>
      </c>
      <c r="AB252" t="s">
        <v>1314</v>
      </c>
      <c r="AC252" t="s">
        <v>67</v>
      </c>
      <c r="AD252" t="str">
        <f t="shared" si="64"/>
        <v>Standard Class</v>
      </c>
      <c r="AE252">
        <v>5</v>
      </c>
      <c r="AF252">
        <v>3373.86</v>
      </c>
      <c r="AG252">
        <v>0.15</v>
      </c>
      <c r="AH252">
        <v>0.15</v>
      </c>
      <c r="AI252" t="str">
        <f t="shared" si="65"/>
        <v>Valid</v>
      </c>
      <c r="AJ252">
        <v>14338.9</v>
      </c>
      <c r="AK252">
        <f t="shared" si="66"/>
        <v>14338.904999999999</v>
      </c>
      <c r="AL252">
        <v>11897.65</v>
      </c>
      <c r="AM252">
        <v>2441.25</v>
      </c>
      <c r="AN252">
        <f t="shared" si="67"/>
        <v>2441.2549999999992</v>
      </c>
      <c r="AO252">
        <f t="shared" si="68"/>
        <v>-11897.65</v>
      </c>
      <c r="AP252" t="s">
        <v>137</v>
      </c>
      <c r="AQ252" t="str">
        <f t="shared" si="69"/>
        <v>Pending</v>
      </c>
      <c r="AR252" t="s">
        <v>125</v>
      </c>
      <c r="AS252" t="str">
        <f t="shared" si="70"/>
        <v>Returned</v>
      </c>
      <c r="AT252" t="str">
        <f t="shared" si="71"/>
        <v>Clean</v>
      </c>
    </row>
    <row r="253" spans="1:46">
      <c r="A253" t="s">
        <v>1315</v>
      </c>
      <c r="B253">
        <f>COUNTIF($D$2:D253,D253)</f>
        <v>1</v>
      </c>
      <c r="C253" t="str">
        <f>IF(COUNTIF($A:$A,A253)=1,
"Unique",
IF(COUNTIFS($A:$A,A253,$N:$N,N253,$AF:$AF,AF253,$AJ:$AJ,AJ253)&gt;1,
"Exact Duplicate",
"Conflicting Duplicate"))</f>
        <v>Unique</v>
      </c>
      <c r="D253" t="s">
        <v>1316</v>
      </c>
      <c r="E253" t="s">
        <v>90</v>
      </c>
      <c r="F253" s="3">
        <v>45812</v>
      </c>
      <c r="G253" s="3">
        <v>45757</v>
      </c>
      <c r="H253" s="5" t="str">
        <f t="shared" si="54"/>
        <v>June</v>
      </c>
      <c r="I253" s="5">
        <f t="shared" si="55"/>
        <v>2025</v>
      </c>
      <c r="J253" t="str">
        <f>IF(F253="","Missing Date",
IF(ISNUMBER(F253),"Valid","Invalid Date"))</f>
        <v>Valid</v>
      </c>
      <c r="K253" t="str">
        <f t="shared" si="56"/>
        <v>Valid</v>
      </c>
      <c r="L253">
        <f>G253-F253</f>
        <v>-55</v>
      </c>
      <c r="M253" t="s">
        <v>1317</v>
      </c>
      <c r="N253" t="s">
        <v>72</v>
      </c>
      <c r="O253" t="str">
        <f t="shared" si="57"/>
        <v>Ananya Rao</v>
      </c>
      <c r="P253" t="s">
        <v>108</v>
      </c>
      <c r="Q253" t="str">
        <f t="shared" si="58"/>
        <v>Corporate</v>
      </c>
      <c r="R253" t="s">
        <v>73</v>
      </c>
      <c r="S253" t="str">
        <f t="shared" si="59"/>
        <v>West</v>
      </c>
      <c r="T253" t="s">
        <v>235</v>
      </c>
      <c r="U253" t="str">
        <f t="shared" si="60"/>
        <v>Gujarat</v>
      </c>
      <c r="V253" t="s">
        <v>236</v>
      </c>
      <c r="W253" t="str">
        <f t="shared" si="61"/>
        <v>Ahmedabad</v>
      </c>
      <c r="X253" t="s">
        <v>45</v>
      </c>
      <c r="Y253" t="str">
        <f t="shared" si="62"/>
        <v>Furniture</v>
      </c>
      <c r="Z253" t="s">
        <v>46</v>
      </c>
      <c r="AA253" t="str">
        <f t="shared" si="63"/>
        <v>Tables</v>
      </c>
      <c r="AB253" t="s">
        <v>1318</v>
      </c>
      <c r="AC253" t="s">
        <v>33</v>
      </c>
      <c r="AD253" t="str">
        <f t="shared" si="64"/>
        <v>Second Class</v>
      </c>
      <c r="AE253">
        <v>6</v>
      </c>
      <c r="AF253">
        <v>1022.16</v>
      </c>
      <c r="AG253">
        <v>0</v>
      </c>
      <c r="AH253">
        <v>0</v>
      </c>
      <c r="AI253" t="str">
        <f t="shared" si="65"/>
        <v>Valid</v>
      </c>
      <c r="AJ253">
        <v>6132.96</v>
      </c>
      <c r="AK253">
        <f t="shared" si="66"/>
        <v>6132.96</v>
      </c>
      <c r="AL253">
        <v>4881.1000000000004</v>
      </c>
      <c r="AM253">
        <v>1251.8599999999999</v>
      </c>
      <c r="AN253">
        <f t="shared" si="67"/>
        <v>1251.8599999999997</v>
      </c>
      <c r="AO253">
        <f t="shared" si="68"/>
        <v>-4881.1000000000004</v>
      </c>
      <c r="AP253" t="s">
        <v>34</v>
      </c>
      <c r="AQ253" t="str">
        <f t="shared" si="69"/>
        <v>Paid</v>
      </c>
      <c r="AR253" t="s">
        <v>35</v>
      </c>
      <c r="AS253" t="str">
        <f t="shared" si="70"/>
        <v>Completed</v>
      </c>
      <c r="AT253" t="str">
        <f t="shared" si="71"/>
        <v>Clean</v>
      </c>
    </row>
    <row r="254" spans="1:46">
      <c r="A254" t="s">
        <v>1319</v>
      </c>
      <c r="B254">
        <f>COUNTIF($D$2:D254,D254)</f>
        <v>1</v>
      </c>
      <c r="C254" t="str">
        <f>IF(COUNTIF($A:$A,A254)=1,
"Unique",
IF(COUNTIFS($A:$A,A254,$N:$N,N254,$AF:$AF,AF254,$AJ:$AJ,AJ254)&gt;1,
"Exact Duplicate",
"Conflicting Duplicate"))</f>
        <v>Unique</v>
      </c>
      <c r="D254" t="s">
        <v>1320</v>
      </c>
      <c r="E254" t="s">
        <v>1215</v>
      </c>
      <c r="F254" s="3">
        <v>45833</v>
      </c>
      <c r="G254" s="3">
        <v>45836</v>
      </c>
      <c r="H254" s="5" t="str">
        <f t="shared" si="54"/>
        <v>June</v>
      </c>
      <c r="I254" s="5">
        <f t="shared" si="55"/>
        <v>2025</v>
      </c>
      <c r="J254" t="str">
        <f>IF(F254="","Missing Date",
IF(ISNUMBER(F254),"Valid","Invalid Date"))</f>
        <v>Valid</v>
      </c>
      <c r="K254" t="str">
        <f t="shared" si="56"/>
        <v>Valid</v>
      </c>
      <c r="L254">
        <f>G254-F254</f>
        <v>3</v>
      </c>
      <c r="M254" t="s">
        <v>1321</v>
      </c>
      <c r="N254" t="s">
        <v>61</v>
      </c>
      <c r="O254" t="str">
        <f t="shared" si="57"/>
        <v>Arjun Bose</v>
      </c>
      <c r="P254" t="s">
        <v>108</v>
      </c>
      <c r="Q254" t="str">
        <f t="shared" si="58"/>
        <v>Corporate</v>
      </c>
      <c r="R254" t="s">
        <v>27</v>
      </c>
      <c r="S254" t="str">
        <f t="shared" si="59"/>
        <v>North</v>
      </c>
      <c r="T254" t="s">
        <v>323</v>
      </c>
      <c r="U254" t="str">
        <f t="shared" si="60"/>
        <v>Haryana</v>
      </c>
      <c r="V254" t="s">
        <v>324</v>
      </c>
      <c r="W254" t="str">
        <f t="shared" si="61"/>
        <v>Gurugram</v>
      </c>
      <c r="X254" t="s">
        <v>30</v>
      </c>
      <c r="Y254" t="str">
        <f t="shared" si="62"/>
        <v>Office Supplies</v>
      </c>
      <c r="Z254" t="s">
        <v>156</v>
      </c>
      <c r="AA254" t="str">
        <f t="shared" si="63"/>
        <v>Storage</v>
      </c>
      <c r="AB254" t="s">
        <v>1322</v>
      </c>
      <c r="AC254" t="s">
        <v>56</v>
      </c>
      <c r="AD254" t="str">
        <f t="shared" si="64"/>
        <v>First Class</v>
      </c>
      <c r="AE254">
        <v>2</v>
      </c>
      <c r="AF254">
        <v>1455.92</v>
      </c>
      <c r="AG254">
        <v>0.2</v>
      </c>
      <c r="AH254">
        <v>0.2</v>
      </c>
      <c r="AI254" t="str">
        <f t="shared" si="65"/>
        <v>Valid</v>
      </c>
      <c r="AJ254">
        <v>2329.4699999999998</v>
      </c>
      <c r="AK254">
        <f t="shared" si="66"/>
        <v>2329.4720000000002</v>
      </c>
      <c r="AL254">
        <v>1603.62</v>
      </c>
      <c r="AM254">
        <v>725.85</v>
      </c>
      <c r="AN254">
        <f t="shared" si="67"/>
        <v>725.85200000000032</v>
      </c>
      <c r="AO254">
        <f t="shared" si="68"/>
        <v>-1603.62</v>
      </c>
      <c r="AP254" t="s">
        <v>137</v>
      </c>
      <c r="AQ254" t="str">
        <f t="shared" si="69"/>
        <v>Pending</v>
      </c>
      <c r="AR254" t="s">
        <v>125</v>
      </c>
      <c r="AS254" t="str">
        <f t="shared" si="70"/>
        <v>Returned</v>
      </c>
      <c r="AT254" t="str">
        <f t="shared" si="71"/>
        <v>Clean</v>
      </c>
    </row>
    <row r="255" spans="1:46">
      <c r="A255" t="s">
        <v>1323</v>
      </c>
      <c r="B255">
        <f>COUNTIF($D$2:D255,D255)</f>
        <v>1</v>
      </c>
      <c r="C255" t="str">
        <f>IF(COUNTIF($A:$A,A255)=1,
"Unique",
IF(COUNTIFS($A:$A,A255,$N:$N,N255,$AF:$AF,AF255,$AJ:$AJ,AJ255)&gt;1,
"Exact Duplicate",
"Conflicting Duplicate"))</f>
        <v>Unique</v>
      </c>
      <c r="D255" t="s">
        <v>1324</v>
      </c>
      <c r="E255" t="s">
        <v>1325</v>
      </c>
      <c r="F255" s="3">
        <v>45635</v>
      </c>
      <c r="G255" s="3">
        <v>45548</v>
      </c>
      <c r="H255" s="5" t="str">
        <f t="shared" si="54"/>
        <v>December</v>
      </c>
      <c r="I255" s="5">
        <f t="shared" si="55"/>
        <v>2024</v>
      </c>
      <c r="J255" t="str">
        <f>IF(F255="","Missing Date",
IF(ISNUMBER(F255),"Valid","Invalid Date"))</f>
        <v>Valid</v>
      </c>
      <c r="K255" t="str">
        <f t="shared" si="56"/>
        <v>Valid</v>
      </c>
      <c r="L255">
        <f>G255-F255</f>
        <v>-87</v>
      </c>
      <c r="M255" t="s">
        <v>1326</v>
      </c>
      <c r="N255" t="s">
        <v>142</v>
      </c>
      <c r="O255" t="str">
        <f t="shared" si="57"/>
        <v>Priya Menon</v>
      </c>
      <c r="P255" t="s">
        <v>41</v>
      </c>
      <c r="Q255" t="str">
        <f t="shared" si="58"/>
        <v>Small Business</v>
      </c>
      <c r="R255" t="s">
        <v>27</v>
      </c>
      <c r="S255" t="str">
        <f t="shared" si="59"/>
        <v>North</v>
      </c>
      <c r="T255" t="s">
        <v>28</v>
      </c>
      <c r="U255" t="str">
        <f t="shared" si="60"/>
        <v>Rajasthan</v>
      </c>
      <c r="V255" t="s">
        <v>29</v>
      </c>
      <c r="W255" t="str">
        <f t="shared" si="61"/>
        <v>Jaipur</v>
      </c>
      <c r="X255" t="s">
        <v>86</v>
      </c>
      <c r="Y255" t="str">
        <f t="shared" si="62"/>
        <v>Technology</v>
      </c>
      <c r="Z255" t="s">
        <v>223</v>
      </c>
      <c r="AA255" t="str">
        <f t="shared" si="63"/>
        <v>Phones</v>
      </c>
      <c r="AB255" t="s">
        <v>1327</v>
      </c>
      <c r="AC255" t="s">
        <v>48</v>
      </c>
      <c r="AD255" t="str">
        <f t="shared" si="64"/>
        <v>Same Day</v>
      </c>
      <c r="AE255">
        <v>6</v>
      </c>
      <c r="AF255">
        <v>832.79</v>
      </c>
      <c r="AG255">
        <v>0.05</v>
      </c>
      <c r="AH255">
        <v>0.05</v>
      </c>
      <c r="AI255" t="str">
        <f t="shared" si="65"/>
        <v>Valid</v>
      </c>
      <c r="AJ255">
        <v>4746.8999999999996</v>
      </c>
      <c r="AK255">
        <f t="shared" si="66"/>
        <v>4746.9029999999993</v>
      </c>
      <c r="AL255">
        <v>2825.38</v>
      </c>
      <c r="AM255">
        <v>1472.89</v>
      </c>
      <c r="AN255">
        <f t="shared" si="67"/>
        <v>1921.5229999999992</v>
      </c>
      <c r="AO255">
        <f t="shared" si="68"/>
        <v>-2825.38</v>
      </c>
      <c r="AP255" t="s">
        <v>124</v>
      </c>
      <c r="AQ255" t="str">
        <f t="shared" si="69"/>
        <v>Refunded</v>
      </c>
      <c r="AR255" t="s">
        <v>78</v>
      </c>
      <c r="AS255" t="str">
        <f t="shared" si="70"/>
        <v>Cancelled</v>
      </c>
      <c r="AT255" t="str">
        <f t="shared" si="71"/>
        <v>Clean</v>
      </c>
    </row>
    <row r="256" spans="1:46">
      <c r="A256" t="s">
        <v>1328</v>
      </c>
      <c r="B256">
        <f>COUNTIF($D$2:D256,D256)</f>
        <v>1</v>
      </c>
      <c r="C256" t="str">
        <f>IF(COUNTIF($A:$A,A256)=1,
"Unique",
IF(COUNTIFS($A:$A,A256,$N:$N,N256,$AF:$AF,AF256,$AJ:$AJ,AJ256)&gt;1,
"Exact Duplicate",
"Conflicting Duplicate"))</f>
        <v>Unique</v>
      </c>
      <c r="D256" t="s">
        <v>1329</v>
      </c>
      <c r="E256" t="s">
        <v>1330</v>
      </c>
      <c r="F256" s="3">
        <v>45658</v>
      </c>
      <c r="G256" s="3">
        <v>45717</v>
      </c>
      <c r="H256" s="5" t="str">
        <f t="shared" si="54"/>
        <v>January</v>
      </c>
      <c r="I256" s="5">
        <f t="shared" si="55"/>
        <v>2025</v>
      </c>
      <c r="J256" t="str">
        <f>IF(F256="","Missing Date",
IF(ISNUMBER(F256),"Valid","Invalid Date"))</f>
        <v>Valid</v>
      </c>
      <c r="K256" t="str">
        <f t="shared" si="56"/>
        <v>Valid</v>
      </c>
      <c r="L256">
        <f>G256-F256</f>
        <v>59</v>
      </c>
      <c r="M256" t="s">
        <v>1331</v>
      </c>
      <c r="N256" t="s">
        <v>72</v>
      </c>
      <c r="O256" t="str">
        <f t="shared" si="57"/>
        <v>Ananya Rao</v>
      </c>
      <c r="P256" t="s">
        <v>26</v>
      </c>
      <c r="Q256" t="str">
        <f t="shared" si="58"/>
        <v>Consumer</v>
      </c>
      <c r="R256" t="s">
        <v>73</v>
      </c>
      <c r="S256" t="str">
        <f t="shared" si="59"/>
        <v>West</v>
      </c>
      <c r="T256" t="s">
        <v>84</v>
      </c>
      <c r="U256" t="str">
        <f t="shared" si="60"/>
        <v>Madhya Pradesh</v>
      </c>
      <c r="V256" t="s">
        <v>85</v>
      </c>
      <c r="W256" t="str">
        <f t="shared" si="61"/>
        <v>Indore</v>
      </c>
      <c r="X256" t="s">
        <v>86</v>
      </c>
      <c r="Y256" t="str">
        <f t="shared" si="62"/>
        <v>Technology</v>
      </c>
      <c r="Z256" t="s">
        <v>87</v>
      </c>
      <c r="AA256" t="str">
        <f t="shared" si="63"/>
        <v>Accessories</v>
      </c>
      <c r="AB256" t="s">
        <v>1332</v>
      </c>
      <c r="AC256" t="s">
        <v>48</v>
      </c>
      <c r="AD256" t="str">
        <f t="shared" si="64"/>
        <v>Same Day</v>
      </c>
      <c r="AE256">
        <v>7</v>
      </c>
      <c r="AF256">
        <v>1000.55</v>
      </c>
      <c r="AG256">
        <v>0.2</v>
      </c>
      <c r="AH256">
        <v>0.2</v>
      </c>
      <c r="AI256" t="str">
        <f t="shared" si="65"/>
        <v>Valid</v>
      </c>
      <c r="AJ256">
        <v>5603.08</v>
      </c>
      <c r="AK256">
        <f t="shared" si="66"/>
        <v>5603.08</v>
      </c>
      <c r="AL256">
        <v>3132.52</v>
      </c>
      <c r="AM256">
        <v>2470.56</v>
      </c>
      <c r="AN256">
        <f t="shared" si="67"/>
        <v>2470.56</v>
      </c>
      <c r="AO256">
        <f t="shared" si="68"/>
        <v>-3132.52</v>
      </c>
      <c r="AP256" t="s">
        <v>34</v>
      </c>
      <c r="AQ256" t="str">
        <f t="shared" si="69"/>
        <v>Paid</v>
      </c>
      <c r="AR256" t="s">
        <v>125</v>
      </c>
      <c r="AS256" t="str">
        <f t="shared" si="70"/>
        <v>Returned</v>
      </c>
      <c r="AT256" t="str">
        <f t="shared" si="71"/>
        <v>Clean</v>
      </c>
    </row>
    <row r="257" spans="1:46">
      <c r="A257" t="s">
        <v>1333</v>
      </c>
      <c r="B257">
        <f>COUNTIF($D$2:D257,D257)</f>
        <v>1</v>
      </c>
      <c r="C257" t="str">
        <f>IF(COUNTIF($A:$A,A257)=1,
"Unique",
IF(COUNTIFS($A:$A,A257,$N:$N,N257,$AF:$AF,AF257,$AJ:$AJ,AJ257)&gt;1,
"Exact Duplicate",
"Conflicting Duplicate"))</f>
        <v>Unique</v>
      </c>
      <c r="D257" t="s">
        <v>1334</v>
      </c>
      <c r="E257" t="s">
        <v>1335</v>
      </c>
      <c r="F257" s="3">
        <v>45749</v>
      </c>
      <c r="G257" s="3">
        <v>45698</v>
      </c>
      <c r="H257" s="5" t="str">
        <f t="shared" si="54"/>
        <v>April</v>
      </c>
      <c r="I257" s="5">
        <f t="shared" si="55"/>
        <v>2025</v>
      </c>
      <c r="J257" t="str">
        <f>IF(F257="","Missing Date",
IF(ISNUMBER(F257),"Valid","Invalid Date"))</f>
        <v>Valid</v>
      </c>
      <c r="K257" t="str">
        <f t="shared" si="56"/>
        <v>Valid</v>
      </c>
      <c r="L257">
        <f>G257-F257</f>
        <v>-51</v>
      </c>
      <c r="M257" t="s">
        <v>1336</v>
      </c>
      <c r="N257" t="s">
        <v>53</v>
      </c>
      <c r="O257" t="str">
        <f t="shared" si="57"/>
        <v>Isha Nair</v>
      </c>
      <c r="P257" t="s">
        <v>108</v>
      </c>
      <c r="Q257" t="str">
        <f t="shared" si="58"/>
        <v>Corporate</v>
      </c>
      <c r="R257" t="s">
        <v>73</v>
      </c>
      <c r="S257" t="str">
        <f t="shared" si="59"/>
        <v>West</v>
      </c>
      <c r="T257" t="s">
        <v>74</v>
      </c>
      <c r="U257" t="str">
        <f t="shared" si="60"/>
        <v>Maharashtra</v>
      </c>
      <c r="V257" t="s">
        <v>75</v>
      </c>
      <c r="W257" t="str">
        <f t="shared" si="61"/>
        <v>Mumbai</v>
      </c>
      <c r="X257" t="s">
        <v>86</v>
      </c>
      <c r="Y257" t="str">
        <f t="shared" si="62"/>
        <v>Technology</v>
      </c>
      <c r="Z257" t="s">
        <v>223</v>
      </c>
      <c r="AA257" t="str">
        <f t="shared" si="63"/>
        <v>Phones</v>
      </c>
      <c r="AB257" t="s">
        <v>1337</v>
      </c>
      <c r="AC257" t="s">
        <v>56</v>
      </c>
      <c r="AD257" t="str">
        <f t="shared" si="64"/>
        <v>First Class</v>
      </c>
      <c r="AE257">
        <v>7</v>
      </c>
      <c r="AF257">
        <v>1830</v>
      </c>
      <c r="AG257">
        <v>0</v>
      </c>
      <c r="AH257">
        <v>0</v>
      </c>
      <c r="AI257" t="str">
        <f t="shared" si="65"/>
        <v>Valid</v>
      </c>
      <c r="AJ257">
        <v>12810</v>
      </c>
      <c r="AK257">
        <f t="shared" si="66"/>
        <v>12810</v>
      </c>
      <c r="AL257">
        <v>9334.1200000000008</v>
      </c>
      <c r="AM257">
        <v>3475.88</v>
      </c>
      <c r="AN257">
        <f t="shared" si="67"/>
        <v>3475.8799999999992</v>
      </c>
      <c r="AO257">
        <f t="shared" si="68"/>
        <v>-9334.1200000000008</v>
      </c>
      <c r="AP257" t="s">
        <v>34</v>
      </c>
      <c r="AQ257" t="str">
        <f t="shared" si="69"/>
        <v>Paid</v>
      </c>
      <c r="AR257" t="s">
        <v>35</v>
      </c>
      <c r="AS257" t="str">
        <f t="shared" si="70"/>
        <v>Completed</v>
      </c>
      <c r="AT257" t="str">
        <f t="shared" si="71"/>
        <v>Clean</v>
      </c>
    </row>
    <row r="258" spans="1:46">
      <c r="A258" t="s">
        <v>1338</v>
      </c>
      <c r="B258">
        <f>COUNTIF($D$2:D258,D258)</f>
        <v>1</v>
      </c>
      <c r="C258" t="str">
        <f>IF(COUNTIF($A:$A,A258)=1,
"Unique",
IF(COUNTIFS($A:$A,A258,$N:$N,N258,$AF:$AF,AF258,$AJ:$AJ,AJ258)&gt;1,
"Exact Duplicate",
"Conflicting Duplicate"))</f>
        <v>Unique</v>
      </c>
      <c r="D258" t="s">
        <v>1339</v>
      </c>
      <c r="E258" t="s">
        <v>483</v>
      </c>
      <c r="F258" s="3">
        <v>45423</v>
      </c>
      <c r="G258" s="2">
        <v>45362</v>
      </c>
      <c r="H258" s="5" t="str">
        <f t="shared" si="54"/>
        <v>May</v>
      </c>
      <c r="I258" s="5">
        <f t="shared" si="55"/>
        <v>2024</v>
      </c>
      <c r="J258" t="str">
        <f>IF(F258="","Missing Date",
IF(ISNUMBER(F258),"Valid","Invalid Date"))</f>
        <v>Valid</v>
      </c>
      <c r="K258" t="str">
        <f t="shared" si="56"/>
        <v>Valid</v>
      </c>
      <c r="L258">
        <f>G258-F258</f>
        <v>-61</v>
      </c>
      <c r="M258" t="s">
        <v>1340</v>
      </c>
      <c r="N258" t="s">
        <v>72</v>
      </c>
      <c r="O258" t="str">
        <f t="shared" si="57"/>
        <v>Ananya Rao</v>
      </c>
      <c r="P258" t="s">
        <v>26</v>
      </c>
      <c r="Q258" t="str">
        <f t="shared" si="58"/>
        <v>Consumer</v>
      </c>
      <c r="R258" t="s">
        <v>42</v>
      </c>
      <c r="S258" t="str">
        <f t="shared" si="59"/>
        <v>East</v>
      </c>
      <c r="T258" t="s">
        <v>121</v>
      </c>
      <c r="U258" t="str">
        <f t="shared" si="60"/>
        <v>West Bengal</v>
      </c>
      <c r="V258" t="s">
        <v>122</v>
      </c>
      <c r="W258" t="str">
        <f t="shared" si="61"/>
        <v>Kolkata</v>
      </c>
      <c r="X258" t="s">
        <v>45</v>
      </c>
      <c r="Y258" t="str">
        <f t="shared" si="62"/>
        <v>Furniture</v>
      </c>
      <c r="Z258" t="s">
        <v>46</v>
      </c>
      <c r="AA258" t="str">
        <f t="shared" si="63"/>
        <v>Tables</v>
      </c>
      <c r="AB258" t="s">
        <v>1341</v>
      </c>
      <c r="AC258" t="s">
        <v>56</v>
      </c>
      <c r="AD258" t="str">
        <f t="shared" si="64"/>
        <v>First Class</v>
      </c>
      <c r="AE258">
        <v>9</v>
      </c>
      <c r="AF258">
        <v>2260.61</v>
      </c>
      <c r="AG258">
        <v>0.05</v>
      </c>
      <c r="AH258">
        <v>0.05</v>
      </c>
      <c r="AI258" t="str">
        <f t="shared" si="65"/>
        <v>Valid</v>
      </c>
      <c r="AJ258">
        <v>19328.22</v>
      </c>
      <c r="AK258">
        <f t="shared" si="66"/>
        <v>19328.215500000002</v>
      </c>
      <c r="AL258">
        <v>12039.5</v>
      </c>
      <c r="AM258">
        <v>7288.72</v>
      </c>
      <c r="AN258">
        <f t="shared" si="67"/>
        <v>7288.7155000000021</v>
      </c>
      <c r="AO258">
        <f t="shared" si="68"/>
        <v>-12039.5</v>
      </c>
      <c r="AP258" t="s">
        <v>34</v>
      </c>
      <c r="AQ258" t="str">
        <f t="shared" si="69"/>
        <v>Paid</v>
      </c>
      <c r="AR258" t="s">
        <v>35</v>
      </c>
      <c r="AS258" t="str">
        <f t="shared" si="70"/>
        <v>Completed</v>
      </c>
      <c r="AT258" t="str">
        <f t="shared" si="71"/>
        <v>Clean</v>
      </c>
    </row>
    <row r="259" spans="1:46">
      <c r="A259" t="s">
        <v>1342</v>
      </c>
      <c r="B259">
        <f>COUNTIF($D$2:D259,D259)</f>
        <v>1</v>
      </c>
      <c r="C259" t="str">
        <f>IF(COUNTIF($A:$A,A259)=1,
"Unique",
IF(COUNTIFS($A:$A,A259,$N:$N,N259,$AF:$AF,AF259,$AJ:$AJ,AJ259)&gt;1,
"Exact Duplicate",
"Conflicting Duplicate"))</f>
        <v>Unique</v>
      </c>
      <c r="D259" t="s">
        <v>1343</v>
      </c>
      <c r="E259" t="s">
        <v>1344</v>
      </c>
      <c r="F259" s="3">
        <v>45908</v>
      </c>
      <c r="G259" s="3">
        <v>45999</v>
      </c>
      <c r="H259" s="5" t="str">
        <f t="shared" ref="H259:H322" si="72">TEXT(DATE(2024,MONTH(F259),1),"MMMM")</f>
        <v>September</v>
      </c>
      <c r="I259" s="5">
        <f t="shared" ref="I259:I322" si="73">YEAR(F259)</f>
        <v>2025</v>
      </c>
      <c r="J259" t="str">
        <f>IF(F259="","Missing Date",
IF(ISNUMBER(F259),"Valid","Invalid Date"))</f>
        <v>Valid</v>
      </c>
      <c r="K259" t="str">
        <f t="shared" ref="K259:K322" si="74">IF(G259="","Missing Date",
IF(ISNUMBER(G259),"Valid","Invalid Date"))</f>
        <v>Valid</v>
      </c>
      <c r="L259">
        <f>G259-F259</f>
        <v>91</v>
      </c>
      <c r="M259" t="s">
        <v>1345</v>
      </c>
      <c r="N259" t="s">
        <v>210</v>
      </c>
      <c r="O259" t="str">
        <f t="shared" ref="O259:O322" si="75">TRIM(PROPER(CLEAN(N259)))</f>
        <v>Diya Patel</v>
      </c>
      <c r="P259" t="s">
        <v>108</v>
      </c>
      <c r="Q259" t="str">
        <f t="shared" ref="Q259:Q322" si="76">TRIM(PROPER(CLEAN(P259)))</f>
        <v>Corporate</v>
      </c>
      <c r="R259" t="s">
        <v>62</v>
      </c>
      <c r="S259" t="str">
        <f t="shared" ref="S259:S322" si="77">TRIM(PROPER(CLEAN(R259)))</f>
        <v>South</v>
      </c>
      <c r="T259" t="s">
        <v>229</v>
      </c>
      <c r="U259" t="str">
        <f t="shared" ref="U259:U322" si="78">TRIM(PROPER(CLEAN(T259)))</f>
        <v>Karnataka</v>
      </c>
      <c r="V259" t="s">
        <v>230</v>
      </c>
      <c r="W259" t="str">
        <f t="shared" ref="W259:W322" si="79">TRIM(PROPER(CLEAN(V259)))</f>
        <v>Bengaluru</v>
      </c>
      <c r="X259" t="s">
        <v>86</v>
      </c>
      <c r="Y259" t="str">
        <f t="shared" ref="Y259:Y322" si="80">TRIM(PROPER(CLEAN(X259)))</f>
        <v>Technology</v>
      </c>
      <c r="Z259" t="s">
        <v>87</v>
      </c>
      <c r="AA259" t="str">
        <f t="shared" ref="AA259:AA322" si="81">TRIM(PROPER(CLEAN(Z259)))</f>
        <v>Accessories</v>
      </c>
      <c r="AB259" t="s">
        <v>1346</v>
      </c>
      <c r="AC259" t="s">
        <v>33</v>
      </c>
      <c r="AD259" t="str">
        <f t="shared" ref="AD259:AD322" si="82">TRIM(PROPER(CLEAN(AC259)))</f>
        <v>Second Class</v>
      </c>
      <c r="AE259">
        <v>2</v>
      </c>
      <c r="AF259">
        <v>3237.27</v>
      </c>
      <c r="AG259">
        <v>0</v>
      </c>
      <c r="AH259">
        <v>0</v>
      </c>
      <c r="AI259" t="str">
        <f t="shared" ref="AI259:AI322" si="83">IF(AG259="","Missing Discount",IF(AG259&lt;0,"Invalid - Negative Discount",IF(AG259&gt;1,"Invalid - Above Range","Valid")))</f>
        <v>Valid</v>
      </c>
      <c r="AJ259">
        <v>6474.54</v>
      </c>
      <c r="AK259">
        <f t="shared" ref="AK259:AK322" si="84">AE259*AF259*(1-AH259)</f>
        <v>6474.54</v>
      </c>
      <c r="AL259">
        <v>5095.91</v>
      </c>
      <c r="AM259">
        <v>1378.63</v>
      </c>
      <c r="AN259">
        <f t="shared" ref="AN259:AN322" si="85">AK259-AL259</f>
        <v>1378.63</v>
      </c>
      <c r="AO259">
        <f t="shared" ref="AO259:AO322" si="86">AN259-AK259</f>
        <v>-5095.91</v>
      </c>
      <c r="AP259" t="s">
        <v>34</v>
      </c>
      <c r="AQ259" t="str">
        <f t="shared" ref="AQ259:AQ322" si="87">TRIM(PROPER(CLEAN(AP259)))</f>
        <v>Paid</v>
      </c>
      <c r="AR259" t="s">
        <v>78</v>
      </c>
      <c r="AS259" t="str">
        <f t="shared" ref="AS259:AS322" si="88">TRIM(PROPER(CLEAN(AR259)))</f>
        <v>Cancelled</v>
      </c>
      <c r="AT259" t="str">
        <f t="shared" ref="AT259:AT322" si="89">IF(OR(AH259="Unknown",AJ259="Unknown",AM259="Unknown",A259="Unknown"),"Needs Review","Clean")</f>
        <v>Clean</v>
      </c>
    </row>
    <row r="260" spans="1:46">
      <c r="A260" t="s">
        <v>1347</v>
      </c>
      <c r="B260">
        <f>COUNTIF($D$2:D260,D260)</f>
        <v>1</v>
      </c>
      <c r="C260" t="str">
        <f>IF(COUNTIF($A:$A,A260)=1,
"Unique",
IF(COUNTIFS($A:$A,A260,$N:$N,N260,$AF:$AF,AF260,$AJ:$AJ,AJ260)&gt;1,
"Exact Duplicate",
"Conflicting Duplicate"))</f>
        <v>Unique</v>
      </c>
      <c r="D260" t="s">
        <v>825</v>
      </c>
      <c r="E260" t="s">
        <v>1348</v>
      </c>
      <c r="F260" s="3">
        <v>45656</v>
      </c>
      <c r="G260" s="3">
        <v>45748</v>
      </c>
      <c r="H260" s="5" t="str">
        <f t="shared" si="72"/>
        <v>December</v>
      </c>
      <c r="I260" s="5">
        <f t="shared" si="73"/>
        <v>2024</v>
      </c>
      <c r="J260" t="str">
        <f>IF(F260="","Missing Date",
IF(ISNUMBER(F260),"Valid","Invalid Date"))</f>
        <v>Valid</v>
      </c>
      <c r="K260" t="str">
        <f t="shared" si="74"/>
        <v>Valid</v>
      </c>
      <c r="L260">
        <f>G260-F260</f>
        <v>92</v>
      </c>
      <c r="M260" t="s">
        <v>1349</v>
      </c>
      <c r="N260" t="s">
        <v>168</v>
      </c>
      <c r="O260" t="str">
        <f t="shared" si="75"/>
        <v>Sneha Kapoor</v>
      </c>
      <c r="P260" t="s">
        <v>108</v>
      </c>
      <c r="Q260" t="str">
        <f t="shared" si="76"/>
        <v>Corporate</v>
      </c>
      <c r="R260" t="s">
        <v>62</v>
      </c>
      <c r="S260" t="str">
        <f t="shared" si="77"/>
        <v>South</v>
      </c>
      <c r="T260" t="s">
        <v>339</v>
      </c>
      <c r="U260" t="str">
        <f t="shared" si="78"/>
        <v>Tamil Nadu</v>
      </c>
      <c r="V260" t="s">
        <v>340</v>
      </c>
      <c r="W260" t="str">
        <f t="shared" si="79"/>
        <v>Chennai</v>
      </c>
      <c r="X260" t="s">
        <v>45</v>
      </c>
      <c r="Y260" t="str">
        <f t="shared" si="80"/>
        <v>Furniture</v>
      </c>
      <c r="Z260" t="s">
        <v>46</v>
      </c>
      <c r="AA260" t="str">
        <f t="shared" si="81"/>
        <v>Tables</v>
      </c>
      <c r="AB260" t="s">
        <v>1350</v>
      </c>
      <c r="AC260" t="s">
        <v>48</v>
      </c>
      <c r="AD260" t="str">
        <f t="shared" si="82"/>
        <v>Same Day</v>
      </c>
      <c r="AE260">
        <v>2</v>
      </c>
      <c r="AF260">
        <v>3720.07</v>
      </c>
      <c r="AG260">
        <v>0.25</v>
      </c>
      <c r="AH260">
        <v>0.25</v>
      </c>
      <c r="AI260" t="str">
        <f t="shared" si="83"/>
        <v>Valid</v>
      </c>
      <c r="AJ260">
        <v>5580.11</v>
      </c>
      <c r="AK260">
        <f t="shared" si="84"/>
        <v>5580.1050000000005</v>
      </c>
      <c r="AL260">
        <v>4307.01</v>
      </c>
      <c r="AM260">
        <v>1273.0999999999999</v>
      </c>
      <c r="AN260">
        <f t="shared" si="85"/>
        <v>1273.0950000000003</v>
      </c>
      <c r="AO260">
        <f t="shared" si="86"/>
        <v>-4307.01</v>
      </c>
      <c r="AP260" t="s">
        <v>34</v>
      </c>
      <c r="AQ260" t="str">
        <f t="shared" si="87"/>
        <v>Paid</v>
      </c>
      <c r="AR260" t="s">
        <v>35</v>
      </c>
      <c r="AS260" t="str">
        <f t="shared" si="88"/>
        <v>Completed</v>
      </c>
      <c r="AT260" t="str">
        <f t="shared" si="89"/>
        <v>Clean</v>
      </c>
    </row>
    <row r="261" spans="1:46">
      <c r="A261" t="s">
        <v>1351</v>
      </c>
      <c r="B261">
        <f>COUNTIF($D$2:D261,D261)</f>
        <v>1</v>
      </c>
      <c r="C261" t="str">
        <f>IF(COUNTIF($A:$A,A261)=1,
"Unique",
IF(COUNTIFS($A:$A,A261,$N:$N,N261,$AF:$AF,AF261,$AJ:$AJ,AJ261)&gt;1,
"Exact Duplicate",
"Conflicting Duplicate"))</f>
        <v>Unique</v>
      </c>
      <c r="D261" t="s">
        <v>1352</v>
      </c>
      <c r="E261" t="s">
        <v>1353</v>
      </c>
      <c r="F261" s="3">
        <v>45464</v>
      </c>
      <c r="G261" s="2">
        <v>45472</v>
      </c>
      <c r="H261" s="5" t="str">
        <f t="shared" si="72"/>
        <v>June</v>
      </c>
      <c r="I261" s="5">
        <f t="shared" si="73"/>
        <v>2024</v>
      </c>
      <c r="J261" t="str">
        <f>IF(F261="","Missing Date",
IF(ISNUMBER(F261),"Valid","Invalid Date"))</f>
        <v>Valid</v>
      </c>
      <c r="K261" t="str">
        <f t="shared" si="74"/>
        <v>Valid</v>
      </c>
      <c r="L261">
        <f>G261-F261</f>
        <v>8</v>
      </c>
      <c r="M261" t="s">
        <v>1354</v>
      </c>
      <c r="N261" t="s">
        <v>93</v>
      </c>
      <c r="O261" t="str">
        <f t="shared" si="75"/>
        <v>Neha Gupta</v>
      </c>
      <c r="P261" t="s">
        <v>26</v>
      </c>
      <c r="Q261" t="str">
        <f t="shared" si="76"/>
        <v>Consumer</v>
      </c>
      <c r="R261" t="s">
        <v>62</v>
      </c>
      <c r="S261" t="str">
        <f t="shared" si="77"/>
        <v>South</v>
      </c>
      <c r="T261" t="s">
        <v>339</v>
      </c>
      <c r="U261" t="str">
        <f t="shared" si="78"/>
        <v>Tamil Nadu</v>
      </c>
      <c r="V261" t="s">
        <v>340</v>
      </c>
      <c r="W261" t="str">
        <f t="shared" si="79"/>
        <v>Chennai</v>
      </c>
      <c r="X261" t="s">
        <v>86</v>
      </c>
      <c r="Y261" t="str">
        <f t="shared" si="80"/>
        <v>Technology</v>
      </c>
      <c r="Z261" t="s">
        <v>382</v>
      </c>
      <c r="AA261" t="str">
        <f t="shared" si="81"/>
        <v>Machines</v>
      </c>
      <c r="AB261" t="s">
        <v>1355</v>
      </c>
      <c r="AC261" t="s">
        <v>67</v>
      </c>
      <c r="AD261" t="str">
        <f t="shared" si="82"/>
        <v>Standard Class</v>
      </c>
      <c r="AE261">
        <v>8</v>
      </c>
      <c r="AF261">
        <v>2853.92</v>
      </c>
      <c r="AG261">
        <v>0.2</v>
      </c>
      <c r="AH261">
        <v>0.2</v>
      </c>
      <c r="AI261" t="str">
        <f t="shared" si="83"/>
        <v>Valid</v>
      </c>
      <c r="AJ261">
        <v>18265.09</v>
      </c>
      <c r="AK261">
        <f t="shared" si="84"/>
        <v>18265.088</v>
      </c>
      <c r="AL261">
        <v>10437.14</v>
      </c>
      <c r="AM261">
        <v>7827.95</v>
      </c>
      <c r="AN261">
        <f t="shared" si="85"/>
        <v>7827.9480000000003</v>
      </c>
      <c r="AO261">
        <f t="shared" si="86"/>
        <v>-10437.14</v>
      </c>
      <c r="AP261" t="s">
        <v>34</v>
      </c>
      <c r="AQ261" t="str">
        <f t="shared" si="87"/>
        <v>Paid</v>
      </c>
      <c r="AR261" t="s">
        <v>35</v>
      </c>
      <c r="AS261" t="str">
        <f t="shared" si="88"/>
        <v>Completed</v>
      </c>
      <c r="AT261" t="str">
        <f t="shared" si="89"/>
        <v>Clean</v>
      </c>
    </row>
    <row r="262" spans="1:46">
      <c r="A262" t="s">
        <v>1356</v>
      </c>
      <c r="B262">
        <f>COUNTIF($D$2:D262,D262)</f>
        <v>2</v>
      </c>
      <c r="C262" t="str">
        <f>IF(COUNTIF($A:$A,A262)=1,
"Unique",
IF(COUNTIFS($A:$A,A262,$N:$N,N262,$AF:$AF,AF262,$AJ:$AJ,AJ262)&gt;1,
"Exact Duplicate",
"Conflicting Duplicate"))</f>
        <v>Unique</v>
      </c>
      <c r="D262" t="s">
        <v>1357</v>
      </c>
      <c r="E262" t="s">
        <v>1358</v>
      </c>
      <c r="F262" s="3">
        <v>45923</v>
      </c>
      <c r="G262" s="3">
        <v>45927</v>
      </c>
      <c r="H262" s="5" t="str">
        <f t="shared" si="72"/>
        <v>September</v>
      </c>
      <c r="I262" s="5">
        <f t="shared" si="73"/>
        <v>2025</v>
      </c>
      <c r="J262" t="str">
        <f>IF(F262="","Missing Date",
IF(ISNUMBER(F262),"Valid","Invalid Date"))</f>
        <v>Valid</v>
      </c>
      <c r="K262" t="str">
        <f t="shared" si="74"/>
        <v>Valid</v>
      </c>
      <c r="L262">
        <f>G262-F262</f>
        <v>4</v>
      </c>
      <c r="M262" t="s">
        <v>1359</v>
      </c>
      <c r="N262" t="s">
        <v>107</v>
      </c>
      <c r="O262" t="str">
        <f t="shared" si="75"/>
        <v>Aditi Sen</v>
      </c>
      <c r="P262" t="s">
        <v>108</v>
      </c>
      <c r="Q262" t="str">
        <f t="shared" si="76"/>
        <v>Corporate</v>
      </c>
      <c r="R262" t="s">
        <v>42</v>
      </c>
      <c r="S262" t="str">
        <f t="shared" si="77"/>
        <v>East</v>
      </c>
      <c r="T262" t="s">
        <v>121</v>
      </c>
      <c r="U262" t="str">
        <f t="shared" si="78"/>
        <v>West Bengal</v>
      </c>
      <c r="V262" t="s">
        <v>122</v>
      </c>
      <c r="W262" t="str">
        <f t="shared" si="79"/>
        <v>Kolkata</v>
      </c>
      <c r="X262" t="s">
        <v>30</v>
      </c>
      <c r="Y262" t="str">
        <f t="shared" si="80"/>
        <v>Office Supplies</v>
      </c>
      <c r="Z262" t="s">
        <v>198</v>
      </c>
      <c r="AA262" t="str">
        <f t="shared" si="81"/>
        <v>Binders</v>
      </c>
      <c r="AB262" t="s">
        <v>1360</v>
      </c>
      <c r="AC262" t="s">
        <v>48</v>
      </c>
      <c r="AD262" t="str">
        <f t="shared" si="82"/>
        <v>Same Day</v>
      </c>
      <c r="AE262">
        <v>7</v>
      </c>
      <c r="AF262">
        <v>2897.12</v>
      </c>
      <c r="AG262">
        <v>0.25</v>
      </c>
      <c r="AH262">
        <v>0.25</v>
      </c>
      <c r="AI262" t="str">
        <f t="shared" si="83"/>
        <v>Valid</v>
      </c>
      <c r="AJ262">
        <v>15209.88</v>
      </c>
      <c r="AK262">
        <f t="shared" si="84"/>
        <v>15209.880000000001</v>
      </c>
      <c r="AL262">
        <v>10891.15</v>
      </c>
      <c r="AM262">
        <v>4318.7299999999996</v>
      </c>
      <c r="AN262">
        <f t="shared" si="85"/>
        <v>4318.7300000000014</v>
      </c>
      <c r="AO262">
        <f t="shared" si="86"/>
        <v>-10891.15</v>
      </c>
      <c r="AP262" t="s">
        <v>200</v>
      </c>
      <c r="AQ262" t="str">
        <f t="shared" si="87"/>
        <v>Failed</v>
      </c>
      <c r="AR262" t="s">
        <v>125</v>
      </c>
      <c r="AS262" t="str">
        <f t="shared" si="88"/>
        <v>Returned</v>
      </c>
      <c r="AT262" t="str">
        <f t="shared" si="89"/>
        <v>Clean</v>
      </c>
    </row>
    <row r="263" spans="1:46">
      <c r="A263" t="s">
        <v>1361</v>
      </c>
      <c r="B263">
        <f>COUNTIF($D$2:D263,D263)</f>
        <v>1</v>
      </c>
      <c r="C263" t="str">
        <f>IF(COUNTIF($A:$A,A263)=1,
"Unique",
IF(COUNTIFS($A:$A,A263,$N:$N,N263,$AF:$AF,AF263,$AJ:$AJ,AJ263)&gt;1,
"Exact Duplicate",
"Conflicting Duplicate"))</f>
        <v>Unique</v>
      </c>
      <c r="D263" t="s">
        <v>1362</v>
      </c>
      <c r="E263" t="s">
        <v>1363</v>
      </c>
      <c r="F263" s="3">
        <v>45826</v>
      </c>
      <c r="G263" s="3">
        <v>45832</v>
      </c>
      <c r="H263" s="5" t="str">
        <f t="shared" si="72"/>
        <v>June</v>
      </c>
      <c r="I263" s="5">
        <f t="shared" si="73"/>
        <v>2025</v>
      </c>
      <c r="J263" t="str">
        <f>IF(F263="","Missing Date",
IF(ISNUMBER(F263),"Valid","Invalid Date"))</f>
        <v>Valid</v>
      </c>
      <c r="K263" t="str">
        <f t="shared" si="74"/>
        <v>Valid</v>
      </c>
      <c r="L263">
        <f>G263-F263</f>
        <v>6</v>
      </c>
      <c r="M263" t="s">
        <v>1364</v>
      </c>
      <c r="N263" t="s">
        <v>168</v>
      </c>
      <c r="O263" t="str">
        <f t="shared" si="75"/>
        <v>Sneha Kapoor</v>
      </c>
      <c r="P263" t="s">
        <v>108</v>
      </c>
      <c r="Q263" t="str">
        <f t="shared" si="76"/>
        <v>Corporate</v>
      </c>
      <c r="R263" t="s">
        <v>27</v>
      </c>
      <c r="S263" t="str">
        <f t="shared" si="77"/>
        <v>North</v>
      </c>
      <c r="T263" t="s">
        <v>28</v>
      </c>
      <c r="U263" t="str">
        <f t="shared" si="78"/>
        <v>Rajasthan</v>
      </c>
      <c r="V263" t="s">
        <v>29</v>
      </c>
      <c r="W263" t="str">
        <f t="shared" si="79"/>
        <v>Jaipur</v>
      </c>
      <c r="X263" t="s">
        <v>30</v>
      </c>
      <c r="Y263" t="str">
        <f t="shared" si="80"/>
        <v>Office Supplies</v>
      </c>
      <c r="Z263" t="s">
        <v>109</v>
      </c>
      <c r="AA263" t="str">
        <f t="shared" si="81"/>
        <v>Labels</v>
      </c>
      <c r="AB263" t="s">
        <v>1365</v>
      </c>
      <c r="AC263" t="s">
        <v>67</v>
      </c>
      <c r="AD263" t="str">
        <f t="shared" si="82"/>
        <v>Standard Class</v>
      </c>
      <c r="AE263">
        <v>3</v>
      </c>
      <c r="AF263">
        <v>686.74</v>
      </c>
      <c r="AG263">
        <v>0.2</v>
      </c>
      <c r="AH263">
        <v>0.2</v>
      </c>
      <c r="AI263" t="str">
        <f t="shared" si="83"/>
        <v>Valid</v>
      </c>
      <c r="AJ263">
        <v>1648.18</v>
      </c>
      <c r="AK263">
        <f t="shared" si="84"/>
        <v>1648.1760000000004</v>
      </c>
      <c r="AL263">
        <v>987.91</v>
      </c>
      <c r="AM263">
        <v>660.27</v>
      </c>
      <c r="AN263">
        <f t="shared" si="85"/>
        <v>660.26600000000042</v>
      </c>
      <c r="AO263">
        <f t="shared" si="86"/>
        <v>-987.91</v>
      </c>
      <c r="AP263" t="s">
        <v>200</v>
      </c>
      <c r="AQ263" t="str">
        <f t="shared" si="87"/>
        <v>Failed</v>
      </c>
      <c r="AR263" t="s">
        <v>78</v>
      </c>
      <c r="AS263" t="str">
        <f t="shared" si="88"/>
        <v>Cancelled</v>
      </c>
      <c r="AT263" t="str">
        <f t="shared" si="89"/>
        <v>Clean</v>
      </c>
    </row>
    <row r="264" spans="1:46">
      <c r="A264" t="s">
        <v>1366</v>
      </c>
      <c r="B264">
        <f>COUNTIF($D$2:D264,D264)</f>
        <v>1</v>
      </c>
      <c r="C264" t="str">
        <f>IF(COUNTIF($A:$A,A264)=1,
"Unique",
IF(COUNTIFS($A:$A,A264,$N:$N,N264,$AF:$AF,AF264,$AJ:$AJ,AJ264)&gt;1,
"Exact Duplicate",
"Conflicting Duplicate"))</f>
        <v>Unique</v>
      </c>
      <c r="D264" t="s">
        <v>1367</v>
      </c>
      <c r="E264" t="s">
        <v>1368</v>
      </c>
      <c r="F264" s="3">
        <v>45803</v>
      </c>
      <c r="G264" s="2">
        <v>45663</v>
      </c>
      <c r="H264" s="5" t="str">
        <f t="shared" si="72"/>
        <v>May</v>
      </c>
      <c r="I264" s="5">
        <f t="shared" si="73"/>
        <v>2025</v>
      </c>
      <c r="J264" t="str">
        <f>IF(F264="","Missing Date",
IF(ISNUMBER(F264),"Valid","Invalid Date"))</f>
        <v>Valid</v>
      </c>
      <c r="K264" t="str">
        <f t="shared" si="74"/>
        <v>Valid</v>
      </c>
      <c r="L264">
        <f>G264-F264</f>
        <v>-140</v>
      </c>
      <c r="M264" t="s">
        <v>950</v>
      </c>
      <c r="N264" t="s">
        <v>61</v>
      </c>
      <c r="O264" t="str">
        <f t="shared" si="75"/>
        <v>Arjun Bose</v>
      </c>
      <c r="P264" t="s">
        <v>41</v>
      </c>
      <c r="Q264" t="str">
        <f t="shared" si="76"/>
        <v>Small Business</v>
      </c>
      <c r="R264" t="s">
        <v>27</v>
      </c>
      <c r="S264" t="str">
        <f t="shared" si="77"/>
        <v>North</v>
      </c>
      <c r="T264" t="s">
        <v>506</v>
      </c>
      <c r="U264" t="str">
        <f t="shared" si="78"/>
        <v>Delhi</v>
      </c>
      <c r="V264" t="s">
        <v>507</v>
      </c>
      <c r="W264" t="str">
        <f t="shared" si="79"/>
        <v>New Delhi</v>
      </c>
      <c r="X264" t="s">
        <v>86</v>
      </c>
      <c r="Y264" t="str">
        <f t="shared" si="80"/>
        <v>Technology</v>
      </c>
      <c r="Z264" t="s">
        <v>223</v>
      </c>
      <c r="AA264" t="str">
        <f t="shared" si="81"/>
        <v>Phones</v>
      </c>
      <c r="AB264" t="s">
        <v>1369</v>
      </c>
      <c r="AC264" t="s">
        <v>48</v>
      </c>
      <c r="AD264" t="str">
        <f t="shared" si="82"/>
        <v>Same Day</v>
      </c>
      <c r="AE264">
        <v>4</v>
      </c>
      <c r="AF264">
        <v>3349.86</v>
      </c>
      <c r="AG264">
        <v>0</v>
      </c>
      <c r="AH264">
        <v>0</v>
      </c>
      <c r="AI264" t="str">
        <f t="shared" si="83"/>
        <v>Valid</v>
      </c>
      <c r="AJ264">
        <v>13399.44</v>
      </c>
      <c r="AK264">
        <f t="shared" si="84"/>
        <v>13399.44</v>
      </c>
      <c r="AL264">
        <v>8581.35</v>
      </c>
      <c r="AM264">
        <v>4818.09</v>
      </c>
      <c r="AN264">
        <f t="shared" si="85"/>
        <v>4818.09</v>
      </c>
      <c r="AO264">
        <f t="shared" si="86"/>
        <v>-8581.35</v>
      </c>
      <c r="AP264" t="s">
        <v>137</v>
      </c>
      <c r="AQ264" t="str">
        <f t="shared" si="87"/>
        <v>Pending</v>
      </c>
      <c r="AR264" t="s">
        <v>125</v>
      </c>
      <c r="AS264" t="str">
        <f t="shared" si="88"/>
        <v>Returned</v>
      </c>
      <c r="AT264" t="str">
        <f t="shared" si="89"/>
        <v>Clean</v>
      </c>
    </row>
    <row r="265" spans="1:46">
      <c r="A265" t="s">
        <v>1370</v>
      </c>
      <c r="B265">
        <f>COUNTIF($D$2:D265,D265)</f>
        <v>1</v>
      </c>
      <c r="C265" t="str">
        <f>IF(COUNTIF($A:$A,A265)=1,
"Unique",
IF(COUNTIFS($A:$A,A265,$N:$N,N265,$AF:$AF,AF265,$AJ:$AJ,AJ265)&gt;1,
"Exact Duplicate",
"Conflicting Duplicate"))</f>
        <v>Unique</v>
      </c>
      <c r="D265" t="s">
        <v>1371</v>
      </c>
      <c r="E265" t="s">
        <v>944</v>
      </c>
      <c r="F265" s="2">
        <v>45816</v>
      </c>
      <c r="G265" s="3">
        <v>45938</v>
      </c>
      <c r="H265" s="5" t="str">
        <f t="shared" si="72"/>
        <v>June</v>
      </c>
      <c r="I265" s="5">
        <f t="shared" si="73"/>
        <v>2025</v>
      </c>
      <c r="J265" t="str">
        <f>IF(F265="","Missing Date",
IF(ISNUMBER(F265),"Valid","Invalid Date"))</f>
        <v>Valid</v>
      </c>
      <c r="K265" t="str">
        <f t="shared" si="74"/>
        <v>Valid</v>
      </c>
      <c r="L265">
        <f>G265-F265</f>
        <v>122</v>
      </c>
      <c r="M265" t="s">
        <v>1372</v>
      </c>
      <c r="N265" t="s">
        <v>180</v>
      </c>
      <c r="O265" t="str">
        <f t="shared" si="75"/>
        <v>Rohan Mehta</v>
      </c>
      <c r="P265" t="s">
        <v>41</v>
      </c>
      <c r="Q265" t="str">
        <f t="shared" si="76"/>
        <v>Small Business</v>
      </c>
      <c r="R265" t="s">
        <v>27</v>
      </c>
      <c r="S265" t="str">
        <f t="shared" si="77"/>
        <v>North</v>
      </c>
      <c r="T265" t="s">
        <v>506</v>
      </c>
      <c r="U265" t="str">
        <f t="shared" si="78"/>
        <v>Delhi</v>
      </c>
      <c r="V265" t="s">
        <v>507</v>
      </c>
      <c r="W265" t="str">
        <f t="shared" si="79"/>
        <v>New Delhi</v>
      </c>
      <c r="X265" t="s">
        <v>30</v>
      </c>
      <c r="Y265" t="str">
        <f t="shared" si="80"/>
        <v>Office Supplies</v>
      </c>
      <c r="Z265" t="s">
        <v>198</v>
      </c>
      <c r="AA265" t="str">
        <f t="shared" si="81"/>
        <v>Binders</v>
      </c>
      <c r="AB265" t="s">
        <v>1373</v>
      </c>
      <c r="AC265" t="s">
        <v>33</v>
      </c>
      <c r="AD265" t="str">
        <f t="shared" si="82"/>
        <v>Second Class</v>
      </c>
      <c r="AE265">
        <v>9</v>
      </c>
      <c r="AF265">
        <v>4042.45</v>
      </c>
      <c r="AG265">
        <v>0.1</v>
      </c>
      <c r="AH265">
        <v>0.1</v>
      </c>
      <c r="AI265" t="str">
        <f t="shared" si="83"/>
        <v>Valid</v>
      </c>
      <c r="AJ265">
        <v>32743.84</v>
      </c>
      <c r="AK265">
        <f t="shared" si="84"/>
        <v>32743.844999999998</v>
      </c>
      <c r="AL265">
        <v>22452.05</v>
      </c>
      <c r="AM265">
        <v>10291.790000000001</v>
      </c>
      <c r="AN265">
        <f t="shared" si="85"/>
        <v>10291.794999999998</v>
      </c>
      <c r="AO265">
        <f t="shared" si="86"/>
        <v>-22452.05</v>
      </c>
      <c r="AP265" t="s">
        <v>137</v>
      </c>
      <c r="AQ265" t="str">
        <f t="shared" si="87"/>
        <v>Pending</v>
      </c>
      <c r="AR265" t="s">
        <v>125</v>
      </c>
      <c r="AS265" t="str">
        <f t="shared" si="88"/>
        <v>Returned</v>
      </c>
      <c r="AT265" t="str">
        <f t="shared" si="89"/>
        <v>Clean</v>
      </c>
    </row>
    <row r="266" spans="1:46">
      <c r="A266" t="s">
        <v>1374</v>
      </c>
      <c r="B266">
        <f>COUNTIF($D$2:D266,D266)</f>
        <v>1</v>
      </c>
      <c r="C266" t="str">
        <f>IF(COUNTIF($A:$A,A266)=1,
"Unique",
IF(COUNTIFS($A:$A,A266,$N:$N,N266,$AF:$AF,AF266,$AJ:$AJ,AJ266)&gt;1,
"Exact Duplicate",
"Conflicting Duplicate"))</f>
        <v>Unique</v>
      </c>
      <c r="D266" t="s">
        <v>1375</v>
      </c>
      <c r="E266" t="s">
        <v>1376</v>
      </c>
      <c r="F266" s="3">
        <v>45428</v>
      </c>
      <c r="G266" s="3">
        <v>45433</v>
      </c>
      <c r="H266" s="5" t="str">
        <f t="shared" si="72"/>
        <v>May</v>
      </c>
      <c r="I266" s="5">
        <f t="shared" si="73"/>
        <v>2024</v>
      </c>
      <c r="J266" t="str">
        <f>IF(F266="","Missing Date",
IF(ISNUMBER(F266),"Valid","Invalid Date"))</f>
        <v>Valid</v>
      </c>
      <c r="K266" t="str">
        <f t="shared" si="74"/>
        <v>Valid</v>
      </c>
      <c r="L266">
        <f>G266-F266</f>
        <v>5</v>
      </c>
      <c r="M266" t="s">
        <v>1377</v>
      </c>
      <c r="N266" t="s">
        <v>210</v>
      </c>
      <c r="O266" t="str">
        <f t="shared" si="75"/>
        <v>Diya Patel</v>
      </c>
      <c r="P266" t="s">
        <v>41</v>
      </c>
      <c r="Q266" t="str">
        <f t="shared" si="76"/>
        <v>Small Business</v>
      </c>
      <c r="R266" t="s">
        <v>42</v>
      </c>
      <c r="S266" t="str">
        <f t="shared" si="77"/>
        <v>East</v>
      </c>
      <c r="T266" t="s">
        <v>186</v>
      </c>
      <c r="U266" t="str">
        <f t="shared" si="78"/>
        <v>Bihar</v>
      </c>
      <c r="V266" t="s">
        <v>187</v>
      </c>
      <c r="W266" t="str">
        <f t="shared" si="79"/>
        <v>Patna</v>
      </c>
      <c r="X266" t="s">
        <v>86</v>
      </c>
      <c r="Y266" t="str">
        <f t="shared" si="80"/>
        <v>Technology</v>
      </c>
      <c r="Z266" t="s">
        <v>94</v>
      </c>
      <c r="AA266" t="str">
        <f t="shared" si="81"/>
        <v>Copiers</v>
      </c>
      <c r="AB266" t="s">
        <v>1378</v>
      </c>
      <c r="AC266" t="s">
        <v>67</v>
      </c>
      <c r="AD266" t="str">
        <f t="shared" si="82"/>
        <v>Standard Class</v>
      </c>
      <c r="AE266">
        <v>4</v>
      </c>
      <c r="AF266">
        <v>1503.07</v>
      </c>
      <c r="AG266">
        <v>0</v>
      </c>
      <c r="AH266">
        <v>0</v>
      </c>
      <c r="AI266" t="str">
        <f t="shared" si="83"/>
        <v>Valid</v>
      </c>
      <c r="AJ266">
        <v>6012.28</v>
      </c>
      <c r="AK266">
        <f t="shared" si="84"/>
        <v>6012.28</v>
      </c>
      <c r="AL266">
        <v>3927.64</v>
      </c>
      <c r="AM266">
        <v>2084.64</v>
      </c>
      <c r="AN266">
        <f t="shared" si="85"/>
        <v>2084.64</v>
      </c>
      <c r="AO266">
        <f t="shared" si="86"/>
        <v>-3927.64</v>
      </c>
      <c r="AP266" t="s">
        <v>34</v>
      </c>
      <c r="AQ266" t="str">
        <f t="shared" si="87"/>
        <v>Paid</v>
      </c>
      <c r="AR266" t="s">
        <v>35</v>
      </c>
      <c r="AS266" t="str">
        <f t="shared" si="88"/>
        <v>Completed</v>
      </c>
      <c r="AT266" t="str">
        <f t="shared" si="89"/>
        <v>Clean</v>
      </c>
    </row>
    <row r="267" spans="1:46">
      <c r="A267" t="s">
        <v>1379</v>
      </c>
      <c r="B267">
        <f>COUNTIF($D$2:D267,D267)</f>
        <v>1</v>
      </c>
      <c r="C267" t="str">
        <f>IF(COUNTIF($A:$A,A267)=1,
"Unique",
IF(COUNTIFS($A:$A,A267,$N:$N,N267,$AF:$AF,AF267,$AJ:$AJ,AJ267)&gt;1,
"Exact Duplicate",
"Conflicting Duplicate"))</f>
        <v>Unique</v>
      </c>
      <c r="D267" t="s">
        <v>1380</v>
      </c>
      <c r="E267" t="s">
        <v>911</v>
      </c>
      <c r="F267" s="2">
        <v>45610</v>
      </c>
      <c r="G267" s="3">
        <v>45618</v>
      </c>
      <c r="H267" s="5" t="str">
        <f t="shared" si="72"/>
        <v>November</v>
      </c>
      <c r="I267" s="5">
        <f t="shared" si="73"/>
        <v>2024</v>
      </c>
      <c r="J267" t="str">
        <f>IF(F267="","Missing Date",
IF(ISNUMBER(F267),"Valid","Invalid Date"))</f>
        <v>Valid</v>
      </c>
      <c r="K267" t="str">
        <f t="shared" si="74"/>
        <v>Valid</v>
      </c>
      <c r="L267">
        <f>G267-F267</f>
        <v>8</v>
      </c>
      <c r="M267" t="s">
        <v>1381</v>
      </c>
      <c r="N267" t="s">
        <v>142</v>
      </c>
      <c r="O267" t="str">
        <f t="shared" si="75"/>
        <v>Priya Menon</v>
      </c>
      <c r="P267" t="s">
        <v>108</v>
      </c>
      <c r="Q267" t="str">
        <f t="shared" si="76"/>
        <v>Corporate</v>
      </c>
      <c r="R267" t="s">
        <v>42</v>
      </c>
      <c r="S267" t="str">
        <f t="shared" si="77"/>
        <v>East</v>
      </c>
      <c r="T267" t="s">
        <v>186</v>
      </c>
      <c r="U267" t="str">
        <f t="shared" si="78"/>
        <v>Bihar</v>
      </c>
      <c r="V267" t="s">
        <v>187</v>
      </c>
      <c r="W267" t="str">
        <f t="shared" si="79"/>
        <v>Patna</v>
      </c>
      <c r="X267" t="s">
        <v>45</v>
      </c>
      <c r="Y267" t="str">
        <f t="shared" si="80"/>
        <v>Furniture</v>
      </c>
      <c r="Z267" t="s">
        <v>204</v>
      </c>
      <c r="AA267" t="str">
        <f t="shared" si="81"/>
        <v>Bookcases</v>
      </c>
      <c r="AB267" t="s">
        <v>1382</v>
      </c>
      <c r="AC267" t="s">
        <v>48</v>
      </c>
      <c r="AD267" t="str">
        <f t="shared" si="82"/>
        <v>Same Day</v>
      </c>
      <c r="AE267">
        <v>1</v>
      </c>
      <c r="AF267">
        <v>582.37</v>
      </c>
      <c r="AG267">
        <v>0.15</v>
      </c>
      <c r="AH267">
        <v>0.15</v>
      </c>
      <c r="AI267" t="str">
        <f t="shared" si="83"/>
        <v>Valid</v>
      </c>
      <c r="AJ267">
        <v>495.01</v>
      </c>
      <c r="AK267">
        <f t="shared" si="84"/>
        <v>495.0145</v>
      </c>
      <c r="AL267">
        <v>285.13</v>
      </c>
      <c r="AM267">
        <v>209.88</v>
      </c>
      <c r="AN267">
        <f t="shared" si="85"/>
        <v>209.8845</v>
      </c>
      <c r="AO267">
        <f t="shared" si="86"/>
        <v>-285.13</v>
      </c>
      <c r="AP267" t="s">
        <v>124</v>
      </c>
      <c r="AQ267" t="str">
        <f t="shared" si="87"/>
        <v>Refunded</v>
      </c>
      <c r="AR267" t="s">
        <v>78</v>
      </c>
      <c r="AS267" t="str">
        <f t="shared" si="88"/>
        <v>Cancelled</v>
      </c>
      <c r="AT267" t="str">
        <f t="shared" si="89"/>
        <v>Clean</v>
      </c>
    </row>
    <row r="268" spans="1:46">
      <c r="A268" t="s">
        <v>1383</v>
      </c>
      <c r="B268">
        <f>COUNTIF($D$2:D268,D268)</f>
        <v>1</v>
      </c>
      <c r="C268" t="str">
        <f>IF(COUNTIF($A:$A,A268)=1,
"Unique",
IF(COUNTIFS($A:$A,A268,$N:$N,N268,$AF:$AF,AF268,$AJ:$AJ,AJ268)&gt;1,
"Exact Duplicate",
"Conflicting Duplicate"))</f>
        <v>Unique</v>
      </c>
      <c r="D268" t="s">
        <v>1384</v>
      </c>
      <c r="E268" t="s">
        <v>1385</v>
      </c>
      <c r="F268" s="3">
        <v>45721</v>
      </c>
      <c r="G268" s="3">
        <v>45935</v>
      </c>
      <c r="H268" s="5" t="str">
        <f t="shared" si="72"/>
        <v>March</v>
      </c>
      <c r="I268" s="5">
        <f t="shared" si="73"/>
        <v>2025</v>
      </c>
      <c r="J268" t="str">
        <f>IF(F268="","Missing Date",
IF(ISNUMBER(F268),"Valid","Invalid Date"))</f>
        <v>Valid</v>
      </c>
      <c r="K268" t="str">
        <f t="shared" si="74"/>
        <v>Valid</v>
      </c>
      <c r="L268">
        <f>G268-F268</f>
        <v>214</v>
      </c>
      <c r="M268" t="s">
        <v>1386</v>
      </c>
      <c r="N268" t="s">
        <v>93</v>
      </c>
      <c r="O268" t="str">
        <f t="shared" si="75"/>
        <v>Neha Gupta</v>
      </c>
      <c r="P268" t="s">
        <v>115</v>
      </c>
      <c r="Q268" t="str">
        <f t="shared" si="76"/>
        <v>Home Office</v>
      </c>
      <c r="R268" t="s">
        <v>73</v>
      </c>
      <c r="S268" t="str">
        <f t="shared" si="77"/>
        <v>West</v>
      </c>
      <c r="T268" t="s">
        <v>74</v>
      </c>
      <c r="U268" t="str">
        <f t="shared" si="78"/>
        <v>Maharashtra</v>
      </c>
      <c r="V268" t="s">
        <v>75</v>
      </c>
      <c r="W268" t="str">
        <f t="shared" si="79"/>
        <v>Mumbai</v>
      </c>
      <c r="X268" t="s">
        <v>30</v>
      </c>
      <c r="Y268" t="str">
        <f t="shared" si="80"/>
        <v>Office Supplies</v>
      </c>
      <c r="Z268" t="s">
        <v>156</v>
      </c>
      <c r="AA268" t="str">
        <f t="shared" si="81"/>
        <v>Storage</v>
      </c>
      <c r="AB268" t="s">
        <v>1387</v>
      </c>
      <c r="AC268" t="s">
        <v>33</v>
      </c>
      <c r="AD268" t="str">
        <f t="shared" si="82"/>
        <v>Second Class</v>
      </c>
      <c r="AE268">
        <v>3</v>
      </c>
      <c r="AF268">
        <v>4339.24</v>
      </c>
      <c r="AG268">
        <v>0</v>
      </c>
      <c r="AH268">
        <v>0</v>
      </c>
      <c r="AI268" t="str">
        <f t="shared" si="83"/>
        <v>Valid</v>
      </c>
      <c r="AJ268">
        <v>13017.72</v>
      </c>
      <c r="AK268">
        <f t="shared" si="84"/>
        <v>13017.72</v>
      </c>
      <c r="AL268">
        <v>10170.57</v>
      </c>
      <c r="AM268">
        <v>2847.15</v>
      </c>
      <c r="AN268">
        <f t="shared" si="85"/>
        <v>2847.1499999999996</v>
      </c>
      <c r="AO268">
        <f t="shared" si="86"/>
        <v>-10170.57</v>
      </c>
      <c r="AP268" t="s">
        <v>34</v>
      </c>
      <c r="AQ268" t="str">
        <f t="shared" si="87"/>
        <v>Paid</v>
      </c>
      <c r="AR268" t="s">
        <v>35</v>
      </c>
      <c r="AS268" t="str">
        <f t="shared" si="88"/>
        <v>Completed</v>
      </c>
      <c r="AT268" t="str">
        <f t="shared" si="89"/>
        <v>Clean</v>
      </c>
    </row>
    <row r="269" spans="1:46">
      <c r="A269" t="s">
        <v>1388</v>
      </c>
      <c r="B269">
        <f>COUNTIF($D$2:D269,D269)</f>
        <v>1</v>
      </c>
      <c r="C269" t="str">
        <f>IF(COUNTIF($A:$A,A269)=1,
"Unique",
IF(COUNTIFS($A:$A,A269,$N:$N,N269,$AF:$AF,AF269,$AJ:$AJ,AJ269)&gt;1,
"Exact Duplicate",
"Conflicting Duplicate"))</f>
        <v>Unique</v>
      </c>
      <c r="D269" t="s">
        <v>1018</v>
      </c>
      <c r="E269" t="s">
        <v>1389</v>
      </c>
      <c r="F269" s="2">
        <v>45805</v>
      </c>
      <c r="G269" s="3">
        <v>45753</v>
      </c>
      <c r="H269" s="5" t="str">
        <f t="shared" si="72"/>
        <v>May</v>
      </c>
      <c r="I269" s="5">
        <f t="shared" si="73"/>
        <v>2025</v>
      </c>
      <c r="J269" t="str">
        <f>IF(F269="","Missing Date",
IF(ISNUMBER(F269),"Valid","Invalid Date"))</f>
        <v>Valid</v>
      </c>
      <c r="K269" t="str">
        <f t="shared" si="74"/>
        <v>Valid</v>
      </c>
      <c r="L269">
        <f>G269-F269</f>
        <v>-52</v>
      </c>
      <c r="M269" t="s">
        <v>1390</v>
      </c>
      <c r="N269" t="s">
        <v>210</v>
      </c>
      <c r="O269" t="str">
        <f t="shared" si="75"/>
        <v>Diya Patel</v>
      </c>
      <c r="P269" t="s">
        <v>108</v>
      </c>
      <c r="Q269" t="str">
        <f t="shared" si="76"/>
        <v>Corporate</v>
      </c>
      <c r="R269" t="s">
        <v>42</v>
      </c>
      <c r="S269" t="str">
        <f t="shared" si="77"/>
        <v>East</v>
      </c>
      <c r="T269" t="s">
        <v>311</v>
      </c>
      <c r="U269" t="str">
        <f t="shared" si="78"/>
        <v>Jharkhand</v>
      </c>
      <c r="V269" t="s">
        <v>312</v>
      </c>
      <c r="W269" t="str">
        <f t="shared" si="79"/>
        <v>Ranchi</v>
      </c>
      <c r="X269" t="s">
        <v>45</v>
      </c>
      <c r="Y269" t="str">
        <f t="shared" si="80"/>
        <v>Furniture</v>
      </c>
      <c r="Z269" t="s">
        <v>65</v>
      </c>
      <c r="AA269" t="str">
        <f t="shared" si="81"/>
        <v>Furnishings</v>
      </c>
      <c r="AB269" t="s">
        <v>1391</v>
      </c>
      <c r="AC269" t="s">
        <v>56</v>
      </c>
      <c r="AD269" t="str">
        <f t="shared" si="82"/>
        <v>First Class</v>
      </c>
      <c r="AE269">
        <v>4</v>
      </c>
      <c r="AF269">
        <v>261.8</v>
      </c>
      <c r="AG269">
        <v>0.25</v>
      </c>
      <c r="AH269">
        <v>0.25</v>
      </c>
      <c r="AI269" t="str">
        <f t="shared" si="83"/>
        <v>Valid</v>
      </c>
      <c r="AJ269">
        <v>785.4</v>
      </c>
      <c r="AK269">
        <f t="shared" si="84"/>
        <v>785.40000000000009</v>
      </c>
      <c r="AL269">
        <v>557.22</v>
      </c>
      <c r="AM269">
        <v>228.18</v>
      </c>
      <c r="AN269">
        <f t="shared" si="85"/>
        <v>228.18000000000006</v>
      </c>
      <c r="AO269">
        <f t="shared" si="86"/>
        <v>-557.22</v>
      </c>
      <c r="AP269" t="s">
        <v>34</v>
      </c>
      <c r="AQ269" t="str">
        <f t="shared" si="87"/>
        <v>Paid</v>
      </c>
      <c r="AR269" t="s">
        <v>35</v>
      </c>
      <c r="AS269" t="str">
        <f t="shared" si="88"/>
        <v>Completed</v>
      </c>
      <c r="AT269" t="str">
        <f t="shared" si="89"/>
        <v>Clean</v>
      </c>
    </row>
    <row r="270" spans="1:46">
      <c r="A270" t="s">
        <v>1392</v>
      </c>
      <c r="B270">
        <f>COUNTIF($D$2:D270,D270)</f>
        <v>1</v>
      </c>
      <c r="C270" t="str">
        <f>IF(COUNTIF($A:$A,A270)=1,
"Unique",
IF(COUNTIFS($A:$A,A270,$N:$N,N270,$AF:$AF,AF270,$AJ:$AJ,AJ270)&gt;1,
"Exact Duplicate",
"Conflicting Duplicate"))</f>
        <v>Unique</v>
      </c>
      <c r="D270" t="s">
        <v>1393</v>
      </c>
      <c r="E270" t="s">
        <v>1393</v>
      </c>
      <c r="F270" s="3">
        <v>45886</v>
      </c>
      <c r="G270" s="3">
        <v>45886</v>
      </c>
      <c r="H270" s="5" t="str">
        <f t="shared" si="72"/>
        <v>August</v>
      </c>
      <c r="I270" s="5">
        <f t="shared" si="73"/>
        <v>2025</v>
      </c>
      <c r="J270" t="str">
        <f>IF(F270="","Missing Date",
IF(ISNUMBER(F270),"Valid","Invalid Date"))</f>
        <v>Valid</v>
      </c>
      <c r="K270" t="str">
        <f t="shared" si="74"/>
        <v>Valid</v>
      </c>
      <c r="L270">
        <f>G270-F270</f>
        <v>0</v>
      </c>
      <c r="M270" t="s">
        <v>1394</v>
      </c>
      <c r="N270" t="s">
        <v>162</v>
      </c>
      <c r="O270" t="str">
        <f t="shared" si="75"/>
        <v>Aarav Sharma</v>
      </c>
      <c r="P270" t="s">
        <v>115</v>
      </c>
      <c r="Q270" t="str">
        <f t="shared" si="76"/>
        <v>Home Office</v>
      </c>
      <c r="R270" t="s">
        <v>27</v>
      </c>
      <c r="S270" t="str">
        <f t="shared" si="77"/>
        <v>North</v>
      </c>
      <c r="T270" t="s">
        <v>154</v>
      </c>
      <c r="U270" t="str">
        <f t="shared" si="78"/>
        <v>Punjab</v>
      </c>
      <c r="V270" t="s">
        <v>155</v>
      </c>
      <c r="W270" t="str">
        <f t="shared" si="79"/>
        <v>Ludhiana</v>
      </c>
      <c r="X270" t="s">
        <v>86</v>
      </c>
      <c r="Y270" t="str">
        <f t="shared" si="80"/>
        <v>Technology</v>
      </c>
      <c r="Z270" t="s">
        <v>87</v>
      </c>
      <c r="AA270" t="str">
        <f t="shared" si="81"/>
        <v>Accessories</v>
      </c>
      <c r="AB270" t="s">
        <v>1395</v>
      </c>
      <c r="AC270" t="s">
        <v>56</v>
      </c>
      <c r="AD270" t="str">
        <f t="shared" si="82"/>
        <v>First Class</v>
      </c>
      <c r="AE270">
        <v>7</v>
      </c>
      <c r="AF270">
        <v>632.20000000000005</v>
      </c>
      <c r="AG270">
        <v>0.25</v>
      </c>
      <c r="AH270">
        <v>0.25</v>
      </c>
      <c r="AI270" t="str">
        <f t="shared" si="83"/>
        <v>Valid</v>
      </c>
      <c r="AJ270">
        <v>3319.05</v>
      </c>
      <c r="AK270">
        <f t="shared" si="84"/>
        <v>3319.05</v>
      </c>
      <c r="AL270">
        <v>2124.6</v>
      </c>
      <c r="AM270">
        <v>1194.45</v>
      </c>
      <c r="AN270">
        <f t="shared" si="85"/>
        <v>1194.4500000000003</v>
      </c>
      <c r="AO270">
        <f t="shared" si="86"/>
        <v>-2124.6</v>
      </c>
      <c r="AP270" t="s">
        <v>34</v>
      </c>
      <c r="AQ270" t="str">
        <f t="shared" si="87"/>
        <v>Paid</v>
      </c>
      <c r="AR270" t="s">
        <v>35</v>
      </c>
      <c r="AS270" t="str">
        <f t="shared" si="88"/>
        <v>Completed</v>
      </c>
      <c r="AT270" t="str">
        <f t="shared" si="89"/>
        <v>Clean</v>
      </c>
    </row>
    <row r="271" spans="1:46">
      <c r="A271" t="s">
        <v>1396</v>
      </c>
      <c r="B271">
        <f>COUNTIF($D$2:D271,D271)</f>
        <v>1</v>
      </c>
      <c r="C271" t="str">
        <f>IF(COUNTIF($A:$A,A271)=1,
"Unique",
IF(COUNTIFS($A:$A,A271,$N:$N,N271,$AF:$AF,AF271,$AJ:$AJ,AJ271)&gt;1,
"Exact Duplicate",
"Conflicting Duplicate"))</f>
        <v>Unique</v>
      </c>
      <c r="D271" t="s">
        <v>1335</v>
      </c>
      <c r="E271" t="s">
        <v>1397</v>
      </c>
      <c r="F271" s="3">
        <v>45698</v>
      </c>
      <c r="G271" s="3">
        <v>45700</v>
      </c>
      <c r="H271" s="5" t="str">
        <f t="shared" si="72"/>
        <v>February</v>
      </c>
      <c r="I271" s="5">
        <f t="shared" si="73"/>
        <v>2025</v>
      </c>
      <c r="J271" t="str">
        <f>IF(F271="","Missing Date",
IF(ISNUMBER(F271),"Valid","Invalid Date"))</f>
        <v>Valid</v>
      </c>
      <c r="K271" t="str">
        <f t="shared" si="74"/>
        <v>Valid</v>
      </c>
      <c r="L271">
        <f>G271-F271</f>
        <v>2</v>
      </c>
      <c r="M271" t="s">
        <v>1398</v>
      </c>
      <c r="N271" t="s">
        <v>148</v>
      </c>
      <c r="O271" t="str">
        <f t="shared" si="75"/>
        <v>Rahul Verma</v>
      </c>
      <c r="P271" t="s">
        <v>41</v>
      </c>
      <c r="Q271" t="str">
        <f t="shared" si="76"/>
        <v>Small Business</v>
      </c>
      <c r="R271" t="s">
        <v>73</v>
      </c>
      <c r="S271" t="str">
        <f t="shared" si="77"/>
        <v>West</v>
      </c>
      <c r="T271" t="s">
        <v>28</v>
      </c>
      <c r="U271" t="str">
        <f t="shared" si="78"/>
        <v>Rajasthan</v>
      </c>
      <c r="V271" t="s">
        <v>135</v>
      </c>
      <c r="W271" t="str">
        <f t="shared" si="79"/>
        <v>Udaipur</v>
      </c>
      <c r="X271" t="s">
        <v>45</v>
      </c>
      <c r="Y271" t="str">
        <f t="shared" si="80"/>
        <v>Furniture</v>
      </c>
      <c r="Z271" t="s">
        <v>46</v>
      </c>
      <c r="AA271" t="str">
        <f t="shared" si="81"/>
        <v>Tables</v>
      </c>
      <c r="AB271" t="s">
        <v>1399</v>
      </c>
      <c r="AC271" t="s">
        <v>48</v>
      </c>
      <c r="AD271" t="str">
        <f t="shared" si="82"/>
        <v>Same Day</v>
      </c>
      <c r="AE271">
        <v>1</v>
      </c>
      <c r="AF271">
        <v>1925.86</v>
      </c>
      <c r="AG271">
        <v>0</v>
      </c>
      <c r="AH271">
        <v>0</v>
      </c>
      <c r="AI271" t="str">
        <f t="shared" si="83"/>
        <v>Valid</v>
      </c>
      <c r="AJ271">
        <v>1925.86</v>
      </c>
      <c r="AK271">
        <f t="shared" si="84"/>
        <v>1925.86</v>
      </c>
      <c r="AL271">
        <v>1321.89</v>
      </c>
      <c r="AM271">
        <v>603.97</v>
      </c>
      <c r="AN271">
        <f t="shared" si="85"/>
        <v>603.9699999999998</v>
      </c>
      <c r="AO271">
        <f t="shared" si="86"/>
        <v>-1321.89</v>
      </c>
      <c r="AP271" t="s">
        <v>34</v>
      </c>
      <c r="AQ271" t="str">
        <f t="shared" si="87"/>
        <v>Paid</v>
      </c>
      <c r="AR271" t="s">
        <v>35</v>
      </c>
      <c r="AS271" t="str">
        <f t="shared" si="88"/>
        <v>Completed</v>
      </c>
      <c r="AT271" t="str">
        <f t="shared" si="89"/>
        <v>Clean</v>
      </c>
    </row>
    <row r="272" spans="1:46">
      <c r="A272" t="s">
        <v>1400</v>
      </c>
      <c r="B272">
        <f>COUNTIF($D$2:D272,D272)</f>
        <v>2</v>
      </c>
      <c r="C272" t="str">
        <f>IF(COUNTIF($A:$A,A272)=1,
"Unique",
IF(COUNTIFS($A:$A,A272,$N:$N,N272,$AF:$AF,AF272,$AJ:$AJ,AJ272)&gt;1,
"Exact Duplicate",
"Conflicting Duplicate"))</f>
        <v>Unique</v>
      </c>
      <c r="D272" t="s">
        <v>1258</v>
      </c>
      <c r="E272" t="s">
        <v>563</v>
      </c>
      <c r="F272" s="3">
        <v>45303</v>
      </c>
      <c r="G272" s="3">
        <v>45304</v>
      </c>
      <c r="H272" s="5" t="str">
        <f t="shared" si="72"/>
        <v>January</v>
      </c>
      <c r="I272" s="5">
        <f t="shared" si="73"/>
        <v>2024</v>
      </c>
      <c r="J272" t="str">
        <f>IF(F272="","Missing Date",
IF(ISNUMBER(F272),"Valid","Invalid Date"))</f>
        <v>Valid</v>
      </c>
      <c r="K272" t="str">
        <f t="shared" si="74"/>
        <v>Valid</v>
      </c>
      <c r="L272">
        <f>G272-F272</f>
        <v>1</v>
      </c>
      <c r="M272" t="s">
        <v>1401</v>
      </c>
      <c r="N272" t="s">
        <v>107</v>
      </c>
      <c r="O272" t="str">
        <f t="shared" si="75"/>
        <v>Aditi Sen</v>
      </c>
      <c r="P272" t="s">
        <v>108</v>
      </c>
      <c r="Q272" t="str">
        <f t="shared" si="76"/>
        <v>Corporate</v>
      </c>
      <c r="R272" t="s">
        <v>27</v>
      </c>
      <c r="S272" t="str">
        <f t="shared" si="77"/>
        <v>North</v>
      </c>
      <c r="T272" t="s">
        <v>174</v>
      </c>
      <c r="U272" t="str">
        <f t="shared" si="78"/>
        <v>Uttar Pradesh</v>
      </c>
      <c r="V272" t="s">
        <v>175</v>
      </c>
      <c r="W272" t="str">
        <f t="shared" si="79"/>
        <v>Noida</v>
      </c>
      <c r="X272" t="s">
        <v>86</v>
      </c>
      <c r="Y272" t="str">
        <f t="shared" si="80"/>
        <v>Technology</v>
      </c>
      <c r="Z272" t="s">
        <v>382</v>
      </c>
      <c r="AA272" t="str">
        <f t="shared" si="81"/>
        <v>Machines</v>
      </c>
      <c r="AB272" t="s">
        <v>1402</v>
      </c>
      <c r="AC272" t="s">
        <v>48</v>
      </c>
      <c r="AD272" t="str">
        <f t="shared" si="82"/>
        <v>Same Day</v>
      </c>
      <c r="AE272">
        <v>3</v>
      </c>
      <c r="AF272">
        <v>827.44</v>
      </c>
      <c r="AG272">
        <v>0</v>
      </c>
      <c r="AH272">
        <v>0</v>
      </c>
      <c r="AI272" t="str">
        <f t="shared" si="83"/>
        <v>Valid</v>
      </c>
      <c r="AJ272">
        <v>2482.3200000000002</v>
      </c>
      <c r="AK272">
        <f t="shared" si="84"/>
        <v>2482.3200000000002</v>
      </c>
      <c r="AL272">
        <v>1520.21</v>
      </c>
      <c r="AM272">
        <v>962.11</v>
      </c>
      <c r="AN272">
        <f t="shared" si="85"/>
        <v>962.11000000000013</v>
      </c>
      <c r="AO272">
        <f t="shared" si="86"/>
        <v>-1520.21</v>
      </c>
      <c r="AP272" t="s">
        <v>34</v>
      </c>
      <c r="AQ272" t="str">
        <f t="shared" si="87"/>
        <v>Paid</v>
      </c>
      <c r="AR272" t="s">
        <v>35</v>
      </c>
      <c r="AS272" t="str">
        <f t="shared" si="88"/>
        <v>Completed</v>
      </c>
      <c r="AT272" t="str">
        <f t="shared" si="89"/>
        <v>Clean</v>
      </c>
    </row>
    <row r="273" spans="1:46">
      <c r="A273" t="s">
        <v>1403</v>
      </c>
      <c r="B273">
        <f>COUNTIF($D$2:D273,D273)</f>
        <v>1</v>
      </c>
      <c r="C273" t="str">
        <f>IF(COUNTIF($A:$A,A273)=1,
"Unique",
IF(COUNTIFS($A:$A,A273,$N:$N,N273,$AF:$AF,AF273,$AJ:$AJ,AJ273)&gt;1,
"Exact Duplicate",
"Conflicting Duplicate"))</f>
        <v>Unique</v>
      </c>
      <c r="D273" t="s">
        <v>1404</v>
      </c>
      <c r="E273" t="s">
        <v>1405</v>
      </c>
      <c r="F273" s="2">
        <v>45647</v>
      </c>
      <c r="G273" s="2">
        <v>45651</v>
      </c>
      <c r="H273" s="5" t="str">
        <f t="shared" si="72"/>
        <v>December</v>
      </c>
      <c r="I273" s="5">
        <f t="shared" si="73"/>
        <v>2024</v>
      </c>
      <c r="J273" t="str">
        <f>IF(F273="","Missing Date",
IF(ISNUMBER(F273),"Valid","Invalid Date"))</f>
        <v>Valid</v>
      </c>
      <c r="K273" t="str">
        <f t="shared" si="74"/>
        <v>Valid</v>
      </c>
      <c r="L273">
        <f>G273-F273</f>
        <v>4</v>
      </c>
      <c r="M273" t="s">
        <v>1406</v>
      </c>
      <c r="N273" t="s">
        <v>107</v>
      </c>
      <c r="O273" t="str">
        <f t="shared" si="75"/>
        <v>Aditi Sen</v>
      </c>
      <c r="P273" t="s">
        <v>26</v>
      </c>
      <c r="Q273" t="str">
        <f t="shared" si="76"/>
        <v>Consumer</v>
      </c>
      <c r="R273" t="s">
        <v>62</v>
      </c>
      <c r="S273" t="str">
        <f t="shared" si="77"/>
        <v>South</v>
      </c>
      <c r="T273" t="s">
        <v>63</v>
      </c>
      <c r="U273" t="str">
        <f t="shared" si="78"/>
        <v>Telangana</v>
      </c>
      <c r="V273" t="s">
        <v>64</v>
      </c>
      <c r="W273" t="str">
        <f t="shared" si="79"/>
        <v>Hyderabad</v>
      </c>
      <c r="X273" t="s">
        <v>30</v>
      </c>
      <c r="Y273" t="str">
        <f t="shared" si="80"/>
        <v>Office Supplies</v>
      </c>
      <c r="Z273" t="s">
        <v>198</v>
      </c>
      <c r="AA273" t="str">
        <f t="shared" si="81"/>
        <v>Binders</v>
      </c>
      <c r="AB273" t="s">
        <v>1407</v>
      </c>
      <c r="AC273" t="s">
        <v>67</v>
      </c>
      <c r="AD273" t="str">
        <f t="shared" si="82"/>
        <v>Standard Class</v>
      </c>
      <c r="AE273">
        <v>7</v>
      </c>
      <c r="AF273">
        <v>1667.75</v>
      </c>
      <c r="AG273">
        <v>0</v>
      </c>
      <c r="AH273">
        <v>0</v>
      </c>
      <c r="AI273" t="str">
        <f t="shared" si="83"/>
        <v>Valid</v>
      </c>
      <c r="AJ273">
        <v>11674.25</v>
      </c>
      <c r="AK273">
        <f t="shared" si="84"/>
        <v>11674.25</v>
      </c>
      <c r="AL273">
        <v>9621.19</v>
      </c>
      <c r="AM273">
        <v>2053.06</v>
      </c>
      <c r="AN273">
        <f t="shared" si="85"/>
        <v>2053.0599999999995</v>
      </c>
      <c r="AO273">
        <f t="shared" si="86"/>
        <v>-9621.19</v>
      </c>
      <c r="AP273" t="s">
        <v>200</v>
      </c>
      <c r="AQ273" t="str">
        <f t="shared" si="87"/>
        <v>Failed</v>
      </c>
      <c r="AR273" t="s">
        <v>78</v>
      </c>
      <c r="AS273" t="str">
        <f t="shared" si="88"/>
        <v>Cancelled</v>
      </c>
      <c r="AT273" t="str">
        <f t="shared" si="89"/>
        <v>Clean</v>
      </c>
    </row>
    <row r="274" spans="1:46">
      <c r="A274" t="s">
        <v>1408</v>
      </c>
      <c r="B274">
        <f>COUNTIF($D$2:D274,D274)</f>
        <v>1</v>
      </c>
      <c r="C274" t="str">
        <f>IF(COUNTIF($A:$A,A274)=1,
"Unique",
IF(COUNTIFS($A:$A,A274,$N:$N,N274,$AF:$AF,AF274,$AJ:$AJ,AJ274)&gt;1,
"Exact Duplicate",
"Conflicting Duplicate"))</f>
        <v>Conflicting Duplicate</v>
      </c>
      <c r="D274" t="s">
        <v>1409</v>
      </c>
      <c r="E274" t="s">
        <v>1410</v>
      </c>
      <c r="F274" s="3">
        <v>45522</v>
      </c>
      <c r="G274" s="2">
        <v>45528</v>
      </c>
      <c r="H274" s="5" t="str">
        <f t="shared" si="72"/>
        <v>August</v>
      </c>
      <c r="I274" s="5">
        <f t="shared" si="73"/>
        <v>2024</v>
      </c>
      <c r="J274" t="str">
        <f>IF(F274="","Missing Date",
IF(ISNUMBER(F274),"Valid","Invalid Date"))</f>
        <v>Valid</v>
      </c>
      <c r="K274" t="str">
        <f t="shared" si="74"/>
        <v>Valid</v>
      </c>
      <c r="L274">
        <f>G274-F274</f>
        <v>6</v>
      </c>
      <c r="M274" t="s">
        <v>1411</v>
      </c>
      <c r="N274" t="s">
        <v>61</v>
      </c>
      <c r="O274" t="str">
        <f t="shared" si="75"/>
        <v>Arjun Bose</v>
      </c>
      <c r="P274" t="s">
        <v>26</v>
      </c>
      <c r="Q274" t="str">
        <f t="shared" si="76"/>
        <v>Consumer</v>
      </c>
      <c r="R274" t="s">
        <v>62</v>
      </c>
      <c r="S274" t="str">
        <f t="shared" si="77"/>
        <v>South</v>
      </c>
      <c r="T274" t="s">
        <v>100</v>
      </c>
      <c r="U274" t="str">
        <f t="shared" si="78"/>
        <v>Andhra Pradesh</v>
      </c>
      <c r="V274" t="s">
        <v>101</v>
      </c>
      <c r="W274" t="str">
        <f t="shared" si="79"/>
        <v>Vijayawada</v>
      </c>
      <c r="X274" t="s">
        <v>45</v>
      </c>
      <c r="Y274" t="str">
        <f t="shared" si="80"/>
        <v>Furniture</v>
      </c>
      <c r="Z274" t="s">
        <v>76</v>
      </c>
      <c r="AA274" t="str">
        <f t="shared" si="81"/>
        <v>Chairs</v>
      </c>
      <c r="AB274" t="s">
        <v>1412</v>
      </c>
      <c r="AC274" t="s">
        <v>56</v>
      </c>
      <c r="AD274" t="str">
        <f t="shared" si="82"/>
        <v>First Class</v>
      </c>
      <c r="AE274">
        <v>7</v>
      </c>
      <c r="AF274">
        <v>557.21</v>
      </c>
      <c r="AG274">
        <v>0.1</v>
      </c>
      <c r="AH274">
        <v>0.1</v>
      </c>
      <c r="AI274" t="str">
        <f t="shared" si="83"/>
        <v>Valid</v>
      </c>
      <c r="AJ274">
        <v>3510.42</v>
      </c>
      <c r="AK274">
        <f t="shared" si="84"/>
        <v>3510.4230000000002</v>
      </c>
      <c r="AL274">
        <v>2191.5</v>
      </c>
      <c r="AM274">
        <v>1213.48</v>
      </c>
      <c r="AN274">
        <f t="shared" si="85"/>
        <v>1318.9230000000002</v>
      </c>
      <c r="AO274">
        <f t="shared" si="86"/>
        <v>-2191.5</v>
      </c>
      <c r="AP274" t="s">
        <v>34</v>
      </c>
      <c r="AQ274" t="str">
        <f t="shared" si="87"/>
        <v>Paid</v>
      </c>
      <c r="AR274" t="s">
        <v>35</v>
      </c>
      <c r="AS274" t="str">
        <f t="shared" si="88"/>
        <v>Completed</v>
      </c>
      <c r="AT274" t="str">
        <f t="shared" si="89"/>
        <v>Clean</v>
      </c>
    </row>
    <row r="275" spans="1:46">
      <c r="A275" t="s">
        <v>1413</v>
      </c>
      <c r="B275">
        <f>COUNTIF($D$2:D275,D275)</f>
        <v>1</v>
      </c>
      <c r="C275" t="str">
        <f>IF(COUNTIF($A:$A,A275)=1,
"Unique",
IF(COUNTIFS($A:$A,A275,$N:$N,N275,$AF:$AF,AF275,$AJ:$AJ,AJ275)&gt;1,
"Exact Duplicate",
"Conflicting Duplicate"))</f>
        <v>Unique</v>
      </c>
      <c r="D275" t="s">
        <v>1414</v>
      </c>
      <c r="E275" t="s">
        <v>1415</v>
      </c>
      <c r="F275" s="3">
        <v>45701</v>
      </c>
      <c r="G275" s="2">
        <v>45701</v>
      </c>
      <c r="H275" s="5" t="str">
        <f t="shared" si="72"/>
        <v>February</v>
      </c>
      <c r="I275" s="5">
        <f t="shared" si="73"/>
        <v>2025</v>
      </c>
      <c r="J275" t="str">
        <f>IF(F275="","Missing Date",
IF(ISNUMBER(F275),"Valid","Invalid Date"))</f>
        <v>Valid</v>
      </c>
      <c r="K275" t="str">
        <f t="shared" si="74"/>
        <v>Valid</v>
      </c>
      <c r="L275">
        <f>G275-F275</f>
        <v>0</v>
      </c>
      <c r="M275" t="s">
        <v>1416</v>
      </c>
      <c r="N275" t="s">
        <v>53</v>
      </c>
      <c r="O275" t="str">
        <f t="shared" si="75"/>
        <v>Isha Nair</v>
      </c>
      <c r="P275" t="s">
        <v>26</v>
      </c>
      <c r="Q275" t="str">
        <f t="shared" si="76"/>
        <v>Consumer</v>
      </c>
      <c r="R275" t="s">
        <v>42</v>
      </c>
      <c r="S275" t="str">
        <f t="shared" si="77"/>
        <v>East</v>
      </c>
      <c r="T275" t="s">
        <v>186</v>
      </c>
      <c r="U275" t="str">
        <f t="shared" si="78"/>
        <v>Bihar</v>
      </c>
      <c r="V275" t="s">
        <v>187</v>
      </c>
      <c r="W275" t="str">
        <f t="shared" si="79"/>
        <v>Patna</v>
      </c>
      <c r="X275" t="s">
        <v>30</v>
      </c>
      <c r="Y275" t="str">
        <f t="shared" si="80"/>
        <v>Office Supplies</v>
      </c>
      <c r="Z275" t="s">
        <v>31</v>
      </c>
      <c r="AA275" t="str">
        <f t="shared" si="81"/>
        <v>Paper</v>
      </c>
      <c r="AB275" t="s">
        <v>1417</v>
      </c>
      <c r="AC275" t="s">
        <v>33</v>
      </c>
      <c r="AD275" t="str">
        <f t="shared" si="82"/>
        <v>Second Class</v>
      </c>
      <c r="AE275">
        <v>9</v>
      </c>
      <c r="AF275">
        <v>2521.63</v>
      </c>
      <c r="AG275">
        <v>0</v>
      </c>
      <c r="AH275">
        <v>0</v>
      </c>
      <c r="AI275" t="str">
        <f t="shared" si="83"/>
        <v>Valid</v>
      </c>
      <c r="AJ275">
        <v>22694.67</v>
      </c>
      <c r="AK275">
        <f t="shared" si="84"/>
        <v>22694.670000000002</v>
      </c>
      <c r="AL275">
        <v>15405.36</v>
      </c>
      <c r="AM275">
        <v>7289.31</v>
      </c>
      <c r="AN275">
        <f t="shared" si="85"/>
        <v>7289.3100000000013</v>
      </c>
      <c r="AO275">
        <f t="shared" si="86"/>
        <v>-15405.36</v>
      </c>
      <c r="AP275" t="s">
        <v>34</v>
      </c>
      <c r="AQ275" t="str">
        <f t="shared" si="87"/>
        <v>Paid</v>
      </c>
      <c r="AR275" t="s">
        <v>125</v>
      </c>
      <c r="AS275" t="str">
        <f t="shared" si="88"/>
        <v>Returned</v>
      </c>
      <c r="AT275" t="str">
        <f t="shared" si="89"/>
        <v>Clean</v>
      </c>
    </row>
    <row r="276" spans="1:46">
      <c r="A276" t="s">
        <v>1418</v>
      </c>
      <c r="B276">
        <f>COUNTIF($D$2:D276,D276)</f>
        <v>1</v>
      </c>
      <c r="C276" t="str">
        <f>IF(COUNTIF($A:$A,A276)=1,
"Unique",
IF(COUNTIFS($A:$A,A276,$N:$N,N276,$AF:$AF,AF276,$AJ:$AJ,AJ276)&gt;1,
"Exact Duplicate",
"Conflicting Duplicate"))</f>
        <v>Unique</v>
      </c>
      <c r="D276" t="s">
        <v>1419</v>
      </c>
      <c r="E276" t="s">
        <v>1420</v>
      </c>
      <c r="F276" s="3">
        <v>45477</v>
      </c>
      <c r="G276" s="3">
        <v>45396</v>
      </c>
      <c r="H276" s="5" t="str">
        <f t="shared" si="72"/>
        <v>July</v>
      </c>
      <c r="I276" s="5">
        <f t="shared" si="73"/>
        <v>2024</v>
      </c>
      <c r="J276" t="str">
        <f>IF(F276="","Missing Date",
IF(ISNUMBER(F276),"Valid","Invalid Date"))</f>
        <v>Valid</v>
      </c>
      <c r="K276" t="str">
        <f t="shared" si="74"/>
        <v>Valid</v>
      </c>
      <c r="L276">
        <f>G276-F276</f>
        <v>-81</v>
      </c>
      <c r="M276" t="s">
        <v>1421</v>
      </c>
      <c r="N276" t="s">
        <v>180</v>
      </c>
      <c r="O276" t="str">
        <f t="shared" si="75"/>
        <v>Rohan Mehta</v>
      </c>
      <c r="P276" t="s">
        <v>26</v>
      </c>
      <c r="Q276" t="str">
        <f t="shared" si="76"/>
        <v>Consumer</v>
      </c>
      <c r="R276" t="s">
        <v>62</v>
      </c>
      <c r="S276" t="str">
        <f t="shared" si="77"/>
        <v>South</v>
      </c>
      <c r="T276" t="s">
        <v>242</v>
      </c>
      <c r="U276" t="str">
        <f t="shared" si="78"/>
        <v>Kerala</v>
      </c>
      <c r="V276" t="s">
        <v>243</v>
      </c>
      <c r="W276" t="str">
        <f t="shared" si="79"/>
        <v>Kochi</v>
      </c>
      <c r="X276" t="s">
        <v>86</v>
      </c>
      <c r="Y276" t="str">
        <f t="shared" si="80"/>
        <v>Technology</v>
      </c>
      <c r="Z276" t="s">
        <v>94</v>
      </c>
      <c r="AA276" t="str">
        <f t="shared" si="81"/>
        <v>Copiers</v>
      </c>
      <c r="AB276" t="s">
        <v>1422</v>
      </c>
      <c r="AC276" t="s">
        <v>67</v>
      </c>
      <c r="AD276" t="str">
        <f t="shared" si="82"/>
        <v>Standard Class</v>
      </c>
      <c r="AE276">
        <v>6</v>
      </c>
      <c r="AF276">
        <v>4246.71</v>
      </c>
      <c r="AG276">
        <v>0.15</v>
      </c>
      <c r="AH276">
        <v>0.15</v>
      </c>
      <c r="AI276" t="str">
        <f t="shared" si="83"/>
        <v>Valid</v>
      </c>
      <c r="AJ276">
        <v>21658.22</v>
      </c>
      <c r="AK276">
        <f t="shared" si="84"/>
        <v>21658.221000000001</v>
      </c>
      <c r="AL276">
        <v>15490.69</v>
      </c>
      <c r="AM276">
        <v>6167.53</v>
      </c>
      <c r="AN276">
        <f t="shared" si="85"/>
        <v>6167.5310000000009</v>
      </c>
      <c r="AO276">
        <f t="shared" si="86"/>
        <v>-15490.69</v>
      </c>
      <c r="AP276" t="s">
        <v>200</v>
      </c>
      <c r="AQ276" t="str">
        <f t="shared" si="87"/>
        <v>Failed</v>
      </c>
      <c r="AR276" t="s">
        <v>125</v>
      </c>
      <c r="AS276" t="str">
        <f t="shared" si="88"/>
        <v>Returned</v>
      </c>
      <c r="AT276" t="str">
        <f t="shared" si="89"/>
        <v>Clean</v>
      </c>
    </row>
    <row r="277" spans="1:46">
      <c r="A277" t="s">
        <v>1423</v>
      </c>
      <c r="B277">
        <f>COUNTIF($D$2:D277,D277)</f>
        <v>2</v>
      </c>
      <c r="C277" t="str">
        <f>IF(COUNTIF($A:$A,A277)=1,
"Unique",
IF(COUNTIFS($A:$A,A277,$N:$N,N277,$AF:$AF,AF277,$AJ:$AJ,AJ277)&gt;1,
"Exact Duplicate",
"Conflicting Duplicate"))</f>
        <v>Unique</v>
      </c>
      <c r="D277" t="s">
        <v>677</v>
      </c>
      <c r="E277" t="s">
        <v>1424</v>
      </c>
      <c r="F277" s="3">
        <v>45337</v>
      </c>
      <c r="G277" s="3">
        <v>45344</v>
      </c>
      <c r="H277" s="5" t="str">
        <f t="shared" si="72"/>
        <v>February</v>
      </c>
      <c r="I277" s="5">
        <f t="shared" si="73"/>
        <v>2024</v>
      </c>
      <c r="J277" t="str">
        <f>IF(F277="","Missing Date",
IF(ISNUMBER(F277),"Valid","Invalid Date"))</f>
        <v>Valid</v>
      </c>
      <c r="K277" t="str">
        <f t="shared" si="74"/>
        <v>Valid</v>
      </c>
      <c r="L277">
        <f>G277-F277</f>
        <v>7</v>
      </c>
      <c r="M277" t="s">
        <v>1425</v>
      </c>
      <c r="N277" t="s">
        <v>142</v>
      </c>
      <c r="O277" t="str">
        <f t="shared" si="75"/>
        <v>Priya Menon</v>
      </c>
      <c r="P277" t="s">
        <v>41</v>
      </c>
      <c r="Q277" t="str">
        <f t="shared" si="76"/>
        <v>Small Business</v>
      </c>
      <c r="R277" t="s">
        <v>42</v>
      </c>
      <c r="S277" t="str">
        <f t="shared" si="77"/>
        <v>East</v>
      </c>
      <c r="T277" t="s">
        <v>121</v>
      </c>
      <c r="U277" t="str">
        <f t="shared" si="78"/>
        <v>West Bengal</v>
      </c>
      <c r="V277" t="s">
        <v>122</v>
      </c>
      <c r="W277" t="str">
        <f t="shared" si="79"/>
        <v>Kolkata</v>
      </c>
      <c r="X277" t="s">
        <v>45</v>
      </c>
      <c r="Y277" t="str">
        <f t="shared" si="80"/>
        <v>Furniture</v>
      </c>
      <c r="Z277" t="s">
        <v>65</v>
      </c>
      <c r="AA277" t="str">
        <f t="shared" si="81"/>
        <v>Furnishings</v>
      </c>
      <c r="AB277" t="s">
        <v>1426</v>
      </c>
      <c r="AC277" t="s">
        <v>48</v>
      </c>
      <c r="AD277" t="str">
        <f t="shared" si="82"/>
        <v>Same Day</v>
      </c>
      <c r="AE277">
        <v>1</v>
      </c>
      <c r="AF277">
        <v>980.51</v>
      </c>
      <c r="AG277">
        <v>0</v>
      </c>
      <c r="AH277">
        <v>0</v>
      </c>
      <c r="AI277" t="str">
        <f t="shared" si="83"/>
        <v>Valid</v>
      </c>
      <c r="AJ277">
        <v>980.51</v>
      </c>
      <c r="AK277">
        <f t="shared" si="84"/>
        <v>980.51</v>
      </c>
      <c r="AL277">
        <v>660.92</v>
      </c>
      <c r="AM277">
        <v>319.58999999999997</v>
      </c>
      <c r="AN277">
        <f t="shared" si="85"/>
        <v>319.59000000000003</v>
      </c>
      <c r="AO277">
        <f t="shared" si="86"/>
        <v>-660.92</v>
      </c>
      <c r="AP277" t="s">
        <v>34</v>
      </c>
      <c r="AQ277" t="str">
        <f t="shared" si="87"/>
        <v>Paid</v>
      </c>
      <c r="AR277" t="s">
        <v>35</v>
      </c>
      <c r="AS277" t="str">
        <f t="shared" si="88"/>
        <v>Completed</v>
      </c>
      <c r="AT277" t="str">
        <f t="shared" si="89"/>
        <v>Clean</v>
      </c>
    </row>
    <row r="278" spans="1:46">
      <c r="A278" t="s">
        <v>1427</v>
      </c>
      <c r="B278">
        <f>COUNTIF($D$2:D278,D278)</f>
        <v>2</v>
      </c>
      <c r="C278" t="str">
        <f>IF(COUNTIF($A:$A,A278)=1,
"Unique",
IF(COUNTIFS($A:$A,A278,$N:$N,N278,$AF:$AF,AF278,$AJ:$AJ,AJ278)&gt;1,
"Exact Duplicate",
"Conflicting Duplicate"))</f>
        <v>Exact Duplicate</v>
      </c>
      <c r="D278" t="s">
        <v>1058</v>
      </c>
      <c r="E278" t="s">
        <v>1428</v>
      </c>
      <c r="F278" s="3">
        <v>45313</v>
      </c>
      <c r="G278" s="3">
        <v>45314</v>
      </c>
      <c r="H278" s="5" t="str">
        <f t="shared" si="72"/>
        <v>January</v>
      </c>
      <c r="I278" s="5">
        <f t="shared" si="73"/>
        <v>2024</v>
      </c>
      <c r="J278" t="str">
        <f>IF(F278="","Missing Date",
IF(ISNUMBER(F278),"Valid","Invalid Date"))</f>
        <v>Valid</v>
      </c>
      <c r="K278" t="str">
        <f t="shared" si="74"/>
        <v>Valid</v>
      </c>
      <c r="L278">
        <f>G278-F278</f>
        <v>1</v>
      </c>
      <c r="M278" t="s">
        <v>1429</v>
      </c>
      <c r="N278" t="s">
        <v>162</v>
      </c>
      <c r="O278" t="str">
        <f t="shared" si="75"/>
        <v>Aarav Sharma</v>
      </c>
      <c r="P278" t="s">
        <v>41</v>
      </c>
      <c r="Q278" t="str">
        <f t="shared" si="76"/>
        <v>Small Business</v>
      </c>
      <c r="R278" t="s">
        <v>4104</v>
      </c>
      <c r="S278" t="s">
        <v>4104</v>
      </c>
      <c r="T278" t="s">
        <v>216</v>
      </c>
      <c r="U278" t="str">
        <f t="shared" si="78"/>
        <v>Assam</v>
      </c>
      <c r="V278" t="s">
        <v>217</v>
      </c>
      <c r="W278" t="str">
        <f t="shared" si="79"/>
        <v>Guwahati</v>
      </c>
      <c r="X278" t="s">
        <v>45</v>
      </c>
      <c r="Y278" t="str">
        <f t="shared" si="80"/>
        <v>Furniture</v>
      </c>
      <c r="Z278" t="s">
        <v>76</v>
      </c>
      <c r="AA278" t="str">
        <f t="shared" si="81"/>
        <v>Chairs</v>
      </c>
      <c r="AB278" t="s">
        <v>1430</v>
      </c>
      <c r="AC278" t="s">
        <v>33</v>
      </c>
      <c r="AD278" t="str">
        <f t="shared" si="82"/>
        <v>Second Class</v>
      </c>
      <c r="AE278">
        <v>6</v>
      </c>
      <c r="AF278">
        <v>3391.53</v>
      </c>
      <c r="AG278">
        <v>-0.14000000000000001</v>
      </c>
      <c r="AH278">
        <v>-0.14000000000000001</v>
      </c>
      <c r="AI278" t="str">
        <f t="shared" si="83"/>
        <v>Invalid - Negative Discount</v>
      </c>
      <c r="AJ278">
        <v>15261.89</v>
      </c>
      <c r="AK278">
        <f t="shared" si="84"/>
        <v>23198.065200000005</v>
      </c>
      <c r="AL278">
        <v>8413.5300000000007</v>
      </c>
      <c r="AM278">
        <v>6848.36</v>
      </c>
      <c r="AN278">
        <f t="shared" si="85"/>
        <v>14784.535200000004</v>
      </c>
      <c r="AO278">
        <f t="shared" si="86"/>
        <v>-8413.5300000000007</v>
      </c>
      <c r="AP278" t="s">
        <v>34</v>
      </c>
      <c r="AQ278" t="str">
        <f t="shared" si="87"/>
        <v>Paid</v>
      </c>
      <c r="AR278" t="s">
        <v>35</v>
      </c>
      <c r="AS278" t="str">
        <f t="shared" si="88"/>
        <v>Completed</v>
      </c>
      <c r="AT278" t="str">
        <f t="shared" si="89"/>
        <v>Clean</v>
      </c>
    </row>
    <row r="279" spans="1:46">
      <c r="A279" t="s">
        <v>1431</v>
      </c>
      <c r="B279">
        <f>COUNTIF($D$2:D279,D279)</f>
        <v>2</v>
      </c>
      <c r="C279" t="str">
        <f>IF(COUNTIF($A:$A,A279)=1,
"Unique",
IF(COUNTIFS($A:$A,A279,$N:$N,N279,$AF:$AF,AF279,$AJ:$AJ,AJ279)&gt;1,
"Exact Duplicate",
"Conflicting Duplicate"))</f>
        <v>Unique</v>
      </c>
      <c r="D279" t="s">
        <v>1432</v>
      </c>
      <c r="E279" t="s">
        <v>1432</v>
      </c>
      <c r="F279" s="2">
        <v>45753</v>
      </c>
      <c r="G279" s="2">
        <v>45753</v>
      </c>
      <c r="H279" s="5" t="str">
        <f t="shared" si="72"/>
        <v>April</v>
      </c>
      <c r="I279" s="5">
        <f t="shared" si="73"/>
        <v>2025</v>
      </c>
      <c r="J279" t="str">
        <f>IF(F279="","Missing Date",
IF(ISNUMBER(F279),"Valid","Invalid Date"))</f>
        <v>Valid</v>
      </c>
      <c r="K279" t="str">
        <f t="shared" si="74"/>
        <v>Valid</v>
      </c>
      <c r="L279">
        <f>G279-F279</f>
        <v>0</v>
      </c>
      <c r="M279" t="s">
        <v>1206</v>
      </c>
      <c r="N279" t="s">
        <v>53</v>
      </c>
      <c r="O279" t="str">
        <f t="shared" si="75"/>
        <v>Isha Nair</v>
      </c>
      <c r="P279" t="s">
        <v>108</v>
      </c>
      <c r="Q279" t="str">
        <f t="shared" si="76"/>
        <v>Corporate</v>
      </c>
      <c r="R279" t="s">
        <v>27</v>
      </c>
      <c r="S279" t="str">
        <f t="shared" si="77"/>
        <v>North</v>
      </c>
      <c r="T279" t="s">
        <v>323</v>
      </c>
      <c r="U279" t="str">
        <f t="shared" si="78"/>
        <v>Haryana</v>
      </c>
      <c r="V279" t="s">
        <v>324</v>
      </c>
      <c r="W279" t="str">
        <f t="shared" si="79"/>
        <v>Gurugram</v>
      </c>
      <c r="X279" t="s">
        <v>86</v>
      </c>
      <c r="Y279" t="str">
        <f t="shared" si="80"/>
        <v>Technology</v>
      </c>
      <c r="Z279" t="s">
        <v>87</v>
      </c>
      <c r="AA279" t="str">
        <f t="shared" si="81"/>
        <v>Accessories</v>
      </c>
      <c r="AB279" t="s">
        <v>1433</v>
      </c>
      <c r="AC279" t="s">
        <v>33</v>
      </c>
      <c r="AD279" t="str">
        <f t="shared" si="82"/>
        <v>Second Class</v>
      </c>
      <c r="AE279">
        <v>1</v>
      </c>
      <c r="AF279">
        <v>2133.73</v>
      </c>
      <c r="AG279">
        <v>0.15</v>
      </c>
      <c r="AH279">
        <v>0.15</v>
      </c>
      <c r="AI279" t="str">
        <f t="shared" si="83"/>
        <v>Valid</v>
      </c>
      <c r="AJ279">
        <v>2008.39</v>
      </c>
      <c r="AK279">
        <f t="shared" si="84"/>
        <v>1813.6704999999999</v>
      </c>
      <c r="AL279">
        <v>1002.57</v>
      </c>
      <c r="AM279">
        <v>811.1</v>
      </c>
      <c r="AN279">
        <f t="shared" si="85"/>
        <v>811.1004999999999</v>
      </c>
      <c r="AO279">
        <f t="shared" si="86"/>
        <v>-1002.57</v>
      </c>
      <c r="AP279" t="s">
        <v>137</v>
      </c>
      <c r="AQ279" t="str">
        <f t="shared" si="87"/>
        <v>Pending</v>
      </c>
      <c r="AR279" t="s">
        <v>78</v>
      </c>
      <c r="AS279" t="str">
        <f t="shared" si="88"/>
        <v>Cancelled</v>
      </c>
      <c r="AT279" t="str">
        <f t="shared" si="89"/>
        <v>Clean</v>
      </c>
    </row>
    <row r="280" spans="1:46">
      <c r="A280" t="s">
        <v>1434</v>
      </c>
      <c r="B280">
        <f>COUNTIF($D$2:D280,D280)</f>
        <v>1</v>
      </c>
      <c r="C280" t="str">
        <f>IF(COUNTIF($A:$A,A280)=1,
"Unique",
IF(COUNTIFS($A:$A,A280,$N:$N,N280,$AF:$AF,AF280,$AJ:$AJ,AJ280)&gt;1,
"Exact Duplicate",
"Conflicting Duplicate"))</f>
        <v>Unique</v>
      </c>
      <c r="D280" t="s">
        <v>787</v>
      </c>
      <c r="E280" t="s">
        <v>1435</v>
      </c>
      <c r="F280" s="3">
        <v>45841</v>
      </c>
      <c r="G280" s="3">
        <v>45730</v>
      </c>
      <c r="H280" s="5" t="str">
        <f t="shared" si="72"/>
        <v>July</v>
      </c>
      <c r="I280" s="5">
        <f t="shared" si="73"/>
        <v>2025</v>
      </c>
      <c r="J280" t="str">
        <f>IF(F280="","Missing Date",
IF(ISNUMBER(F280),"Valid","Invalid Date"))</f>
        <v>Valid</v>
      </c>
      <c r="K280" t="str">
        <f t="shared" si="74"/>
        <v>Valid</v>
      </c>
      <c r="L280">
        <f>G280-F280</f>
        <v>-111</v>
      </c>
      <c r="M280" t="s">
        <v>1436</v>
      </c>
      <c r="N280" t="s">
        <v>142</v>
      </c>
      <c r="O280" t="str">
        <f t="shared" si="75"/>
        <v>Priya Menon</v>
      </c>
      <c r="P280" t="s">
        <v>41</v>
      </c>
      <c r="Q280" t="str">
        <f t="shared" si="76"/>
        <v>Small Business</v>
      </c>
      <c r="R280" t="s">
        <v>27</v>
      </c>
      <c r="S280" t="str">
        <f t="shared" si="77"/>
        <v>North</v>
      </c>
      <c r="T280" t="s">
        <v>506</v>
      </c>
      <c r="U280" t="str">
        <f t="shared" si="78"/>
        <v>Delhi</v>
      </c>
      <c r="V280" t="s">
        <v>507</v>
      </c>
      <c r="W280" t="str">
        <f t="shared" si="79"/>
        <v>New Delhi</v>
      </c>
      <c r="X280" t="s">
        <v>86</v>
      </c>
      <c r="Y280" t="str">
        <f t="shared" si="80"/>
        <v>Technology</v>
      </c>
      <c r="Z280" t="s">
        <v>87</v>
      </c>
      <c r="AA280" t="str">
        <f t="shared" si="81"/>
        <v>Accessories</v>
      </c>
      <c r="AB280" t="s">
        <v>1437</v>
      </c>
      <c r="AC280" t="s">
        <v>48</v>
      </c>
      <c r="AD280" t="str">
        <f t="shared" si="82"/>
        <v>Same Day</v>
      </c>
      <c r="AE280">
        <v>1</v>
      </c>
      <c r="AF280">
        <v>3979.64</v>
      </c>
      <c r="AG280">
        <v>0.05</v>
      </c>
      <c r="AH280">
        <v>0.05</v>
      </c>
      <c r="AI280" t="str">
        <f t="shared" si="83"/>
        <v>Valid</v>
      </c>
      <c r="AJ280">
        <v>3780.66</v>
      </c>
      <c r="AK280">
        <f t="shared" si="84"/>
        <v>3780.6579999999999</v>
      </c>
      <c r="AL280">
        <v>2148.31</v>
      </c>
      <c r="AM280">
        <v>1632.35</v>
      </c>
      <c r="AN280">
        <f t="shared" si="85"/>
        <v>1632.348</v>
      </c>
      <c r="AO280">
        <f t="shared" si="86"/>
        <v>-2148.31</v>
      </c>
      <c r="AP280" t="s">
        <v>34</v>
      </c>
      <c r="AQ280" t="str">
        <f t="shared" si="87"/>
        <v>Paid</v>
      </c>
      <c r="AR280" t="s">
        <v>125</v>
      </c>
      <c r="AS280" t="str">
        <f t="shared" si="88"/>
        <v>Returned</v>
      </c>
      <c r="AT280" t="str">
        <f t="shared" si="89"/>
        <v>Clean</v>
      </c>
    </row>
    <row r="281" spans="1:46">
      <c r="A281" t="s">
        <v>1438</v>
      </c>
      <c r="B281">
        <f>COUNTIF($D$2:D281,D281)</f>
        <v>1</v>
      </c>
      <c r="C281" t="str">
        <f>IF(COUNTIF($A:$A,A281)=1,
"Unique",
IF(COUNTIFS($A:$A,A281,$N:$N,N281,$AF:$AF,AF281,$AJ:$AJ,AJ281)&gt;1,
"Exact Duplicate",
"Conflicting Duplicate"))</f>
        <v>Unique</v>
      </c>
      <c r="D281" t="s">
        <v>1439</v>
      </c>
      <c r="E281" t="s">
        <v>1440</v>
      </c>
      <c r="F281" s="3">
        <v>45391</v>
      </c>
      <c r="G281" s="2">
        <v>45569</v>
      </c>
      <c r="H281" s="5" t="str">
        <f t="shared" si="72"/>
        <v>April</v>
      </c>
      <c r="I281" s="5">
        <f t="shared" si="73"/>
        <v>2024</v>
      </c>
      <c r="J281" t="str">
        <f>IF(F281="","Missing Date",
IF(ISNUMBER(F281),"Valid","Invalid Date"))</f>
        <v>Valid</v>
      </c>
      <c r="K281" t="str">
        <f t="shared" si="74"/>
        <v>Valid</v>
      </c>
      <c r="L281">
        <f>G281-F281</f>
        <v>178</v>
      </c>
      <c r="M281" t="s">
        <v>1441</v>
      </c>
      <c r="N281" t="s">
        <v>180</v>
      </c>
      <c r="O281" t="str">
        <f t="shared" si="75"/>
        <v>Rohan Mehta</v>
      </c>
      <c r="P281" t="s">
        <v>41</v>
      </c>
      <c r="Q281" t="str">
        <f t="shared" si="76"/>
        <v>Small Business</v>
      </c>
      <c r="R281" t="s">
        <v>73</v>
      </c>
      <c r="S281" t="str">
        <f t="shared" si="77"/>
        <v>West</v>
      </c>
      <c r="T281" t="s">
        <v>74</v>
      </c>
      <c r="U281" t="str">
        <f t="shared" si="78"/>
        <v>Maharashtra</v>
      </c>
      <c r="V281" t="s">
        <v>75</v>
      </c>
      <c r="W281" t="str">
        <f t="shared" si="79"/>
        <v>Mumbai</v>
      </c>
      <c r="X281" t="s">
        <v>30</v>
      </c>
      <c r="Y281" t="str">
        <f t="shared" si="80"/>
        <v>Office Supplies</v>
      </c>
      <c r="Z281" t="s">
        <v>156</v>
      </c>
      <c r="AA281" t="str">
        <f t="shared" si="81"/>
        <v>Storage</v>
      </c>
      <c r="AB281" t="s">
        <v>1442</v>
      </c>
      <c r="AC281" t="s">
        <v>56</v>
      </c>
      <c r="AD281" t="str">
        <f t="shared" si="82"/>
        <v>First Class</v>
      </c>
      <c r="AE281">
        <v>1</v>
      </c>
      <c r="AF281">
        <v>4359.12</v>
      </c>
      <c r="AG281">
        <v>0.05</v>
      </c>
      <c r="AH281">
        <v>0.05</v>
      </c>
      <c r="AI281" t="str">
        <f t="shared" si="83"/>
        <v>Valid</v>
      </c>
      <c r="AJ281">
        <v>4141.16</v>
      </c>
      <c r="AK281">
        <f t="shared" si="84"/>
        <v>4141.1639999999998</v>
      </c>
      <c r="AL281">
        <v>2754.17</v>
      </c>
      <c r="AM281">
        <v>1386.99</v>
      </c>
      <c r="AN281">
        <f t="shared" si="85"/>
        <v>1386.9939999999997</v>
      </c>
      <c r="AO281">
        <f t="shared" si="86"/>
        <v>-2754.17</v>
      </c>
      <c r="AP281" t="s">
        <v>34</v>
      </c>
      <c r="AQ281" t="str">
        <f t="shared" si="87"/>
        <v>Paid</v>
      </c>
      <c r="AR281" t="s">
        <v>35</v>
      </c>
      <c r="AS281" t="str">
        <f t="shared" si="88"/>
        <v>Completed</v>
      </c>
      <c r="AT281" t="str">
        <f t="shared" si="89"/>
        <v>Clean</v>
      </c>
    </row>
    <row r="282" spans="1:46">
      <c r="A282" t="s">
        <v>1443</v>
      </c>
      <c r="B282">
        <f>COUNTIF($D$2:D282,D282)</f>
        <v>1</v>
      </c>
      <c r="C282" t="str">
        <f>IF(COUNTIF($A:$A,A282)=1,
"Unique",
IF(COUNTIFS($A:$A,A282,$N:$N,N282,$AF:$AF,AF282,$AJ:$AJ,AJ282)&gt;1,
"Exact Duplicate",
"Conflicting Duplicate"))</f>
        <v>Exact Duplicate</v>
      </c>
      <c r="D282" t="s">
        <v>1444</v>
      </c>
      <c r="E282" t="s">
        <v>1445</v>
      </c>
      <c r="F282" s="3">
        <v>45649</v>
      </c>
      <c r="G282" s="3">
        <v>45652</v>
      </c>
      <c r="H282" s="5" t="str">
        <f t="shared" si="72"/>
        <v>December</v>
      </c>
      <c r="I282" s="5">
        <f t="shared" si="73"/>
        <v>2024</v>
      </c>
      <c r="J282" t="str">
        <f>IF(F282="","Missing Date",
IF(ISNUMBER(F282),"Valid","Invalid Date"))</f>
        <v>Valid</v>
      </c>
      <c r="K282" t="str">
        <f t="shared" si="74"/>
        <v>Valid</v>
      </c>
      <c r="L282">
        <f>G282-F282</f>
        <v>3</v>
      </c>
      <c r="M282" t="s">
        <v>1446</v>
      </c>
      <c r="N282" t="s">
        <v>107</v>
      </c>
      <c r="O282" t="str">
        <f t="shared" si="75"/>
        <v>Aditi Sen</v>
      </c>
      <c r="P282" t="s">
        <v>26</v>
      </c>
      <c r="Q282" t="str">
        <f t="shared" si="76"/>
        <v>Consumer</v>
      </c>
      <c r="R282" t="s">
        <v>62</v>
      </c>
      <c r="S282" t="str">
        <f t="shared" si="77"/>
        <v>South</v>
      </c>
      <c r="T282" t="s">
        <v>229</v>
      </c>
      <c r="U282" t="str">
        <f t="shared" si="78"/>
        <v>Karnataka</v>
      </c>
      <c r="V282" t="s">
        <v>230</v>
      </c>
      <c r="W282" t="str">
        <f t="shared" si="79"/>
        <v>Bengaluru</v>
      </c>
      <c r="X282" t="s">
        <v>86</v>
      </c>
      <c r="Y282" t="str">
        <f t="shared" si="80"/>
        <v>Technology</v>
      </c>
      <c r="Z282" t="s">
        <v>94</v>
      </c>
      <c r="AA282" t="str">
        <f t="shared" si="81"/>
        <v>Copiers</v>
      </c>
      <c r="AB282" t="s">
        <v>1447</v>
      </c>
      <c r="AC282" t="s">
        <v>67</v>
      </c>
      <c r="AD282" t="str">
        <f t="shared" si="82"/>
        <v>Standard Class</v>
      </c>
      <c r="AE282">
        <v>9</v>
      </c>
      <c r="AF282">
        <v>993.67</v>
      </c>
      <c r="AG282">
        <v>0</v>
      </c>
      <c r="AH282">
        <v>0</v>
      </c>
      <c r="AI282" t="str">
        <f t="shared" si="83"/>
        <v>Valid</v>
      </c>
      <c r="AJ282">
        <v>8943.0300000000007</v>
      </c>
      <c r="AK282">
        <f t="shared" si="84"/>
        <v>8943.0299999999988</v>
      </c>
      <c r="AL282">
        <v>5165.38</v>
      </c>
      <c r="AM282">
        <v>3777.65</v>
      </c>
      <c r="AN282">
        <f t="shared" si="85"/>
        <v>3777.6499999999987</v>
      </c>
      <c r="AO282">
        <f t="shared" si="86"/>
        <v>-5165.38</v>
      </c>
      <c r="AP282" t="s">
        <v>34</v>
      </c>
      <c r="AQ282" t="str">
        <f t="shared" si="87"/>
        <v>Paid</v>
      </c>
      <c r="AR282" t="s">
        <v>35</v>
      </c>
      <c r="AS282" t="str">
        <f t="shared" si="88"/>
        <v>Completed</v>
      </c>
      <c r="AT282" t="str">
        <f t="shared" si="89"/>
        <v>Clean</v>
      </c>
    </row>
    <row r="283" spans="1:46">
      <c r="A283" t="s">
        <v>1448</v>
      </c>
      <c r="B283">
        <f>COUNTIF($D$2:D283,D283)</f>
        <v>1</v>
      </c>
      <c r="C283" t="str">
        <f>IF(COUNTIF($A:$A,A283)=1,
"Unique",
IF(COUNTIFS($A:$A,A283,$N:$N,N283,$AF:$AF,AF283,$AJ:$AJ,AJ283)&gt;1,
"Exact Duplicate",
"Conflicting Duplicate"))</f>
        <v>Unique</v>
      </c>
      <c r="D283" t="s">
        <v>1449</v>
      </c>
      <c r="E283" t="s">
        <v>1450</v>
      </c>
      <c r="F283" s="3">
        <v>45863</v>
      </c>
      <c r="G283" s="3">
        <v>45865</v>
      </c>
      <c r="H283" s="5" t="str">
        <f t="shared" si="72"/>
        <v>July</v>
      </c>
      <c r="I283" s="5">
        <f t="shared" si="73"/>
        <v>2025</v>
      </c>
      <c r="J283" t="str">
        <f>IF(F283="","Missing Date",
IF(ISNUMBER(F283),"Valid","Invalid Date"))</f>
        <v>Valid</v>
      </c>
      <c r="K283" t="str">
        <f t="shared" si="74"/>
        <v>Valid</v>
      </c>
      <c r="L283">
        <f>G283-F283</f>
        <v>2</v>
      </c>
      <c r="M283" t="s">
        <v>1451</v>
      </c>
      <c r="N283" t="s">
        <v>366</v>
      </c>
      <c r="O283" t="str">
        <f t="shared" si="75"/>
        <v>Kabir Singh</v>
      </c>
      <c r="P283" t="s">
        <v>26</v>
      </c>
      <c r="Q283" t="str">
        <f t="shared" si="76"/>
        <v>Consumer</v>
      </c>
      <c r="R283" t="s">
        <v>42</v>
      </c>
      <c r="S283" t="str">
        <f t="shared" si="77"/>
        <v>East</v>
      </c>
      <c r="T283" t="s">
        <v>311</v>
      </c>
      <c r="U283" t="str">
        <f t="shared" si="78"/>
        <v>Jharkhand</v>
      </c>
      <c r="V283" t="s">
        <v>312</v>
      </c>
      <c r="W283" t="str">
        <f t="shared" si="79"/>
        <v>Ranchi</v>
      </c>
      <c r="X283" t="s">
        <v>30</v>
      </c>
      <c r="Y283" t="str">
        <f t="shared" si="80"/>
        <v>Office Supplies</v>
      </c>
      <c r="Z283" t="s">
        <v>198</v>
      </c>
      <c r="AA283" t="str">
        <f t="shared" si="81"/>
        <v>Binders</v>
      </c>
      <c r="AB283" t="s">
        <v>1452</v>
      </c>
      <c r="AC283" t="s">
        <v>33</v>
      </c>
      <c r="AD283" t="str">
        <f t="shared" si="82"/>
        <v>Second Class</v>
      </c>
      <c r="AE283">
        <v>6</v>
      </c>
      <c r="AF283">
        <v>3438.38</v>
      </c>
      <c r="AG283">
        <v>0.2</v>
      </c>
      <c r="AH283">
        <v>0.2</v>
      </c>
      <c r="AI283" t="str">
        <f t="shared" si="83"/>
        <v>Valid</v>
      </c>
      <c r="AJ283">
        <v>16504.22</v>
      </c>
      <c r="AK283">
        <f t="shared" si="84"/>
        <v>16504.223999999998</v>
      </c>
      <c r="AL283">
        <v>11262.71</v>
      </c>
      <c r="AM283">
        <v>5241.51</v>
      </c>
      <c r="AN283">
        <f t="shared" si="85"/>
        <v>5241.5139999999992</v>
      </c>
      <c r="AO283">
        <f t="shared" si="86"/>
        <v>-11262.71</v>
      </c>
      <c r="AP283" t="s">
        <v>34</v>
      </c>
      <c r="AQ283" t="str">
        <f t="shared" si="87"/>
        <v>Paid</v>
      </c>
      <c r="AR283" t="s">
        <v>35</v>
      </c>
      <c r="AS283" t="str">
        <f t="shared" si="88"/>
        <v>Completed</v>
      </c>
      <c r="AT283" t="str">
        <f t="shared" si="89"/>
        <v>Clean</v>
      </c>
    </row>
    <row r="284" spans="1:46">
      <c r="A284" t="s">
        <v>1453</v>
      </c>
      <c r="B284">
        <f>COUNTIF($D$2:D284,D284)</f>
        <v>2</v>
      </c>
      <c r="C284" t="str">
        <f>IF(COUNTIF($A:$A,A284)=1,
"Unique",
IF(COUNTIFS($A:$A,A284,$N:$N,N284,$AF:$AF,AF284,$AJ:$AJ,AJ284)&gt;1,
"Exact Duplicate",
"Conflicting Duplicate"))</f>
        <v>Unique</v>
      </c>
      <c r="D284" t="s">
        <v>1454</v>
      </c>
      <c r="E284" t="s">
        <v>1455</v>
      </c>
      <c r="F284" s="3">
        <v>45301</v>
      </c>
      <c r="G284" s="3">
        <v>45567</v>
      </c>
      <c r="H284" s="5" t="str">
        <f t="shared" si="72"/>
        <v>January</v>
      </c>
      <c r="I284" s="5">
        <f t="shared" si="73"/>
        <v>2024</v>
      </c>
      <c r="J284" t="str">
        <f>IF(F284="","Missing Date",
IF(ISNUMBER(F284),"Valid","Invalid Date"))</f>
        <v>Valid</v>
      </c>
      <c r="K284" t="str">
        <f t="shared" si="74"/>
        <v>Valid</v>
      </c>
      <c r="L284">
        <f>G284-F284</f>
        <v>266</v>
      </c>
      <c r="M284" t="s">
        <v>1456</v>
      </c>
      <c r="N284" t="s">
        <v>25</v>
      </c>
      <c r="O284" t="str">
        <f t="shared" si="75"/>
        <v>Karan Malhotra</v>
      </c>
      <c r="P284" t="s">
        <v>115</v>
      </c>
      <c r="Q284" t="str">
        <f t="shared" si="76"/>
        <v>Home Office</v>
      </c>
      <c r="R284" t="s">
        <v>42</v>
      </c>
      <c r="S284" t="str">
        <f t="shared" si="77"/>
        <v>East</v>
      </c>
      <c r="T284" t="s">
        <v>216</v>
      </c>
      <c r="U284" t="str">
        <f t="shared" si="78"/>
        <v>Assam</v>
      </c>
      <c r="V284" t="s">
        <v>217</v>
      </c>
      <c r="W284" t="str">
        <f t="shared" si="79"/>
        <v>Guwahati</v>
      </c>
      <c r="X284" t="s">
        <v>45</v>
      </c>
      <c r="Y284" t="str">
        <f t="shared" si="80"/>
        <v>Furniture</v>
      </c>
      <c r="Z284" t="s">
        <v>46</v>
      </c>
      <c r="AA284" t="str">
        <f t="shared" si="81"/>
        <v>Tables</v>
      </c>
      <c r="AB284" t="s">
        <v>1457</v>
      </c>
      <c r="AC284" t="s">
        <v>33</v>
      </c>
      <c r="AD284" t="str">
        <f t="shared" si="82"/>
        <v>Second Class</v>
      </c>
      <c r="AE284">
        <v>2</v>
      </c>
      <c r="AF284">
        <v>2298</v>
      </c>
      <c r="AG284">
        <v>0</v>
      </c>
      <c r="AH284">
        <v>0</v>
      </c>
      <c r="AI284" t="str">
        <f t="shared" si="83"/>
        <v>Valid</v>
      </c>
      <c r="AJ284">
        <v>4596</v>
      </c>
      <c r="AK284">
        <f t="shared" si="84"/>
        <v>4596</v>
      </c>
      <c r="AL284">
        <v>3220.33</v>
      </c>
      <c r="AM284">
        <v>1375.67</v>
      </c>
      <c r="AN284">
        <f t="shared" si="85"/>
        <v>1375.67</v>
      </c>
      <c r="AO284">
        <f t="shared" si="86"/>
        <v>-3220.33</v>
      </c>
      <c r="AP284" t="s">
        <v>34</v>
      </c>
      <c r="AQ284" t="str">
        <f t="shared" si="87"/>
        <v>Paid</v>
      </c>
      <c r="AR284" t="s">
        <v>35</v>
      </c>
      <c r="AS284" t="str">
        <f t="shared" si="88"/>
        <v>Completed</v>
      </c>
      <c r="AT284" t="str">
        <f t="shared" si="89"/>
        <v>Clean</v>
      </c>
    </row>
    <row r="285" spans="1:46">
      <c r="A285" t="s">
        <v>1458</v>
      </c>
      <c r="B285">
        <f>COUNTIF($D$2:D285,D285)</f>
        <v>1</v>
      </c>
      <c r="C285" t="str">
        <f>IF(COUNTIF($A:$A,A285)=1,
"Unique",
IF(COUNTIFS($A:$A,A285,$N:$N,N285,$AF:$AF,AF285,$AJ:$AJ,AJ285)&gt;1,
"Exact Duplicate",
"Conflicting Duplicate"))</f>
        <v>Unique</v>
      </c>
      <c r="D285" t="s">
        <v>1459</v>
      </c>
      <c r="E285" t="s">
        <v>1460</v>
      </c>
      <c r="F285" s="3">
        <v>45729</v>
      </c>
      <c r="G285" s="3">
        <v>45736</v>
      </c>
      <c r="H285" s="5" t="str">
        <f t="shared" si="72"/>
        <v>March</v>
      </c>
      <c r="I285" s="5">
        <f t="shared" si="73"/>
        <v>2025</v>
      </c>
      <c r="J285" t="str">
        <f>IF(F285="","Missing Date",
IF(ISNUMBER(F285),"Valid","Invalid Date"))</f>
        <v>Valid</v>
      </c>
      <c r="K285" t="str">
        <f t="shared" si="74"/>
        <v>Valid</v>
      </c>
      <c r="L285">
        <f>G285-F285</f>
        <v>7</v>
      </c>
      <c r="M285" t="s">
        <v>1461</v>
      </c>
      <c r="N285" t="s">
        <v>83</v>
      </c>
      <c r="O285" t="str">
        <f t="shared" si="75"/>
        <v>Vikram Iyer</v>
      </c>
      <c r="P285" t="s">
        <v>26</v>
      </c>
      <c r="Q285" t="str">
        <f t="shared" si="76"/>
        <v>Consumer</v>
      </c>
      <c r="R285" t="s">
        <v>73</v>
      </c>
      <c r="S285" t="str">
        <f t="shared" si="77"/>
        <v>West</v>
      </c>
      <c r="T285" t="s">
        <v>74</v>
      </c>
      <c r="U285" t="str">
        <f t="shared" si="78"/>
        <v>Maharashtra</v>
      </c>
      <c r="V285" t="s">
        <v>75</v>
      </c>
      <c r="W285" t="str">
        <f t="shared" si="79"/>
        <v>Mumbai</v>
      </c>
      <c r="X285" t="s">
        <v>45</v>
      </c>
      <c r="Y285" t="str">
        <f t="shared" si="80"/>
        <v>Furniture</v>
      </c>
      <c r="Z285" t="s">
        <v>65</v>
      </c>
      <c r="AA285" t="str">
        <f t="shared" si="81"/>
        <v>Furnishings</v>
      </c>
      <c r="AB285" t="s">
        <v>1462</v>
      </c>
      <c r="AC285" t="s">
        <v>56</v>
      </c>
      <c r="AD285" t="str">
        <f t="shared" si="82"/>
        <v>First Class</v>
      </c>
      <c r="AE285">
        <v>1</v>
      </c>
      <c r="AF285">
        <v>1814.01</v>
      </c>
      <c r="AG285">
        <v>0</v>
      </c>
      <c r="AH285">
        <v>0</v>
      </c>
      <c r="AI285" t="str">
        <f t="shared" si="83"/>
        <v>Valid</v>
      </c>
      <c r="AJ285">
        <v>1814.01</v>
      </c>
      <c r="AK285">
        <f t="shared" si="84"/>
        <v>1814.01</v>
      </c>
      <c r="AL285">
        <v>1033.47</v>
      </c>
      <c r="AM285">
        <v>780.54</v>
      </c>
      <c r="AN285">
        <f t="shared" si="85"/>
        <v>780.54</v>
      </c>
      <c r="AO285">
        <f t="shared" si="86"/>
        <v>-1033.47</v>
      </c>
      <c r="AP285" t="s">
        <v>34</v>
      </c>
      <c r="AQ285" t="str">
        <f t="shared" si="87"/>
        <v>Paid</v>
      </c>
      <c r="AR285" t="s">
        <v>35</v>
      </c>
      <c r="AS285" t="str">
        <f t="shared" si="88"/>
        <v>Completed</v>
      </c>
      <c r="AT285" t="str">
        <f t="shared" si="89"/>
        <v>Clean</v>
      </c>
    </row>
    <row r="286" spans="1:46">
      <c r="A286" t="s">
        <v>1463</v>
      </c>
      <c r="B286">
        <f>COUNTIF($D$2:D286,D286)</f>
        <v>2</v>
      </c>
      <c r="C286" t="str">
        <f>IF(COUNTIF($A:$A,A286)=1,
"Unique",
IF(COUNTIFS($A:$A,A286,$N:$N,N286,$AF:$AF,AF286,$AJ:$AJ,AJ286)&gt;1,
"Exact Duplicate",
"Conflicting Duplicate"))</f>
        <v>Unique</v>
      </c>
      <c r="D286" t="s">
        <v>1464</v>
      </c>
      <c r="E286" t="s">
        <v>1465</v>
      </c>
      <c r="F286" s="3">
        <v>45634</v>
      </c>
      <c r="G286" s="3">
        <v>45640</v>
      </c>
      <c r="H286" s="5" t="str">
        <f t="shared" si="72"/>
        <v>December</v>
      </c>
      <c r="I286" s="5">
        <f t="shared" si="73"/>
        <v>2024</v>
      </c>
      <c r="J286" t="str">
        <f>IF(F286="","Missing Date",
IF(ISNUMBER(F286),"Valid","Invalid Date"))</f>
        <v>Valid</v>
      </c>
      <c r="K286" t="str">
        <f t="shared" si="74"/>
        <v>Valid</v>
      </c>
      <c r="L286">
        <f>G286-F286</f>
        <v>6</v>
      </c>
      <c r="M286" t="s">
        <v>1466</v>
      </c>
      <c r="N286" t="s">
        <v>25</v>
      </c>
      <c r="O286" t="str">
        <f t="shared" si="75"/>
        <v>Karan Malhotra</v>
      </c>
      <c r="P286" t="s">
        <v>26</v>
      </c>
      <c r="Q286" t="str">
        <f t="shared" si="76"/>
        <v>Consumer</v>
      </c>
      <c r="R286" t="s">
        <v>42</v>
      </c>
      <c r="S286" t="str">
        <f t="shared" si="77"/>
        <v>East</v>
      </c>
      <c r="T286" t="s">
        <v>43</v>
      </c>
      <c r="U286" t="str">
        <f t="shared" si="78"/>
        <v>Odisha</v>
      </c>
      <c r="V286" t="s">
        <v>44</v>
      </c>
      <c r="W286" t="str">
        <f t="shared" si="79"/>
        <v>Bhubaneswar</v>
      </c>
      <c r="X286" t="s">
        <v>45</v>
      </c>
      <c r="Y286" t="str">
        <f t="shared" si="80"/>
        <v>Furniture</v>
      </c>
      <c r="Z286" t="s">
        <v>46</v>
      </c>
      <c r="AA286" t="str">
        <f t="shared" si="81"/>
        <v>Tables</v>
      </c>
      <c r="AB286" t="s">
        <v>1467</v>
      </c>
      <c r="AC286" t="s">
        <v>48</v>
      </c>
      <c r="AD286" t="str">
        <f t="shared" si="82"/>
        <v>Same Day</v>
      </c>
      <c r="AE286">
        <v>3</v>
      </c>
      <c r="AF286">
        <v>1576.92</v>
      </c>
      <c r="AG286">
        <v>0</v>
      </c>
      <c r="AH286">
        <v>0</v>
      </c>
      <c r="AI286" t="str">
        <f t="shared" si="83"/>
        <v>Valid</v>
      </c>
      <c r="AJ286">
        <v>4730.76</v>
      </c>
      <c r="AK286">
        <f t="shared" si="84"/>
        <v>4730.76</v>
      </c>
      <c r="AL286">
        <v>3139.73</v>
      </c>
      <c r="AM286">
        <v>1591.03</v>
      </c>
      <c r="AN286">
        <f t="shared" si="85"/>
        <v>1591.0300000000002</v>
      </c>
      <c r="AO286">
        <f t="shared" si="86"/>
        <v>-3139.73</v>
      </c>
      <c r="AP286" t="s">
        <v>34</v>
      </c>
      <c r="AQ286" t="str">
        <f t="shared" si="87"/>
        <v>Paid</v>
      </c>
      <c r="AR286" t="s">
        <v>125</v>
      </c>
      <c r="AS286" t="str">
        <f t="shared" si="88"/>
        <v>Returned</v>
      </c>
      <c r="AT286" t="str">
        <f t="shared" si="89"/>
        <v>Clean</v>
      </c>
    </row>
    <row r="287" spans="1:46">
      <c r="A287" t="s">
        <v>1468</v>
      </c>
      <c r="B287">
        <f>COUNTIF($D$2:D287,D287)</f>
        <v>1</v>
      </c>
      <c r="C287" t="str">
        <f>IF(COUNTIF($A:$A,A287)=1,
"Unique",
IF(COUNTIFS($A:$A,A287,$N:$N,N287,$AF:$AF,AF287,$AJ:$AJ,AJ287)&gt;1,
"Exact Duplicate",
"Conflicting Duplicate"))</f>
        <v>Unique</v>
      </c>
      <c r="D287" t="s">
        <v>1469</v>
      </c>
      <c r="E287" t="s">
        <v>1470</v>
      </c>
      <c r="F287" s="3">
        <v>45884</v>
      </c>
      <c r="G287" s="3">
        <v>45889</v>
      </c>
      <c r="H287" s="5" t="str">
        <f t="shared" si="72"/>
        <v>August</v>
      </c>
      <c r="I287" s="5">
        <f t="shared" si="73"/>
        <v>2025</v>
      </c>
      <c r="J287" t="str">
        <f>IF(F287="","Missing Date",
IF(ISNUMBER(F287),"Valid","Invalid Date"))</f>
        <v>Valid</v>
      </c>
      <c r="K287" t="str">
        <f t="shared" si="74"/>
        <v>Valid</v>
      </c>
      <c r="L287">
        <f>G287-F287</f>
        <v>5</v>
      </c>
      <c r="M287" t="s">
        <v>1471</v>
      </c>
      <c r="N287" t="s">
        <v>93</v>
      </c>
      <c r="O287" t="str">
        <f t="shared" si="75"/>
        <v>Neha Gupta</v>
      </c>
      <c r="P287" t="s">
        <v>115</v>
      </c>
      <c r="Q287" t="str">
        <f t="shared" si="76"/>
        <v>Home Office</v>
      </c>
      <c r="R287" t="s">
        <v>27</v>
      </c>
      <c r="S287" t="str">
        <f t="shared" si="77"/>
        <v>North</v>
      </c>
      <c r="T287" t="s">
        <v>28</v>
      </c>
      <c r="U287" t="str">
        <f t="shared" si="78"/>
        <v>Rajasthan</v>
      </c>
      <c r="V287" t="s">
        <v>29</v>
      </c>
      <c r="W287" t="str">
        <f t="shared" si="79"/>
        <v>Jaipur</v>
      </c>
      <c r="X287" t="s">
        <v>30</v>
      </c>
      <c r="Y287" t="str">
        <f t="shared" si="80"/>
        <v>Office Supplies</v>
      </c>
      <c r="Z287" t="s">
        <v>156</v>
      </c>
      <c r="AA287" t="str">
        <f t="shared" si="81"/>
        <v>Storage</v>
      </c>
      <c r="AB287" t="s">
        <v>1472</v>
      </c>
      <c r="AC287" t="s">
        <v>67</v>
      </c>
      <c r="AD287" t="str">
        <f t="shared" si="82"/>
        <v>Standard Class</v>
      </c>
      <c r="AE287">
        <v>9</v>
      </c>
      <c r="AF287">
        <v>4081.77</v>
      </c>
      <c r="AG287">
        <v>0</v>
      </c>
      <c r="AH287">
        <v>0</v>
      </c>
      <c r="AI287" t="str">
        <f t="shared" si="83"/>
        <v>Valid</v>
      </c>
      <c r="AJ287">
        <v>36735.93</v>
      </c>
      <c r="AK287">
        <f t="shared" si="84"/>
        <v>36735.93</v>
      </c>
      <c r="AL287">
        <v>30820.84</v>
      </c>
      <c r="AM287">
        <v>5915.09</v>
      </c>
      <c r="AN287">
        <f t="shared" si="85"/>
        <v>5915.09</v>
      </c>
      <c r="AO287">
        <f t="shared" si="86"/>
        <v>-30820.84</v>
      </c>
      <c r="AP287" t="s">
        <v>34</v>
      </c>
      <c r="AQ287" t="str">
        <f t="shared" si="87"/>
        <v>Paid</v>
      </c>
      <c r="AR287" t="s">
        <v>35</v>
      </c>
      <c r="AS287" t="str">
        <f t="shared" si="88"/>
        <v>Completed</v>
      </c>
      <c r="AT287" t="str">
        <f t="shared" si="89"/>
        <v>Clean</v>
      </c>
    </row>
    <row r="288" spans="1:46">
      <c r="A288" t="s">
        <v>1473</v>
      </c>
      <c r="B288">
        <f>COUNTIF($D$2:D288,D288)</f>
        <v>1</v>
      </c>
      <c r="C288" t="str">
        <f>IF(COUNTIF($A:$A,A288)=1,
"Unique",
IF(COUNTIFS($A:$A,A288,$N:$N,N288,$AF:$AF,AF288,$AJ:$AJ,AJ288)&gt;1,
"Exact Duplicate",
"Conflicting Duplicate"))</f>
        <v>Unique</v>
      </c>
      <c r="D288" t="s">
        <v>1474</v>
      </c>
      <c r="E288" t="s">
        <v>1475</v>
      </c>
      <c r="F288" s="3">
        <v>45350</v>
      </c>
      <c r="G288" s="3">
        <v>45353</v>
      </c>
      <c r="H288" s="5" t="str">
        <f t="shared" si="72"/>
        <v>February</v>
      </c>
      <c r="I288" s="5">
        <f t="shared" si="73"/>
        <v>2024</v>
      </c>
      <c r="J288" t="str">
        <f>IF(F288="","Missing Date",
IF(ISNUMBER(F288),"Valid","Invalid Date"))</f>
        <v>Valid</v>
      </c>
      <c r="K288" t="str">
        <f t="shared" si="74"/>
        <v>Valid</v>
      </c>
      <c r="L288">
        <f>G288-F288</f>
        <v>3</v>
      </c>
      <c r="M288" t="s">
        <v>1476</v>
      </c>
      <c r="N288" t="s">
        <v>142</v>
      </c>
      <c r="O288" t="str">
        <f t="shared" si="75"/>
        <v>Priya Menon</v>
      </c>
      <c r="P288" t="s">
        <v>41</v>
      </c>
      <c r="Q288" t="str">
        <f t="shared" si="76"/>
        <v>Small Business</v>
      </c>
      <c r="R288" t="s">
        <v>27</v>
      </c>
      <c r="S288" t="str">
        <f t="shared" si="77"/>
        <v>North</v>
      </c>
      <c r="T288" t="s">
        <v>506</v>
      </c>
      <c r="U288" t="str">
        <f t="shared" si="78"/>
        <v>Delhi</v>
      </c>
      <c r="V288" t="s">
        <v>507</v>
      </c>
      <c r="W288" t="str">
        <f t="shared" si="79"/>
        <v>New Delhi</v>
      </c>
      <c r="X288" t="s">
        <v>45</v>
      </c>
      <c r="Y288" t="str">
        <f t="shared" si="80"/>
        <v>Furniture</v>
      </c>
      <c r="Z288" t="s">
        <v>65</v>
      </c>
      <c r="AA288" t="str">
        <f t="shared" si="81"/>
        <v>Furnishings</v>
      </c>
      <c r="AB288" t="s">
        <v>1477</v>
      </c>
      <c r="AC288" t="s">
        <v>56</v>
      </c>
      <c r="AD288" t="str">
        <f t="shared" si="82"/>
        <v>First Class</v>
      </c>
      <c r="AE288">
        <v>7</v>
      </c>
      <c r="AF288">
        <v>701.8</v>
      </c>
      <c r="AG288">
        <v>0.1</v>
      </c>
      <c r="AH288">
        <v>0.1</v>
      </c>
      <c r="AI288" t="str">
        <f t="shared" si="83"/>
        <v>Valid</v>
      </c>
      <c r="AJ288">
        <v>4421.34</v>
      </c>
      <c r="AK288">
        <f t="shared" si="84"/>
        <v>4421.3399999999992</v>
      </c>
      <c r="AL288">
        <v>2489.98</v>
      </c>
      <c r="AM288">
        <v>1931.36</v>
      </c>
      <c r="AN288">
        <f t="shared" si="85"/>
        <v>1931.3599999999992</v>
      </c>
      <c r="AO288">
        <f t="shared" si="86"/>
        <v>-2489.98</v>
      </c>
      <c r="AP288" t="s">
        <v>137</v>
      </c>
      <c r="AQ288" t="str">
        <f t="shared" si="87"/>
        <v>Pending</v>
      </c>
      <c r="AR288" t="s">
        <v>125</v>
      </c>
      <c r="AS288" t="str">
        <f t="shared" si="88"/>
        <v>Returned</v>
      </c>
      <c r="AT288" t="str">
        <f t="shared" si="89"/>
        <v>Clean</v>
      </c>
    </row>
    <row r="289" spans="1:46">
      <c r="A289" t="s">
        <v>1478</v>
      </c>
      <c r="B289">
        <f>COUNTIF($D$2:D289,D289)</f>
        <v>1</v>
      </c>
      <c r="C289" t="str">
        <f>IF(COUNTIF($A:$A,A289)=1,
"Unique",
IF(COUNTIFS($A:$A,A289,$N:$N,N289,$AF:$AF,AF289,$AJ:$AJ,AJ289)&gt;1,
"Exact Duplicate",
"Conflicting Duplicate"))</f>
        <v>Unique</v>
      </c>
      <c r="D289" t="s">
        <v>1479</v>
      </c>
      <c r="E289" t="s">
        <v>1480</v>
      </c>
      <c r="F289" s="3">
        <v>45540</v>
      </c>
      <c r="G289" s="3">
        <v>45482</v>
      </c>
      <c r="H289" s="5" t="str">
        <f t="shared" si="72"/>
        <v>September</v>
      </c>
      <c r="I289" s="5">
        <f t="shared" si="73"/>
        <v>2024</v>
      </c>
      <c r="J289" t="str">
        <f>IF(F289="","Missing Date",
IF(ISNUMBER(F289),"Valid","Invalid Date"))</f>
        <v>Valid</v>
      </c>
      <c r="K289" t="str">
        <f t="shared" si="74"/>
        <v>Valid</v>
      </c>
      <c r="L289">
        <f>G289-F289</f>
        <v>-58</v>
      </c>
      <c r="M289" t="s">
        <v>1481</v>
      </c>
      <c r="N289" t="s">
        <v>93</v>
      </c>
      <c r="O289" t="str">
        <f t="shared" si="75"/>
        <v>Neha Gupta</v>
      </c>
      <c r="P289" t="s">
        <v>41</v>
      </c>
      <c r="Q289" t="str">
        <f t="shared" si="76"/>
        <v>Small Business</v>
      </c>
      <c r="R289" t="s">
        <v>62</v>
      </c>
      <c r="S289" t="str">
        <f t="shared" si="77"/>
        <v>South</v>
      </c>
      <c r="T289" t="s">
        <v>339</v>
      </c>
      <c r="U289" t="str">
        <f t="shared" si="78"/>
        <v>Tamil Nadu</v>
      </c>
      <c r="V289" t="s">
        <v>340</v>
      </c>
      <c r="W289" t="str">
        <f t="shared" si="79"/>
        <v>Chennai</v>
      </c>
      <c r="X289" t="s">
        <v>86</v>
      </c>
      <c r="Y289" t="str">
        <f t="shared" si="80"/>
        <v>Technology</v>
      </c>
      <c r="Z289" t="s">
        <v>94</v>
      </c>
      <c r="AA289" t="str">
        <f t="shared" si="81"/>
        <v>Copiers</v>
      </c>
      <c r="AB289" t="s">
        <v>1482</v>
      </c>
      <c r="AC289" t="s">
        <v>67</v>
      </c>
      <c r="AD289" t="str">
        <f t="shared" si="82"/>
        <v>Standard Class</v>
      </c>
      <c r="AE289">
        <v>3</v>
      </c>
      <c r="AF289">
        <v>2555.66</v>
      </c>
      <c r="AG289">
        <v>0.15</v>
      </c>
      <c r="AH289">
        <v>0.15</v>
      </c>
      <c r="AI289" t="str">
        <f t="shared" si="83"/>
        <v>Valid</v>
      </c>
      <c r="AJ289">
        <v>6516.93</v>
      </c>
      <c r="AK289">
        <f t="shared" si="84"/>
        <v>6516.9329999999991</v>
      </c>
      <c r="AL289">
        <v>4511.54</v>
      </c>
      <c r="AM289">
        <v>2005.39</v>
      </c>
      <c r="AN289">
        <f t="shared" si="85"/>
        <v>2005.3929999999991</v>
      </c>
      <c r="AO289">
        <f t="shared" si="86"/>
        <v>-4511.54</v>
      </c>
      <c r="AP289" t="s">
        <v>34</v>
      </c>
      <c r="AQ289" t="str">
        <f t="shared" si="87"/>
        <v>Paid</v>
      </c>
      <c r="AR289" t="s">
        <v>78</v>
      </c>
      <c r="AS289" t="str">
        <f t="shared" si="88"/>
        <v>Cancelled</v>
      </c>
      <c r="AT289" t="str">
        <f t="shared" si="89"/>
        <v>Clean</v>
      </c>
    </row>
    <row r="290" spans="1:46">
      <c r="A290" t="s">
        <v>1483</v>
      </c>
      <c r="B290">
        <f>COUNTIF($D$2:D290,D290)</f>
        <v>1</v>
      </c>
      <c r="C290" t="str">
        <f>IF(COUNTIF($A:$A,A290)=1,
"Unique",
IF(COUNTIFS($A:$A,A290,$N:$N,N290,$AF:$AF,AF290,$AJ:$AJ,AJ290)&gt;1,
"Exact Duplicate",
"Conflicting Duplicate"))</f>
        <v>Unique</v>
      </c>
      <c r="D290" t="s">
        <v>1484</v>
      </c>
      <c r="E290" t="s">
        <v>1484</v>
      </c>
      <c r="F290" s="3">
        <v>45467</v>
      </c>
      <c r="G290" s="3">
        <v>45467</v>
      </c>
      <c r="H290" s="5" t="str">
        <f t="shared" si="72"/>
        <v>June</v>
      </c>
      <c r="I290" s="5">
        <f t="shared" si="73"/>
        <v>2024</v>
      </c>
      <c r="J290" t="str">
        <f>IF(F290="","Missing Date",
IF(ISNUMBER(F290),"Valid","Invalid Date"))</f>
        <v>Valid</v>
      </c>
      <c r="K290" t="str">
        <f t="shared" si="74"/>
        <v>Valid</v>
      </c>
      <c r="L290">
        <f>G290-F290</f>
        <v>0</v>
      </c>
      <c r="M290" t="s">
        <v>1485</v>
      </c>
      <c r="N290" t="s">
        <v>180</v>
      </c>
      <c r="O290" t="str">
        <f t="shared" si="75"/>
        <v>Rohan Mehta</v>
      </c>
      <c r="P290" t="s">
        <v>41</v>
      </c>
      <c r="Q290" t="str">
        <f t="shared" si="76"/>
        <v>Small Business</v>
      </c>
      <c r="R290" t="s">
        <v>42</v>
      </c>
      <c r="S290" t="str">
        <f t="shared" si="77"/>
        <v>East</v>
      </c>
      <c r="T290" t="s">
        <v>186</v>
      </c>
      <c r="U290" t="str">
        <f t="shared" si="78"/>
        <v>Bihar</v>
      </c>
      <c r="V290" t="s">
        <v>187</v>
      </c>
      <c r="W290" t="str">
        <f t="shared" si="79"/>
        <v>Patna</v>
      </c>
      <c r="X290" t="s">
        <v>30</v>
      </c>
      <c r="Y290" t="str">
        <f t="shared" si="80"/>
        <v>Office Supplies</v>
      </c>
      <c r="Z290" t="s">
        <v>198</v>
      </c>
      <c r="AA290" t="str">
        <f t="shared" si="81"/>
        <v>Binders</v>
      </c>
      <c r="AB290" t="s">
        <v>1486</v>
      </c>
      <c r="AC290" t="s">
        <v>48</v>
      </c>
      <c r="AD290" t="str">
        <f t="shared" si="82"/>
        <v>Same Day</v>
      </c>
      <c r="AE290">
        <v>2</v>
      </c>
      <c r="AF290">
        <v>4359.8999999999996</v>
      </c>
      <c r="AG290">
        <v>0.15</v>
      </c>
      <c r="AH290">
        <v>0.15</v>
      </c>
      <c r="AI290" t="str">
        <f t="shared" si="83"/>
        <v>Valid</v>
      </c>
      <c r="AJ290">
        <v>7411.83</v>
      </c>
      <c r="AK290">
        <f t="shared" si="84"/>
        <v>7411.829999999999</v>
      </c>
      <c r="AL290">
        <v>4904.63</v>
      </c>
      <c r="AM290">
        <v>2507.1999999999998</v>
      </c>
      <c r="AN290">
        <f t="shared" si="85"/>
        <v>2507.1999999999989</v>
      </c>
      <c r="AO290">
        <f t="shared" si="86"/>
        <v>-4904.63</v>
      </c>
      <c r="AP290" t="s">
        <v>34</v>
      </c>
      <c r="AQ290" t="str">
        <f t="shared" si="87"/>
        <v>Paid</v>
      </c>
      <c r="AR290" t="s">
        <v>35</v>
      </c>
      <c r="AS290" t="str">
        <f t="shared" si="88"/>
        <v>Completed</v>
      </c>
      <c r="AT290" t="str">
        <f t="shared" si="89"/>
        <v>Clean</v>
      </c>
    </row>
    <row r="291" spans="1:46">
      <c r="A291" t="s">
        <v>1487</v>
      </c>
      <c r="B291">
        <f>COUNTIF($D$2:D291,D291)</f>
        <v>1</v>
      </c>
      <c r="C291" t="str">
        <f>IF(COUNTIF($A:$A,A291)=1,
"Unique",
IF(COUNTIFS($A:$A,A291,$N:$N,N291,$AF:$AF,AF291,$AJ:$AJ,AJ291)&gt;1,
"Exact Duplicate",
"Conflicting Duplicate"))</f>
        <v>Unique</v>
      </c>
      <c r="D291" t="s">
        <v>254</v>
      </c>
      <c r="E291" t="s">
        <v>649</v>
      </c>
      <c r="F291" s="3">
        <v>45827</v>
      </c>
      <c r="G291" s="3">
        <v>45835</v>
      </c>
      <c r="H291" s="5" t="str">
        <f t="shared" si="72"/>
        <v>June</v>
      </c>
      <c r="I291" s="5">
        <f t="shared" si="73"/>
        <v>2025</v>
      </c>
      <c r="J291" t="str">
        <f>IF(F291="","Missing Date",
IF(ISNUMBER(F291),"Valid","Invalid Date"))</f>
        <v>Valid</v>
      </c>
      <c r="K291" t="str">
        <f t="shared" si="74"/>
        <v>Valid</v>
      </c>
      <c r="L291">
        <f>G291-F291</f>
        <v>8</v>
      </c>
      <c r="M291" t="s">
        <v>1488</v>
      </c>
      <c r="N291" t="s">
        <v>25</v>
      </c>
      <c r="O291" t="str">
        <f t="shared" si="75"/>
        <v>Karan Malhotra</v>
      </c>
      <c r="P291" t="s">
        <v>115</v>
      </c>
      <c r="Q291" t="str">
        <f t="shared" si="76"/>
        <v>Home Office</v>
      </c>
      <c r="R291" t="s">
        <v>62</v>
      </c>
      <c r="S291" t="str">
        <f t="shared" si="77"/>
        <v>South</v>
      </c>
      <c r="T291" t="s">
        <v>339</v>
      </c>
      <c r="U291" t="str">
        <f t="shared" si="78"/>
        <v>Tamil Nadu</v>
      </c>
      <c r="V291" t="s">
        <v>340</v>
      </c>
      <c r="W291" t="str">
        <f t="shared" si="79"/>
        <v>Chennai</v>
      </c>
      <c r="X291" t="s">
        <v>45</v>
      </c>
      <c r="Y291" t="str">
        <f t="shared" si="80"/>
        <v>Furniture</v>
      </c>
      <c r="Z291" t="s">
        <v>204</v>
      </c>
      <c r="AA291" t="str">
        <f t="shared" si="81"/>
        <v>Bookcases</v>
      </c>
      <c r="AB291" t="s">
        <v>1489</v>
      </c>
      <c r="AC291" t="s">
        <v>56</v>
      </c>
      <c r="AD291" t="str">
        <f t="shared" si="82"/>
        <v>First Class</v>
      </c>
      <c r="AE291">
        <v>2</v>
      </c>
      <c r="AF291">
        <v>4346.6899999999996</v>
      </c>
      <c r="AG291">
        <v>0.05</v>
      </c>
      <c r="AH291">
        <v>0.05</v>
      </c>
      <c r="AI291" t="str">
        <f t="shared" si="83"/>
        <v>Valid</v>
      </c>
      <c r="AJ291">
        <v>8258.7099999999991</v>
      </c>
      <c r="AK291">
        <f t="shared" si="84"/>
        <v>8258.7109999999993</v>
      </c>
      <c r="AL291">
        <v>7018.97</v>
      </c>
      <c r="AM291">
        <v>1239.74</v>
      </c>
      <c r="AN291">
        <f t="shared" si="85"/>
        <v>1239.7409999999991</v>
      </c>
      <c r="AO291">
        <f t="shared" si="86"/>
        <v>-7018.97</v>
      </c>
      <c r="AP291" t="s">
        <v>34</v>
      </c>
      <c r="AQ291" t="str">
        <f t="shared" si="87"/>
        <v>Paid</v>
      </c>
      <c r="AR291" t="s">
        <v>35</v>
      </c>
      <c r="AS291" t="str">
        <f t="shared" si="88"/>
        <v>Completed</v>
      </c>
      <c r="AT291" t="str">
        <f t="shared" si="89"/>
        <v>Clean</v>
      </c>
    </row>
    <row r="292" spans="1:46">
      <c r="A292" t="s">
        <v>1490</v>
      </c>
      <c r="B292">
        <f>COUNTIF($D$2:D292,D292)</f>
        <v>3</v>
      </c>
      <c r="C292" t="str">
        <f>IF(COUNTIF($A:$A,A292)=1,
"Unique",
IF(COUNTIFS($A:$A,A292,$N:$N,N292,$AF:$AF,AF292,$AJ:$AJ,AJ292)&gt;1,
"Exact Duplicate",
"Conflicting Duplicate"))</f>
        <v>Unique</v>
      </c>
      <c r="D292" t="s">
        <v>1491</v>
      </c>
      <c r="E292" t="s">
        <v>1492</v>
      </c>
      <c r="F292" s="2">
        <v>45891</v>
      </c>
      <c r="G292" s="3">
        <v>45895</v>
      </c>
      <c r="H292" s="5" t="str">
        <f t="shared" si="72"/>
        <v>August</v>
      </c>
      <c r="I292" s="5">
        <f t="shared" si="73"/>
        <v>2025</v>
      </c>
      <c r="J292" t="str">
        <f>IF(F292="","Missing Date",
IF(ISNUMBER(F292),"Valid","Invalid Date"))</f>
        <v>Valid</v>
      </c>
      <c r="K292" t="str">
        <f t="shared" si="74"/>
        <v>Valid</v>
      </c>
      <c r="L292">
        <f>G292-F292</f>
        <v>4</v>
      </c>
      <c r="M292" t="s">
        <v>1493</v>
      </c>
      <c r="N292" t="s">
        <v>210</v>
      </c>
      <c r="O292" t="str">
        <f t="shared" si="75"/>
        <v>Diya Patel</v>
      </c>
      <c r="P292" t="s">
        <v>115</v>
      </c>
      <c r="Q292" t="str">
        <f t="shared" si="76"/>
        <v>Home Office</v>
      </c>
      <c r="R292" t="s">
        <v>42</v>
      </c>
      <c r="S292" t="str">
        <f t="shared" si="77"/>
        <v>East</v>
      </c>
      <c r="T292" t="s">
        <v>311</v>
      </c>
      <c r="U292" t="str">
        <f t="shared" si="78"/>
        <v>Jharkhand</v>
      </c>
      <c r="V292" t="s">
        <v>312</v>
      </c>
      <c r="W292" t="str">
        <f t="shared" si="79"/>
        <v>Ranchi</v>
      </c>
      <c r="X292" t="s">
        <v>45</v>
      </c>
      <c r="Y292" t="str">
        <f t="shared" si="80"/>
        <v>Furniture</v>
      </c>
      <c r="Z292" t="s">
        <v>46</v>
      </c>
      <c r="AA292" t="str">
        <f t="shared" si="81"/>
        <v>Tables</v>
      </c>
      <c r="AB292" t="s">
        <v>1494</v>
      </c>
      <c r="AC292" t="s">
        <v>67</v>
      </c>
      <c r="AD292" t="str">
        <f t="shared" si="82"/>
        <v>Standard Class</v>
      </c>
      <c r="AE292">
        <v>1</v>
      </c>
      <c r="AF292">
        <v>1842.63</v>
      </c>
      <c r="AG292">
        <v>0.1</v>
      </c>
      <c r="AH292">
        <v>0.1</v>
      </c>
      <c r="AI292" t="str">
        <f t="shared" si="83"/>
        <v>Valid</v>
      </c>
      <c r="AJ292">
        <v>1658.37</v>
      </c>
      <c r="AK292">
        <f t="shared" si="84"/>
        <v>1658.3670000000002</v>
      </c>
      <c r="AL292">
        <v>971.12</v>
      </c>
      <c r="AM292">
        <v>687.25</v>
      </c>
      <c r="AN292">
        <f t="shared" si="85"/>
        <v>687.24700000000018</v>
      </c>
      <c r="AO292">
        <f t="shared" si="86"/>
        <v>-971.12</v>
      </c>
      <c r="AP292" t="s">
        <v>34</v>
      </c>
      <c r="AQ292" t="str">
        <f t="shared" si="87"/>
        <v>Paid</v>
      </c>
      <c r="AR292" t="s">
        <v>35</v>
      </c>
      <c r="AS292" t="str">
        <f t="shared" si="88"/>
        <v>Completed</v>
      </c>
      <c r="AT292" t="str">
        <f t="shared" si="89"/>
        <v>Clean</v>
      </c>
    </row>
    <row r="293" spans="1:46">
      <c r="A293" t="s">
        <v>1495</v>
      </c>
      <c r="B293">
        <f>COUNTIF($D$2:D293,D293)</f>
        <v>2</v>
      </c>
      <c r="C293" t="str">
        <f>IF(COUNTIF($A:$A,A293)=1,
"Unique",
IF(COUNTIFS($A:$A,A293,$N:$N,N293,$AF:$AF,AF293,$AJ:$AJ,AJ293)&gt;1,
"Exact Duplicate",
"Conflicting Duplicate"))</f>
        <v>Unique</v>
      </c>
      <c r="D293" t="s">
        <v>1496</v>
      </c>
      <c r="E293" t="s">
        <v>1497</v>
      </c>
      <c r="F293" s="3">
        <v>45387</v>
      </c>
      <c r="G293" s="3">
        <v>45569</v>
      </c>
      <c r="H293" s="5" t="str">
        <f t="shared" si="72"/>
        <v>April</v>
      </c>
      <c r="I293" s="5">
        <f t="shared" si="73"/>
        <v>2024</v>
      </c>
      <c r="J293" t="str">
        <f>IF(F293="","Missing Date",
IF(ISNUMBER(F293),"Valid","Invalid Date"))</f>
        <v>Valid</v>
      </c>
      <c r="K293" t="str">
        <f t="shared" si="74"/>
        <v>Valid</v>
      </c>
      <c r="L293">
        <f>G293-F293</f>
        <v>182</v>
      </c>
      <c r="M293" t="s">
        <v>1498</v>
      </c>
      <c r="N293" t="s">
        <v>142</v>
      </c>
      <c r="O293" t="str">
        <f t="shared" si="75"/>
        <v>Priya Menon</v>
      </c>
      <c r="P293" t="s">
        <v>115</v>
      </c>
      <c r="Q293" t="str">
        <f t="shared" si="76"/>
        <v>Home Office</v>
      </c>
      <c r="R293" t="s">
        <v>27</v>
      </c>
      <c r="S293" t="str">
        <f t="shared" si="77"/>
        <v>North</v>
      </c>
      <c r="T293" t="s">
        <v>28</v>
      </c>
      <c r="U293" t="str">
        <f t="shared" si="78"/>
        <v>Rajasthan</v>
      </c>
      <c r="V293" t="s">
        <v>29</v>
      </c>
      <c r="W293" t="str">
        <f t="shared" si="79"/>
        <v>Jaipur</v>
      </c>
      <c r="X293" t="s">
        <v>30</v>
      </c>
      <c r="Y293" t="str">
        <f t="shared" si="80"/>
        <v>Office Supplies</v>
      </c>
      <c r="Z293" t="s">
        <v>198</v>
      </c>
      <c r="AA293" t="str">
        <f t="shared" si="81"/>
        <v>Binders</v>
      </c>
      <c r="AB293" t="s">
        <v>1499</v>
      </c>
      <c r="AC293" t="s">
        <v>67</v>
      </c>
      <c r="AD293" t="str">
        <f t="shared" si="82"/>
        <v>Standard Class</v>
      </c>
      <c r="AE293">
        <v>4</v>
      </c>
      <c r="AF293">
        <v>3228.66</v>
      </c>
      <c r="AG293">
        <v>0.25</v>
      </c>
      <c r="AH293">
        <v>0.25</v>
      </c>
      <c r="AI293" t="str">
        <f t="shared" si="83"/>
        <v>Valid</v>
      </c>
      <c r="AJ293">
        <v>9685.98</v>
      </c>
      <c r="AK293">
        <f t="shared" si="84"/>
        <v>9685.98</v>
      </c>
      <c r="AL293">
        <v>7730.04</v>
      </c>
      <c r="AM293">
        <v>1955.94</v>
      </c>
      <c r="AN293">
        <f t="shared" si="85"/>
        <v>1955.9399999999996</v>
      </c>
      <c r="AO293">
        <f t="shared" si="86"/>
        <v>-7730.04</v>
      </c>
      <c r="AP293" t="s">
        <v>34</v>
      </c>
      <c r="AQ293" t="str">
        <f t="shared" si="87"/>
        <v>Paid</v>
      </c>
      <c r="AR293" t="s">
        <v>35</v>
      </c>
      <c r="AS293" t="str">
        <f t="shared" si="88"/>
        <v>Completed</v>
      </c>
      <c r="AT293" t="str">
        <f t="shared" si="89"/>
        <v>Clean</v>
      </c>
    </row>
    <row r="294" spans="1:46">
      <c r="A294" t="s">
        <v>1500</v>
      </c>
      <c r="B294">
        <f>COUNTIF($D$2:D294,D294)</f>
        <v>1</v>
      </c>
      <c r="C294" t="str">
        <f>IF(COUNTIF($A:$A,A294)=1,
"Unique",
IF(COUNTIFS($A:$A,A294,$N:$N,N294,$AF:$AF,AF294,$AJ:$AJ,AJ294)&gt;1,
"Exact Duplicate",
"Conflicting Duplicate"))</f>
        <v>Unique</v>
      </c>
      <c r="D294" t="s">
        <v>1501</v>
      </c>
      <c r="E294" t="s">
        <v>1502</v>
      </c>
      <c r="F294" s="2">
        <v>45716</v>
      </c>
      <c r="G294" s="3">
        <v>45719</v>
      </c>
      <c r="H294" s="5" t="str">
        <f t="shared" si="72"/>
        <v>February</v>
      </c>
      <c r="I294" s="5">
        <f t="shared" si="73"/>
        <v>2025</v>
      </c>
      <c r="J294" t="str">
        <f>IF(F294="","Missing Date",
IF(ISNUMBER(F294),"Valid","Invalid Date"))</f>
        <v>Valid</v>
      </c>
      <c r="K294" t="str">
        <f t="shared" si="74"/>
        <v>Valid</v>
      </c>
      <c r="L294">
        <f>G294-F294</f>
        <v>3</v>
      </c>
      <c r="M294" t="s">
        <v>1503</v>
      </c>
      <c r="N294" t="s">
        <v>366</v>
      </c>
      <c r="O294" t="str">
        <f t="shared" si="75"/>
        <v>Kabir Singh</v>
      </c>
      <c r="P294" t="s">
        <v>115</v>
      </c>
      <c r="Q294" t="str">
        <f t="shared" si="76"/>
        <v>Home Office</v>
      </c>
      <c r="R294" t="s">
        <v>27</v>
      </c>
      <c r="S294" t="str">
        <f t="shared" si="77"/>
        <v>North</v>
      </c>
      <c r="T294" t="s">
        <v>323</v>
      </c>
      <c r="U294" t="str">
        <f t="shared" si="78"/>
        <v>Haryana</v>
      </c>
      <c r="V294" t="s">
        <v>324</v>
      </c>
      <c r="W294" t="str">
        <f t="shared" si="79"/>
        <v>Gurugram</v>
      </c>
      <c r="X294" t="s">
        <v>30</v>
      </c>
      <c r="Y294" t="str">
        <f t="shared" si="80"/>
        <v>Office Supplies</v>
      </c>
      <c r="Z294" t="s">
        <v>54</v>
      </c>
      <c r="AA294" t="str">
        <f t="shared" si="81"/>
        <v>Art</v>
      </c>
      <c r="AB294" t="s">
        <v>1504</v>
      </c>
      <c r="AC294" t="s">
        <v>48</v>
      </c>
      <c r="AD294" t="str">
        <f t="shared" si="82"/>
        <v>Same Day</v>
      </c>
      <c r="AE294">
        <v>9</v>
      </c>
      <c r="AF294">
        <v>3748.95</v>
      </c>
      <c r="AG294">
        <v>0</v>
      </c>
      <c r="AH294">
        <v>0</v>
      </c>
      <c r="AI294" t="str">
        <f t="shared" si="83"/>
        <v>Valid</v>
      </c>
      <c r="AJ294">
        <v>33740.550000000003</v>
      </c>
      <c r="AK294">
        <f t="shared" si="84"/>
        <v>33740.549999999996</v>
      </c>
      <c r="AL294">
        <v>24621.89</v>
      </c>
      <c r="AM294">
        <v>9118.66</v>
      </c>
      <c r="AN294">
        <f t="shared" si="85"/>
        <v>9118.6599999999962</v>
      </c>
      <c r="AO294">
        <f t="shared" si="86"/>
        <v>-24621.89</v>
      </c>
      <c r="AP294" t="s">
        <v>137</v>
      </c>
      <c r="AQ294" t="str">
        <f t="shared" si="87"/>
        <v>Pending</v>
      </c>
      <c r="AR294" t="s">
        <v>78</v>
      </c>
      <c r="AS294" t="str">
        <f t="shared" si="88"/>
        <v>Cancelled</v>
      </c>
      <c r="AT294" t="str">
        <f t="shared" si="89"/>
        <v>Clean</v>
      </c>
    </row>
    <row r="295" spans="1:46">
      <c r="A295" t="s">
        <v>1505</v>
      </c>
      <c r="B295">
        <f>COUNTIF($D$2:D295,D295)</f>
        <v>1</v>
      </c>
      <c r="C295" t="str">
        <f>IF(COUNTIF($A:$A,A295)=1,
"Unique",
IF(COUNTIFS($A:$A,A295,$N:$N,N295,$AF:$AF,AF295,$AJ:$AJ,AJ295)&gt;1,
"Exact Duplicate",
"Conflicting Duplicate"))</f>
        <v>Unique</v>
      </c>
      <c r="D295" t="s">
        <v>1506</v>
      </c>
      <c r="E295" t="s">
        <v>1507</v>
      </c>
      <c r="F295" s="3">
        <v>45358</v>
      </c>
      <c r="G295" s="3">
        <v>45599</v>
      </c>
      <c r="H295" s="5" t="str">
        <f t="shared" si="72"/>
        <v>March</v>
      </c>
      <c r="I295" s="5">
        <f t="shared" si="73"/>
        <v>2024</v>
      </c>
      <c r="J295" t="str">
        <f>IF(F295="","Missing Date",
IF(ISNUMBER(F295),"Valid","Invalid Date"))</f>
        <v>Valid</v>
      </c>
      <c r="K295" t="str">
        <f t="shared" si="74"/>
        <v>Valid</v>
      </c>
      <c r="L295">
        <f>G295-F295</f>
        <v>241</v>
      </c>
      <c r="M295" t="s">
        <v>1508</v>
      </c>
      <c r="N295" t="s">
        <v>61</v>
      </c>
      <c r="O295" t="str">
        <f t="shared" si="75"/>
        <v>Arjun Bose</v>
      </c>
      <c r="P295" t="s">
        <v>115</v>
      </c>
      <c r="Q295" t="str">
        <f t="shared" si="76"/>
        <v>Home Office</v>
      </c>
      <c r="R295" t="s">
        <v>62</v>
      </c>
      <c r="S295" t="str">
        <f t="shared" si="77"/>
        <v>South</v>
      </c>
      <c r="T295" t="s">
        <v>63</v>
      </c>
      <c r="U295" t="str">
        <f t="shared" si="78"/>
        <v>Telangana</v>
      </c>
      <c r="V295" t="s">
        <v>64</v>
      </c>
      <c r="W295" t="str">
        <f t="shared" si="79"/>
        <v>Hyderabad</v>
      </c>
      <c r="X295" t="s">
        <v>86</v>
      </c>
      <c r="Y295" t="str">
        <f t="shared" si="80"/>
        <v>Technology</v>
      </c>
      <c r="Z295" t="s">
        <v>223</v>
      </c>
      <c r="AA295" t="str">
        <f t="shared" si="81"/>
        <v>Phones</v>
      </c>
      <c r="AB295" t="s">
        <v>1509</v>
      </c>
      <c r="AC295" t="s">
        <v>56</v>
      </c>
      <c r="AD295" t="str">
        <f t="shared" si="82"/>
        <v>First Class</v>
      </c>
      <c r="AE295">
        <v>2</v>
      </c>
      <c r="AF295">
        <v>4401.51</v>
      </c>
      <c r="AG295">
        <v>0.65</v>
      </c>
      <c r="AH295">
        <v>0.65</v>
      </c>
      <c r="AI295" t="str">
        <f t="shared" si="83"/>
        <v>Valid</v>
      </c>
      <c r="AJ295">
        <v>8362.8700000000008</v>
      </c>
      <c r="AK295">
        <f t="shared" si="84"/>
        <v>3081.0569999999998</v>
      </c>
      <c r="AL295">
        <v>6541.04</v>
      </c>
      <c r="AM295">
        <v>1821.83</v>
      </c>
      <c r="AN295">
        <f t="shared" si="85"/>
        <v>-3459.9830000000002</v>
      </c>
      <c r="AO295">
        <f t="shared" si="86"/>
        <v>-6541.04</v>
      </c>
      <c r="AP295" t="s">
        <v>34</v>
      </c>
      <c r="AQ295" t="str">
        <f t="shared" si="87"/>
        <v>Paid</v>
      </c>
      <c r="AR295" t="s">
        <v>35</v>
      </c>
      <c r="AS295" t="str">
        <f t="shared" si="88"/>
        <v>Completed</v>
      </c>
      <c r="AT295" t="str">
        <f t="shared" si="89"/>
        <v>Clean</v>
      </c>
    </row>
    <row r="296" spans="1:46">
      <c r="A296" t="s">
        <v>1510</v>
      </c>
      <c r="B296">
        <f>COUNTIF($D$2:D296,D296)</f>
        <v>1</v>
      </c>
      <c r="C296" t="str">
        <f>IF(COUNTIF($A:$A,A296)=1,
"Unique",
IF(COUNTIFS($A:$A,A296,$N:$N,N296,$AF:$AF,AF296,$AJ:$AJ,AJ296)&gt;1,
"Exact Duplicate",
"Conflicting Duplicate"))</f>
        <v>Unique</v>
      </c>
      <c r="D296" t="s">
        <v>1511</v>
      </c>
      <c r="E296" t="s">
        <v>1512</v>
      </c>
      <c r="F296" s="2">
        <v>45854</v>
      </c>
      <c r="G296" s="3">
        <v>45860</v>
      </c>
      <c r="H296" s="5" t="str">
        <f t="shared" si="72"/>
        <v>July</v>
      </c>
      <c r="I296" s="5">
        <f t="shared" si="73"/>
        <v>2025</v>
      </c>
      <c r="J296" t="str">
        <f>IF(F296="","Missing Date",
IF(ISNUMBER(F296),"Valid","Invalid Date"))</f>
        <v>Valid</v>
      </c>
      <c r="K296" t="str">
        <f t="shared" si="74"/>
        <v>Valid</v>
      </c>
      <c r="L296">
        <f>G296-F296</f>
        <v>6</v>
      </c>
      <c r="M296" t="s">
        <v>1513</v>
      </c>
      <c r="N296" t="s">
        <v>142</v>
      </c>
      <c r="O296" t="str">
        <f t="shared" si="75"/>
        <v>Priya Menon</v>
      </c>
      <c r="P296" t="s">
        <v>26</v>
      </c>
      <c r="Q296" t="str">
        <f t="shared" si="76"/>
        <v>Consumer</v>
      </c>
      <c r="R296" t="s">
        <v>42</v>
      </c>
      <c r="S296" t="str">
        <f t="shared" si="77"/>
        <v>East</v>
      </c>
      <c r="T296" t="s">
        <v>43</v>
      </c>
      <c r="U296" t="str">
        <f t="shared" si="78"/>
        <v>Odisha</v>
      </c>
      <c r="V296" t="s">
        <v>44</v>
      </c>
      <c r="W296" t="str">
        <f t="shared" si="79"/>
        <v>Bhubaneswar</v>
      </c>
      <c r="X296" t="s">
        <v>86</v>
      </c>
      <c r="Y296" t="str">
        <f t="shared" si="80"/>
        <v>Technology</v>
      </c>
      <c r="Z296" t="s">
        <v>223</v>
      </c>
      <c r="AA296" t="str">
        <f t="shared" si="81"/>
        <v>Phones</v>
      </c>
      <c r="AB296" t="s">
        <v>1514</v>
      </c>
      <c r="AC296" t="s">
        <v>33</v>
      </c>
      <c r="AD296" t="str">
        <f t="shared" si="82"/>
        <v>Second Class</v>
      </c>
      <c r="AE296">
        <v>6</v>
      </c>
      <c r="AF296">
        <v>4159.33</v>
      </c>
      <c r="AG296">
        <v>0.25</v>
      </c>
      <c r="AH296">
        <v>0.25</v>
      </c>
      <c r="AI296" t="str">
        <f t="shared" si="83"/>
        <v>Valid</v>
      </c>
      <c r="AJ296">
        <v>18716.990000000002</v>
      </c>
      <c r="AK296">
        <f t="shared" si="84"/>
        <v>18716.985000000001</v>
      </c>
      <c r="AL296">
        <v>12282.43</v>
      </c>
      <c r="AM296">
        <v>6434.56</v>
      </c>
      <c r="AN296">
        <f t="shared" si="85"/>
        <v>6434.5550000000003</v>
      </c>
      <c r="AO296">
        <f t="shared" si="86"/>
        <v>-12282.43</v>
      </c>
      <c r="AP296" t="s">
        <v>34</v>
      </c>
      <c r="AQ296" t="str">
        <f t="shared" si="87"/>
        <v>Paid</v>
      </c>
      <c r="AR296" t="s">
        <v>125</v>
      </c>
      <c r="AS296" t="str">
        <f t="shared" si="88"/>
        <v>Returned</v>
      </c>
      <c r="AT296" t="str">
        <f t="shared" si="89"/>
        <v>Clean</v>
      </c>
    </row>
    <row r="297" spans="1:46">
      <c r="A297" t="s">
        <v>1515</v>
      </c>
      <c r="B297">
        <f>COUNTIF($D$2:D297,D297)</f>
        <v>2</v>
      </c>
      <c r="C297" t="str">
        <f>IF(COUNTIF($A:$A,A297)=1,
"Unique",
IF(COUNTIFS($A:$A,A297,$N:$N,N297,$AF:$AF,AF297,$AJ:$AJ,AJ297)&gt;1,
"Exact Duplicate",
"Conflicting Duplicate"))</f>
        <v>Unique</v>
      </c>
      <c r="D297" t="s">
        <v>1516</v>
      </c>
      <c r="E297" t="s">
        <v>1517</v>
      </c>
      <c r="F297" s="2">
        <v>45833</v>
      </c>
      <c r="G297" s="2">
        <v>45836</v>
      </c>
      <c r="H297" s="5" t="str">
        <f t="shared" si="72"/>
        <v>June</v>
      </c>
      <c r="I297" s="5">
        <f t="shared" si="73"/>
        <v>2025</v>
      </c>
      <c r="J297" t="str">
        <f>IF(F297="","Missing Date",
IF(ISNUMBER(F297),"Valid","Invalid Date"))</f>
        <v>Valid</v>
      </c>
      <c r="K297" t="str">
        <f t="shared" si="74"/>
        <v>Valid</v>
      </c>
      <c r="L297">
        <f>G297-F297</f>
        <v>3</v>
      </c>
      <c r="M297" t="s">
        <v>1518</v>
      </c>
      <c r="N297" t="s">
        <v>107</v>
      </c>
      <c r="O297" t="str">
        <f t="shared" si="75"/>
        <v>Aditi Sen</v>
      </c>
      <c r="P297" t="s">
        <v>41</v>
      </c>
      <c r="Q297" t="str">
        <f t="shared" si="76"/>
        <v>Small Business</v>
      </c>
      <c r="R297" t="s">
        <v>42</v>
      </c>
      <c r="S297" t="str">
        <f t="shared" si="77"/>
        <v>East</v>
      </c>
      <c r="T297" t="s">
        <v>216</v>
      </c>
      <c r="U297" t="str">
        <f t="shared" si="78"/>
        <v>Assam</v>
      </c>
      <c r="V297" t="s">
        <v>217</v>
      </c>
      <c r="W297" t="str">
        <f t="shared" si="79"/>
        <v>Guwahati</v>
      </c>
      <c r="X297" t="s">
        <v>30</v>
      </c>
      <c r="Y297" t="str">
        <f t="shared" si="80"/>
        <v>Office Supplies</v>
      </c>
      <c r="Z297" t="s">
        <v>198</v>
      </c>
      <c r="AA297" t="str">
        <f t="shared" si="81"/>
        <v>Binders</v>
      </c>
      <c r="AB297" t="s">
        <v>1519</v>
      </c>
      <c r="AC297" t="s">
        <v>67</v>
      </c>
      <c r="AD297" t="str">
        <f t="shared" si="82"/>
        <v>Standard Class</v>
      </c>
      <c r="AE297">
        <v>3</v>
      </c>
      <c r="AF297">
        <v>3476.05</v>
      </c>
      <c r="AG297">
        <v>0.1</v>
      </c>
      <c r="AH297">
        <v>0.1</v>
      </c>
      <c r="AI297" t="str">
        <f t="shared" si="83"/>
        <v>Valid</v>
      </c>
      <c r="AJ297">
        <v>9385.34</v>
      </c>
      <c r="AK297">
        <f t="shared" si="84"/>
        <v>9385.3350000000009</v>
      </c>
      <c r="AL297">
        <v>5828.54</v>
      </c>
      <c r="AM297">
        <v>3556.8</v>
      </c>
      <c r="AN297">
        <f t="shared" si="85"/>
        <v>3556.795000000001</v>
      </c>
      <c r="AO297">
        <f t="shared" si="86"/>
        <v>-5828.54</v>
      </c>
      <c r="AP297" t="s">
        <v>34</v>
      </c>
      <c r="AQ297" t="str">
        <f t="shared" si="87"/>
        <v>Paid</v>
      </c>
      <c r="AR297" t="s">
        <v>35</v>
      </c>
      <c r="AS297" t="str">
        <f t="shared" si="88"/>
        <v>Completed</v>
      </c>
      <c r="AT297" t="str">
        <f t="shared" si="89"/>
        <v>Clean</v>
      </c>
    </row>
    <row r="298" spans="1:46">
      <c r="A298" t="s">
        <v>1520</v>
      </c>
      <c r="B298">
        <f>COUNTIF($D$2:D298,D298)</f>
        <v>1</v>
      </c>
      <c r="C298" t="str">
        <f>IF(COUNTIF($A:$A,A298)=1,
"Unique",
IF(COUNTIFS($A:$A,A298,$N:$N,N298,$AF:$AF,AF298,$AJ:$AJ,AJ298)&gt;1,
"Exact Duplicate",
"Conflicting Duplicate"))</f>
        <v>Unique</v>
      </c>
      <c r="D298" t="s">
        <v>1521</v>
      </c>
      <c r="E298" t="s">
        <v>1522</v>
      </c>
      <c r="F298" s="2">
        <v>45801</v>
      </c>
      <c r="G298" s="3">
        <v>45803</v>
      </c>
      <c r="H298" s="5" t="str">
        <f t="shared" si="72"/>
        <v>May</v>
      </c>
      <c r="I298" s="5">
        <f t="shared" si="73"/>
        <v>2025</v>
      </c>
      <c r="J298" t="str">
        <f>IF(F298="","Missing Date",
IF(ISNUMBER(F298),"Valid","Invalid Date"))</f>
        <v>Valid</v>
      </c>
      <c r="K298" t="str">
        <f t="shared" si="74"/>
        <v>Valid</v>
      </c>
      <c r="L298">
        <f>G298-F298</f>
        <v>2</v>
      </c>
      <c r="M298" t="s">
        <v>1523</v>
      </c>
      <c r="N298" t="s">
        <v>107</v>
      </c>
      <c r="O298" t="str">
        <f t="shared" si="75"/>
        <v>Aditi Sen</v>
      </c>
      <c r="P298" t="s">
        <v>115</v>
      </c>
      <c r="Q298" t="str">
        <f t="shared" si="76"/>
        <v>Home Office</v>
      </c>
      <c r="R298" t="s">
        <v>27</v>
      </c>
      <c r="S298" t="str">
        <f t="shared" si="77"/>
        <v>North</v>
      </c>
      <c r="T298" t="s">
        <v>323</v>
      </c>
      <c r="U298" t="str">
        <f t="shared" si="78"/>
        <v>Haryana</v>
      </c>
      <c r="V298" t="s">
        <v>324</v>
      </c>
      <c r="W298" t="str">
        <f t="shared" si="79"/>
        <v>Gurugram</v>
      </c>
      <c r="X298" t="s">
        <v>45</v>
      </c>
      <c r="Y298" t="str">
        <f t="shared" si="80"/>
        <v>Furniture</v>
      </c>
      <c r="Z298" t="s">
        <v>65</v>
      </c>
      <c r="AA298" t="str">
        <f t="shared" si="81"/>
        <v>Furnishings</v>
      </c>
      <c r="AB298" t="s">
        <v>1524</v>
      </c>
      <c r="AC298" t="s">
        <v>48</v>
      </c>
      <c r="AD298" t="str">
        <f t="shared" si="82"/>
        <v>Same Day</v>
      </c>
      <c r="AE298">
        <v>6</v>
      </c>
      <c r="AF298">
        <v>3495.41</v>
      </c>
      <c r="AG298">
        <v>0.15</v>
      </c>
      <c r="AH298">
        <v>0.15</v>
      </c>
      <c r="AI298" t="str">
        <f t="shared" si="83"/>
        <v>Valid</v>
      </c>
      <c r="AJ298">
        <v>17826.59</v>
      </c>
      <c r="AK298">
        <f t="shared" si="84"/>
        <v>17826.591</v>
      </c>
      <c r="AL298">
        <v>10855.35</v>
      </c>
      <c r="AM298">
        <v>6971.24</v>
      </c>
      <c r="AN298">
        <f t="shared" si="85"/>
        <v>6971.241</v>
      </c>
      <c r="AO298">
        <f t="shared" si="86"/>
        <v>-10855.35</v>
      </c>
      <c r="AP298" t="s">
        <v>34</v>
      </c>
      <c r="AQ298" t="str">
        <f t="shared" si="87"/>
        <v>Paid</v>
      </c>
      <c r="AR298" t="s">
        <v>35</v>
      </c>
      <c r="AS298" t="str">
        <f t="shared" si="88"/>
        <v>Completed</v>
      </c>
      <c r="AT298" t="str">
        <f t="shared" si="89"/>
        <v>Clean</v>
      </c>
    </row>
    <row r="299" spans="1:46">
      <c r="A299" t="s">
        <v>1525</v>
      </c>
      <c r="B299">
        <f>COUNTIF($D$2:D299,D299)</f>
        <v>2</v>
      </c>
      <c r="C299" t="str">
        <f>IF(COUNTIF($A:$A,A299)=1,
"Unique",
IF(COUNTIFS($A:$A,A299,$N:$N,N299,$AF:$AF,AF299,$AJ:$AJ,AJ299)&gt;1,
"Exact Duplicate",
"Conflicting Duplicate"))</f>
        <v>Unique</v>
      </c>
      <c r="D299" t="s">
        <v>1526</v>
      </c>
      <c r="E299" t="s">
        <v>1527</v>
      </c>
      <c r="F299" s="3">
        <v>45594</v>
      </c>
      <c r="G299" s="3">
        <v>45454</v>
      </c>
      <c r="H299" s="5" t="str">
        <f t="shared" si="72"/>
        <v>October</v>
      </c>
      <c r="I299" s="5">
        <f t="shared" si="73"/>
        <v>2024</v>
      </c>
      <c r="J299" t="str">
        <f>IF(F299="","Missing Date",
IF(ISNUMBER(F299),"Valid","Invalid Date"))</f>
        <v>Valid</v>
      </c>
      <c r="K299" t="str">
        <f t="shared" si="74"/>
        <v>Valid</v>
      </c>
      <c r="L299">
        <f>G299-F299</f>
        <v>-140</v>
      </c>
      <c r="M299" t="s">
        <v>1528</v>
      </c>
      <c r="N299" t="s">
        <v>168</v>
      </c>
      <c r="O299" t="str">
        <f t="shared" si="75"/>
        <v>Sneha Kapoor</v>
      </c>
      <c r="P299" t="s">
        <v>108</v>
      </c>
      <c r="Q299" t="str">
        <f t="shared" si="76"/>
        <v>Corporate</v>
      </c>
      <c r="R299" t="s">
        <v>62</v>
      </c>
      <c r="S299" t="str">
        <f t="shared" si="77"/>
        <v>South</v>
      </c>
      <c r="T299" t="s">
        <v>339</v>
      </c>
      <c r="U299" t="str">
        <f t="shared" si="78"/>
        <v>Tamil Nadu</v>
      </c>
      <c r="V299" t="s">
        <v>340</v>
      </c>
      <c r="W299" t="str">
        <f t="shared" si="79"/>
        <v>Chennai</v>
      </c>
      <c r="X299" t="s">
        <v>86</v>
      </c>
      <c r="Y299" t="str">
        <f t="shared" si="80"/>
        <v>Technology</v>
      </c>
      <c r="Z299" t="s">
        <v>94</v>
      </c>
      <c r="AA299" t="str">
        <f t="shared" si="81"/>
        <v>Copiers</v>
      </c>
      <c r="AB299" t="s">
        <v>1529</v>
      </c>
      <c r="AC299" t="s">
        <v>48</v>
      </c>
      <c r="AD299" t="str">
        <f t="shared" si="82"/>
        <v>Same Day</v>
      </c>
      <c r="AE299">
        <v>6</v>
      </c>
      <c r="AF299">
        <v>1169.92</v>
      </c>
      <c r="AG299">
        <v>0.15</v>
      </c>
      <c r="AH299">
        <v>0.15</v>
      </c>
      <c r="AI299" t="str">
        <f t="shared" si="83"/>
        <v>Valid</v>
      </c>
      <c r="AJ299">
        <v>5966.59</v>
      </c>
      <c r="AK299">
        <f t="shared" si="84"/>
        <v>5966.5920000000006</v>
      </c>
      <c r="AL299">
        <v>3994.72</v>
      </c>
      <c r="AM299">
        <v>1971.87</v>
      </c>
      <c r="AN299">
        <f t="shared" si="85"/>
        <v>1971.8720000000008</v>
      </c>
      <c r="AO299">
        <f t="shared" si="86"/>
        <v>-3994.72</v>
      </c>
      <c r="AP299" t="s">
        <v>34</v>
      </c>
      <c r="AQ299" t="str">
        <f t="shared" si="87"/>
        <v>Paid</v>
      </c>
      <c r="AR299" t="s">
        <v>35</v>
      </c>
      <c r="AS299" t="str">
        <f t="shared" si="88"/>
        <v>Completed</v>
      </c>
      <c r="AT299" t="str">
        <f t="shared" si="89"/>
        <v>Clean</v>
      </c>
    </row>
    <row r="300" spans="1:46">
      <c r="A300" t="s">
        <v>1530</v>
      </c>
      <c r="B300">
        <f>COUNTIF($D$2:D300,D300)</f>
        <v>2</v>
      </c>
      <c r="C300" t="str">
        <f>IF(COUNTIF($A:$A,A300)=1,
"Unique",
IF(COUNTIFS($A:$A,A300,$N:$N,N300,$AF:$AF,AF300,$AJ:$AJ,AJ300)&gt;1,
"Exact Duplicate",
"Conflicting Duplicate"))</f>
        <v>Unique</v>
      </c>
      <c r="D300" t="s">
        <v>1531</v>
      </c>
      <c r="E300" t="s">
        <v>1532</v>
      </c>
      <c r="F300" s="3">
        <v>45680</v>
      </c>
      <c r="G300" s="3">
        <v>45683</v>
      </c>
      <c r="H300" s="5" t="str">
        <f t="shared" si="72"/>
        <v>January</v>
      </c>
      <c r="I300" s="5">
        <f t="shared" si="73"/>
        <v>2025</v>
      </c>
      <c r="J300" t="str">
        <f>IF(F300="","Missing Date",
IF(ISNUMBER(F300),"Valid","Invalid Date"))</f>
        <v>Valid</v>
      </c>
      <c r="K300" t="str">
        <f t="shared" si="74"/>
        <v>Valid</v>
      </c>
      <c r="L300">
        <f>G300-F300</f>
        <v>3</v>
      </c>
      <c r="M300" t="s">
        <v>1533</v>
      </c>
      <c r="N300" t="s">
        <v>53</v>
      </c>
      <c r="O300" t="str">
        <f t="shared" si="75"/>
        <v>Isha Nair</v>
      </c>
      <c r="P300" t="s">
        <v>26</v>
      </c>
      <c r="Q300" t="str">
        <f t="shared" si="76"/>
        <v>Consumer</v>
      </c>
      <c r="R300" t="s">
        <v>62</v>
      </c>
      <c r="S300" t="str">
        <f t="shared" si="77"/>
        <v>South</v>
      </c>
      <c r="T300" t="s">
        <v>242</v>
      </c>
      <c r="U300" t="str">
        <f t="shared" si="78"/>
        <v>Kerala</v>
      </c>
      <c r="V300" t="s">
        <v>243</v>
      </c>
      <c r="W300" t="str">
        <f t="shared" si="79"/>
        <v>Kochi</v>
      </c>
      <c r="X300" t="s">
        <v>86</v>
      </c>
      <c r="Y300" t="str">
        <f t="shared" si="80"/>
        <v>Technology</v>
      </c>
      <c r="Z300" t="s">
        <v>94</v>
      </c>
      <c r="AA300" t="str">
        <f t="shared" si="81"/>
        <v>Copiers</v>
      </c>
      <c r="AB300" t="s">
        <v>1534</v>
      </c>
      <c r="AC300" t="s">
        <v>56</v>
      </c>
      <c r="AD300" t="str">
        <f t="shared" si="82"/>
        <v>First Class</v>
      </c>
      <c r="AE300">
        <v>7</v>
      </c>
      <c r="AF300">
        <v>348.49</v>
      </c>
      <c r="AG300">
        <v>0.2</v>
      </c>
      <c r="AH300">
        <v>0.2</v>
      </c>
      <c r="AI300" t="str">
        <f t="shared" si="83"/>
        <v>Valid</v>
      </c>
      <c r="AJ300">
        <v>1951.54</v>
      </c>
      <c r="AK300">
        <f t="shared" si="84"/>
        <v>1951.5440000000003</v>
      </c>
      <c r="AL300">
        <v>1609.95</v>
      </c>
      <c r="AM300">
        <v>341.59</v>
      </c>
      <c r="AN300">
        <f t="shared" si="85"/>
        <v>341.59400000000028</v>
      </c>
      <c r="AO300">
        <f t="shared" si="86"/>
        <v>-1609.95</v>
      </c>
      <c r="AP300" t="s">
        <v>200</v>
      </c>
      <c r="AQ300" t="str">
        <f t="shared" si="87"/>
        <v>Failed</v>
      </c>
      <c r="AR300" t="s">
        <v>125</v>
      </c>
      <c r="AS300" t="str">
        <f t="shared" si="88"/>
        <v>Returned</v>
      </c>
      <c r="AT300" t="str">
        <f t="shared" si="89"/>
        <v>Clean</v>
      </c>
    </row>
    <row r="301" spans="1:46">
      <c r="A301" t="s">
        <v>1535</v>
      </c>
      <c r="B301">
        <f>COUNTIF($D$2:D301,D301)</f>
        <v>1</v>
      </c>
      <c r="C301" t="str">
        <f>IF(COUNTIF($A:$A,A301)=1,
"Unique",
IF(COUNTIFS($A:$A,A301,$N:$N,N301,$AF:$AF,AF301,$AJ:$AJ,AJ301)&gt;1,
"Exact Duplicate",
"Conflicting Duplicate"))</f>
        <v>Unique</v>
      </c>
      <c r="D301" t="s">
        <v>1527</v>
      </c>
      <c r="E301" t="s">
        <v>1536</v>
      </c>
      <c r="F301" s="3">
        <v>45454</v>
      </c>
      <c r="G301" s="3">
        <v>45637</v>
      </c>
      <c r="H301" s="5" t="str">
        <f t="shared" si="72"/>
        <v>June</v>
      </c>
      <c r="I301" s="5">
        <f t="shared" si="73"/>
        <v>2024</v>
      </c>
      <c r="J301" t="str">
        <f>IF(F301="","Missing Date",
IF(ISNUMBER(F301),"Valid","Invalid Date"))</f>
        <v>Valid</v>
      </c>
      <c r="K301" t="str">
        <f t="shared" si="74"/>
        <v>Valid</v>
      </c>
      <c r="L301">
        <f>G301-F301</f>
        <v>183</v>
      </c>
      <c r="M301" t="s">
        <v>1537</v>
      </c>
      <c r="N301" t="s">
        <v>148</v>
      </c>
      <c r="O301" t="str">
        <f t="shared" si="75"/>
        <v>Rahul Verma</v>
      </c>
      <c r="P301" t="s">
        <v>41</v>
      </c>
      <c r="Q301" t="str">
        <f t="shared" si="76"/>
        <v>Small Business</v>
      </c>
      <c r="R301" t="s">
        <v>73</v>
      </c>
      <c r="S301" t="str">
        <f t="shared" si="77"/>
        <v>West</v>
      </c>
      <c r="T301" t="s">
        <v>235</v>
      </c>
      <c r="U301" t="str">
        <f t="shared" si="78"/>
        <v>Gujarat</v>
      </c>
      <c r="V301" t="s">
        <v>236</v>
      </c>
      <c r="W301" t="str">
        <f t="shared" si="79"/>
        <v>Ahmedabad</v>
      </c>
      <c r="X301" t="s">
        <v>86</v>
      </c>
      <c r="Y301" t="str">
        <f t="shared" si="80"/>
        <v>Technology</v>
      </c>
      <c r="Z301" t="s">
        <v>87</v>
      </c>
      <c r="AA301" t="str">
        <f t="shared" si="81"/>
        <v>Accessories</v>
      </c>
      <c r="AB301" t="s">
        <v>1538</v>
      </c>
      <c r="AC301" t="s">
        <v>67</v>
      </c>
      <c r="AD301" t="str">
        <f t="shared" si="82"/>
        <v>Standard Class</v>
      </c>
      <c r="AE301">
        <v>7</v>
      </c>
      <c r="AF301">
        <v>1719.05</v>
      </c>
      <c r="AG301">
        <v>0.1</v>
      </c>
      <c r="AH301">
        <v>0.1</v>
      </c>
      <c r="AI301" t="str">
        <f t="shared" si="83"/>
        <v>Valid</v>
      </c>
      <c r="AJ301">
        <v>10830.02</v>
      </c>
      <c r="AK301">
        <f t="shared" si="84"/>
        <v>10830.015000000001</v>
      </c>
      <c r="AL301">
        <v>7055.31</v>
      </c>
      <c r="AM301">
        <v>3774.71</v>
      </c>
      <c r="AN301">
        <f t="shared" si="85"/>
        <v>3774.7050000000008</v>
      </c>
      <c r="AO301">
        <f t="shared" si="86"/>
        <v>-7055.31</v>
      </c>
      <c r="AP301" t="s">
        <v>34</v>
      </c>
      <c r="AQ301" t="str">
        <f t="shared" si="87"/>
        <v>Paid</v>
      </c>
      <c r="AR301" t="s">
        <v>35</v>
      </c>
      <c r="AS301" t="str">
        <f t="shared" si="88"/>
        <v>Completed</v>
      </c>
      <c r="AT301" t="str">
        <f t="shared" si="89"/>
        <v>Clean</v>
      </c>
    </row>
    <row r="302" spans="1:46">
      <c r="A302" t="s">
        <v>1539</v>
      </c>
      <c r="B302">
        <f>COUNTIF($D$2:D302,D302)</f>
        <v>1</v>
      </c>
      <c r="C302" t="str">
        <f>IF(COUNTIF($A:$A,A302)=1,
"Unique",
IF(COUNTIFS($A:$A,A302,$N:$N,N302,$AF:$AF,AF302,$AJ:$AJ,AJ302)&gt;1,
"Exact Duplicate",
"Conflicting Duplicate"))</f>
        <v>Unique</v>
      </c>
      <c r="D302" t="s">
        <v>1540</v>
      </c>
      <c r="E302" t="s">
        <v>1541</v>
      </c>
      <c r="F302" s="3">
        <v>45397</v>
      </c>
      <c r="G302" s="3">
        <v>45405</v>
      </c>
      <c r="H302" s="5" t="str">
        <f t="shared" si="72"/>
        <v>April</v>
      </c>
      <c r="I302" s="5">
        <f t="shared" si="73"/>
        <v>2024</v>
      </c>
      <c r="J302" t="str">
        <f>IF(F302="","Missing Date",
IF(ISNUMBER(F302),"Valid","Invalid Date"))</f>
        <v>Valid</v>
      </c>
      <c r="K302" t="str">
        <f t="shared" si="74"/>
        <v>Valid</v>
      </c>
      <c r="L302">
        <f>G302-F302</f>
        <v>8</v>
      </c>
      <c r="M302" t="s">
        <v>1542</v>
      </c>
      <c r="N302" t="s">
        <v>210</v>
      </c>
      <c r="O302" t="str">
        <f t="shared" si="75"/>
        <v>Diya Patel</v>
      </c>
      <c r="P302" t="s">
        <v>41</v>
      </c>
      <c r="Q302" t="str">
        <f t="shared" si="76"/>
        <v>Small Business</v>
      </c>
      <c r="R302" t="s">
        <v>27</v>
      </c>
      <c r="S302" t="str">
        <f t="shared" si="77"/>
        <v>North</v>
      </c>
      <c r="T302" t="s">
        <v>154</v>
      </c>
      <c r="U302" t="str">
        <f t="shared" si="78"/>
        <v>Punjab</v>
      </c>
      <c r="V302" t="s">
        <v>155</v>
      </c>
      <c r="W302" t="str">
        <f t="shared" si="79"/>
        <v>Ludhiana</v>
      </c>
      <c r="X302" t="s">
        <v>86</v>
      </c>
      <c r="Y302" t="str">
        <f t="shared" si="80"/>
        <v>Technology</v>
      </c>
      <c r="Z302" t="s">
        <v>87</v>
      </c>
      <c r="AA302" t="str">
        <f t="shared" si="81"/>
        <v>Accessories</v>
      </c>
      <c r="AB302" t="s">
        <v>1543</v>
      </c>
      <c r="AC302" t="s">
        <v>33</v>
      </c>
      <c r="AD302" t="str">
        <f t="shared" si="82"/>
        <v>Second Class</v>
      </c>
      <c r="AE302">
        <v>9</v>
      </c>
      <c r="AF302">
        <v>3893.74</v>
      </c>
      <c r="AG302">
        <v>0.1</v>
      </c>
      <c r="AH302">
        <v>0.1</v>
      </c>
      <c r="AI302" t="str">
        <f t="shared" si="83"/>
        <v>Valid</v>
      </c>
      <c r="AJ302">
        <v>31539.29</v>
      </c>
      <c r="AK302">
        <f t="shared" si="84"/>
        <v>31539.293999999998</v>
      </c>
      <c r="AL302">
        <v>22100.14</v>
      </c>
      <c r="AM302">
        <v>9439.15</v>
      </c>
      <c r="AN302">
        <f t="shared" si="85"/>
        <v>9439.1539999999986</v>
      </c>
      <c r="AO302">
        <f t="shared" si="86"/>
        <v>-22100.14</v>
      </c>
      <c r="AP302" t="s">
        <v>34</v>
      </c>
      <c r="AQ302" t="str">
        <f t="shared" si="87"/>
        <v>Paid</v>
      </c>
      <c r="AR302" t="s">
        <v>35</v>
      </c>
      <c r="AS302" t="str">
        <f t="shared" si="88"/>
        <v>Completed</v>
      </c>
      <c r="AT302" t="str">
        <f t="shared" si="89"/>
        <v>Clean</v>
      </c>
    </row>
    <row r="303" spans="1:46">
      <c r="A303" t="s">
        <v>1544</v>
      </c>
      <c r="B303">
        <f>COUNTIF($D$2:D303,D303)</f>
        <v>2</v>
      </c>
      <c r="C303" t="str">
        <f>IF(COUNTIF($A:$A,A303)=1,
"Unique",
IF(COUNTIFS($A:$A,A303,$N:$N,N303,$AF:$AF,AF303,$AJ:$AJ,AJ303)&gt;1,
"Exact Duplicate",
"Conflicting Duplicate"))</f>
        <v>Unique</v>
      </c>
      <c r="D303" t="s">
        <v>1018</v>
      </c>
      <c r="E303" t="s">
        <v>1545</v>
      </c>
      <c r="F303" s="2">
        <v>45805</v>
      </c>
      <c r="G303" s="3">
        <v>45663</v>
      </c>
      <c r="H303" s="5" t="str">
        <f t="shared" si="72"/>
        <v>May</v>
      </c>
      <c r="I303" s="5">
        <f t="shared" si="73"/>
        <v>2025</v>
      </c>
      <c r="J303" t="str">
        <f>IF(F303="","Missing Date",
IF(ISNUMBER(F303),"Valid","Invalid Date"))</f>
        <v>Valid</v>
      </c>
      <c r="K303" t="str">
        <f t="shared" si="74"/>
        <v>Valid</v>
      </c>
      <c r="L303">
        <f>G303-F303</f>
        <v>-142</v>
      </c>
      <c r="M303" t="s">
        <v>1546</v>
      </c>
      <c r="N303" t="s">
        <v>53</v>
      </c>
      <c r="O303" t="str">
        <f t="shared" si="75"/>
        <v>Isha Nair</v>
      </c>
      <c r="P303" t="s">
        <v>115</v>
      </c>
      <c r="Q303" t="str">
        <f t="shared" si="76"/>
        <v>Home Office</v>
      </c>
      <c r="R303" t="s">
        <v>42</v>
      </c>
      <c r="S303" t="str">
        <f t="shared" si="77"/>
        <v>East</v>
      </c>
      <c r="T303" t="s">
        <v>186</v>
      </c>
      <c r="U303" t="str">
        <f t="shared" si="78"/>
        <v>Bihar</v>
      </c>
      <c r="V303" t="s">
        <v>187</v>
      </c>
      <c r="W303" t="str">
        <f t="shared" si="79"/>
        <v>Patna</v>
      </c>
      <c r="X303" t="s">
        <v>86</v>
      </c>
      <c r="Y303" t="str">
        <f t="shared" si="80"/>
        <v>Technology</v>
      </c>
      <c r="Z303" t="s">
        <v>223</v>
      </c>
      <c r="AA303" t="str">
        <f t="shared" si="81"/>
        <v>Phones</v>
      </c>
      <c r="AB303" t="s">
        <v>1547</v>
      </c>
      <c r="AC303" t="s">
        <v>48</v>
      </c>
      <c r="AD303" t="str">
        <f t="shared" si="82"/>
        <v>Same Day</v>
      </c>
      <c r="AE303">
        <v>4</v>
      </c>
      <c r="AF303">
        <v>1654.11</v>
      </c>
      <c r="AG303">
        <v>0.05</v>
      </c>
      <c r="AH303">
        <v>0.05</v>
      </c>
      <c r="AI303" t="str">
        <f t="shared" si="83"/>
        <v>Valid</v>
      </c>
      <c r="AJ303">
        <v>6285.62</v>
      </c>
      <c r="AK303">
        <f t="shared" si="84"/>
        <v>6285.6179999999995</v>
      </c>
      <c r="AL303">
        <v>3705.38</v>
      </c>
      <c r="AM303">
        <v>2580.2399999999998</v>
      </c>
      <c r="AN303">
        <f t="shared" si="85"/>
        <v>2580.2379999999994</v>
      </c>
      <c r="AO303">
        <f t="shared" si="86"/>
        <v>-3705.38</v>
      </c>
      <c r="AP303" t="s">
        <v>34</v>
      </c>
      <c r="AQ303" t="str">
        <f t="shared" si="87"/>
        <v>Paid</v>
      </c>
      <c r="AR303" t="s">
        <v>35</v>
      </c>
      <c r="AS303" t="str">
        <f t="shared" si="88"/>
        <v>Completed</v>
      </c>
      <c r="AT303" t="str">
        <f t="shared" si="89"/>
        <v>Clean</v>
      </c>
    </row>
    <row r="304" spans="1:46">
      <c r="A304" t="s">
        <v>1548</v>
      </c>
      <c r="B304">
        <f>COUNTIF($D$2:D304,D304)</f>
        <v>3</v>
      </c>
      <c r="C304" t="str">
        <f>IF(COUNTIF($A:$A,A304)=1,
"Unique",
IF(COUNTIFS($A:$A,A304,$N:$N,N304,$AF:$AF,AF304,$AJ:$AJ,AJ304)&gt;1,
"Exact Duplicate",
"Conflicting Duplicate"))</f>
        <v>Unique</v>
      </c>
      <c r="D304" t="s">
        <v>1389</v>
      </c>
      <c r="E304" t="s">
        <v>1549</v>
      </c>
      <c r="F304" s="3">
        <v>45753</v>
      </c>
      <c r="G304" s="3">
        <v>45997</v>
      </c>
      <c r="H304" s="5" t="str">
        <f t="shared" si="72"/>
        <v>April</v>
      </c>
      <c r="I304" s="5">
        <f t="shared" si="73"/>
        <v>2025</v>
      </c>
      <c r="J304" t="str">
        <f>IF(F304="","Missing Date",
IF(ISNUMBER(F304),"Valid","Invalid Date"))</f>
        <v>Valid</v>
      </c>
      <c r="K304" t="str">
        <f t="shared" si="74"/>
        <v>Valid</v>
      </c>
      <c r="L304">
        <f>G304-F304</f>
        <v>244</v>
      </c>
      <c r="M304" t="s">
        <v>1550</v>
      </c>
      <c r="N304" t="s">
        <v>93</v>
      </c>
      <c r="O304" t="str">
        <f t="shared" si="75"/>
        <v>Neha Gupta</v>
      </c>
      <c r="P304" t="s">
        <v>26</v>
      </c>
      <c r="Q304" t="str">
        <f t="shared" si="76"/>
        <v>Consumer</v>
      </c>
      <c r="R304" t="s">
        <v>73</v>
      </c>
      <c r="S304" t="str">
        <f t="shared" si="77"/>
        <v>West</v>
      </c>
      <c r="T304" t="s">
        <v>249</v>
      </c>
      <c r="U304" t="str">
        <f t="shared" si="78"/>
        <v>Goa</v>
      </c>
      <c r="V304" t="s">
        <v>250</v>
      </c>
      <c r="W304" t="str">
        <f t="shared" si="79"/>
        <v>Panaji</v>
      </c>
      <c r="X304" t="s">
        <v>918</v>
      </c>
      <c r="Y304" t="str">
        <f t="shared" si="80"/>
        <v>Office Supplies</v>
      </c>
      <c r="Z304" t="s">
        <v>156</v>
      </c>
      <c r="AA304" t="str">
        <f t="shared" si="81"/>
        <v>Storage</v>
      </c>
      <c r="AB304" t="s">
        <v>1551</v>
      </c>
      <c r="AC304" t="s">
        <v>48</v>
      </c>
      <c r="AD304" t="str">
        <f t="shared" si="82"/>
        <v>Same Day</v>
      </c>
      <c r="AE304">
        <v>2</v>
      </c>
      <c r="AF304">
        <v>2703.28</v>
      </c>
      <c r="AG304">
        <v>0.25</v>
      </c>
      <c r="AH304">
        <v>0.25</v>
      </c>
      <c r="AI304" t="str">
        <f t="shared" si="83"/>
        <v>Valid</v>
      </c>
      <c r="AJ304">
        <v>4054.92</v>
      </c>
      <c r="AK304">
        <f t="shared" si="84"/>
        <v>4054.92</v>
      </c>
      <c r="AL304">
        <v>2424.83</v>
      </c>
      <c r="AM304">
        <v>1630.09</v>
      </c>
      <c r="AN304">
        <f t="shared" si="85"/>
        <v>1630.0900000000001</v>
      </c>
      <c r="AO304">
        <f t="shared" si="86"/>
        <v>-2424.83</v>
      </c>
      <c r="AP304" t="s">
        <v>34</v>
      </c>
      <c r="AQ304" t="str">
        <f t="shared" si="87"/>
        <v>Paid</v>
      </c>
      <c r="AR304" t="s">
        <v>35</v>
      </c>
      <c r="AS304" t="str">
        <f t="shared" si="88"/>
        <v>Completed</v>
      </c>
      <c r="AT304" t="str">
        <f t="shared" si="89"/>
        <v>Clean</v>
      </c>
    </row>
    <row r="305" spans="1:46">
      <c r="A305" t="s">
        <v>1552</v>
      </c>
      <c r="B305">
        <f>COUNTIF($D$2:D305,D305)</f>
        <v>2</v>
      </c>
      <c r="C305" t="str">
        <f>IF(COUNTIF($A:$A,A305)=1,
"Unique",
IF(COUNTIFS($A:$A,A305,$N:$N,N305,$AF:$AF,AF305,$AJ:$AJ,AJ305)&gt;1,
"Exact Duplicate",
"Conflicting Duplicate"))</f>
        <v>Unique</v>
      </c>
      <c r="D305" t="s">
        <v>1553</v>
      </c>
      <c r="E305" t="s">
        <v>1043</v>
      </c>
      <c r="F305" s="2">
        <v>45466</v>
      </c>
      <c r="G305" s="3">
        <v>45471</v>
      </c>
      <c r="H305" s="5" t="str">
        <f t="shared" si="72"/>
        <v>June</v>
      </c>
      <c r="I305" s="5">
        <f t="shared" si="73"/>
        <v>2024</v>
      </c>
      <c r="J305" t="str">
        <f>IF(F305="","Missing Date",
IF(ISNUMBER(F305),"Valid","Invalid Date"))</f>
        <v>Valid</v>
      </c>
      <c r="K305" t="str">
        <f t="shared" si="74"/>
        <v>Valid</v>
      </c>
      <c r="L305">
        <f>G305-F305</f>
        <v>5</v>
      </c>
      <c r="M305" t="s">
        <v>1554</v>
      </c>
      <c r="N305" t="s">
        <v>210</v>
      </c>
      <c r="O305" t="str">
        <f t="shared" si="75"/>
        <v>Diya Patel</v>
      </c>
      <c r="P305" t="s">
        <v>115</v>
      </c>
      <c r="Q305" t="str">
        <f t="shared" si="76"/>
        <v>Home Office</v>
      </c>
      <c r="R305" t="s">
        <v>73</v>
      </c>
      <c r="S305" t="str">
        <f t="shared" si="77"/>
        <v>West</v>
      </c>
      <c r="T305" t="s">
        <v>235</v>
      </c>
      <c r="U305" t="str">
        <f t="shared" si="78"/>
        <v>Gujarat</v>
      </c>
      <c r="V305" t="s">
        <v>236</v>
      </c>
      <c r="W305" t="str">
        <f t="shared" si="79"/>
        <v>Ahmedabad</v>
      </c>
      <c r="X305" t="s">
        <v>45</v>
      </c>
      <c r="Y305" t="str">
        <f t="shared" si="80"/>
        <v>Furniture</v>
      </c>
      <c r="Z305" t="s">
        <v>76</v>
      </c>
      <c r="AA305" t="str">
        <f t="shared" si="81"/>
        <v>Chairs</v>
      </c>
      <c r="AB305" t="s">
        <v>1555</v>
      </c>
      <c r="AC305" t="s">
        <v>67</v>
      </c>
      <c r="AD305" t="str">
        <f t="shared" si="82"/>
        <v>Standard Class</v>
      </c>
      <c r="AE305">
        <v>2</v>
      </c>
      <c r="AF305">
        <v>1313.14</v>
      </c>
      <c r="AG305">
        <v>0.1</v>
      </c>
      <c r="AH305">
        <v>0.1</v>
      </c>
      <c r="AI305" t="str">
        <f t="shared" si="83"/>
        <v>Valid</v>
      </c>
      <c r="AJ305">
        <v>2363.65</v>
      </c>
      <c r="AK305">
        <f t="shared" si="84"/>
        <v>2363.652</v>
      </c>
      <c r="AL305">
        <v>1876.1</v>
      </c>
      <c r="AM305">
        <v>487.55</v>
      </c>
      <c r="AN305">
        <f t="shared" si="85"/>
        <v>487.55200000000013</v>
      </c>
      <c r="AO305">
        <f t="shared" si="86"/>
        <v>-1876.1</v>
      </c>
      <c r="AP305" t="s">
        <v>137</v>
      </c>
      <c r="AQ305" t="str">
        <f t="shared" si="87"/>
        <v>Pending</v>
      </c>
      <c r="AR305" t="s">
        <v>125</v>
      </c>
      <c r="AS305" t="str">
        <f t="shared" si="88"/>
        <v>Returned</v>
      </c>
      <c r="AT305" t="str">
        <f t="shared" si="89"/>
        <v>Clean</v>
      </c>
    </row>
    <row r="306" spans="1:46">
      <c r="A306" t="s">
        <v>1556</v>
      </c>
      <c r="B306">
        <f>COUNTIF($D$2:D306,D306)</f>
        <v>1</v>
      </c>
      <c r="C306" t="str">
        <f>IF(COUNTIF($A:$A,A306)=1,
"Unique",
IF(COUNTIFS($A:$A,A306,$N:$N,N306,$AF:$AF,AF306,$AJ:$AJ,AJ306)&gt;1,
"Exact Duplicate",
"Conflicting Duplicate"))</f>
        <v>Unique</v>
      </c>
      <c r="D306" t="s">
        <v>1557</v>
      </c>
      <c r="E306" t="s">
        <v>1558</v>
      </c>
      <c r="F306" s="3">
        <v>45357</v>
      </c>
      <c r="G306" s="3">
        <v>45364</v>
      </c>
      <c r="H306" s="5" t="str">
        <f t="shared" si="72"/>
        <v>March</v>
      </c>
      <c r="I306" s="5">
        <f t="shared" si="73"/>
        <v>2024</v>
      </c>
      <c r="J306" t="str">
        <f>IF(F306="","Missing Date",
IF(ISNUMBER(F306),"Valid","Invalid Date"))</f>
        <v>Valid</v>
      </c>
      <c r="K306" t="str">
        <f t="shared" si="74"/>
        <v>Valid</v>
      </c>
      <c r="L306">
        <f>G306-F306</f>
        <v>7</v>
      </c>
      <c r="M306" t="s">
        <v>1559</v>
      </c>
      <c r="N306" t="s">
        <v>25</v>
      </c>
      <c r="O306" t="str">
        <f t="shared" si="75"/>
        <v>Karan Malhotra</v>
      </c>
      <c r="P306" t="s">
        <v>26</v>
      </c>
      <c r="Q306" t="str">
        <f t="shared" si="76"/>
        <v>Consumer</v>
      </c>
      <c r="R306" t="s">
        <v>27</v>
      </c>
      <c r="S306" t="str">
        <f t="shared" si="77"/>
        <v>North</v>
      </c>
      <c r="T306" t="s">
        <v>154</v>
      </c>
      <c r="U306" t="str">
        <f t="shared" si="78"/>
        <v>Punjab</v>
      </c>
      <c r="V306" t="s">
        <v>155</v>
      </c>
      <c r="W306" t="str">
        <f t="shared" si="79"/>
        <v>Ludhiana</v>
      </c>
      <c r="X306" t="s">
        <v>45</v>
      </c>
      <c r="Y306" t="str">
        <f t="shared" si="80"/>
        <v>Furniture</v>
      </c>
      <c r="Z306" t="s">
        <v>65</v>
      </c>
      <c r="AA306" t="str">
        <f t="shared" si="81"/>
        <v>Furnishings</v>
      </c>
      <c r="AB306" t="s">
        <v>1560</v>
      </c>
      <c r="AC306" t="s">
        <v>67</v>
      </c>
      <c r="AD306" t="str">
        <f t="shared" si="82"/>
        <v>Standard Class</v>
      </c>
      <c r="AE306">
        <v>6</v>
      </c>
      <c r="AF306">
        <v>2403.0500000000002</v>
      </c>
      <c r="AG306">
        <v>0.1</v>
      </c>
      <c r="AH306">
        <v>0.1</v>
      </c>
      <c r="AI306" t="str">
        <f t="shared" si="83"/>
        <v>Valid</v>
      </c>
      <c r="AJ306">
        <v>12976.47</v>
      </c>
      <c r="AK306">
        <f t="shared" si="84"/>
        <v>12976.470000000001</v>
      </c>
      <c r="AL306">
        <v>10019.98</v>
      </c>
      <c r="AM306">
        <v>2956.49</v>
      </c>
      <c r="AN306">
        <f t="shared" si="85"/>
        <v>2956.4900000000016</v>
      </c>
      <c r="AO306">
        <f t="shared" si="86"/>
        <v>-10019.98</v>
      </c>
      <c r="AP306" t="s">
        <v>34</v>
      </c>
      <c r="AQ306" t="str">
        <f t="shared" si="87"/>
        <v>Paid</v>
      </c>
      <c r="AR306" t="s">
        <v>35</v>
      </c>
      <c r="AS306" t="str">
        <f t="shared" si="88"/>
        <v>Completed</v>
      </c>
      <c r="AT306" t="str">
        <f t="shared" si="89"/>
        <v>Clean</v>
      </c>
    </row>
    <row r="307" spans="1:46">
      <c r="A307" t="s">
        <v>1561</v>
      </c>
      <c r="B307">
        <f>COUNTIF($D$2:D307,D307)</f>
        <v>1</v>
      </c>
      <c r="C307" t="str">
        <f>IF(COUNTIF($A:$A,A307)=1,
"Unique",
IF(COUNTIFS($A:$A,A307,$N:$N,N307,$AF:$AF,AF307,$AJ:$AJ,AJ307)&gt;1,
"Exact Duplicate",
"Conflicting Duplicate"))</f>
        <v>Unique</v>
      </c>
      <c r="D307" t="s">
        <v>1562</v>
      </c>
      <c r="E307" t="s">
        <v>1225</v>
      </c>
      <c r="F307" s="2">
        <v>45296</v>
      </c>
      <c r="G307" s="3">
        <v>45414</v>
      </c>
      <c r="H307" s="5" t="str">
        <f t="shared" si="72"/>
        <v>January</v>
      </c>
      <c r="I307" s="5">
        <f t="shared" si="73"/>
        <v>2024</v>
      </c>
      <c r="J307" t="str">
        <f>IF(F307="","Missing Date",
IF(ISNUMBER(F307),"Valid","Invalid Date"))</f>
        <v>Valid</v>
      </c>
      <c r="K307" t="str">
        <f t="shared" si="74"/>
        <v>Valid</v>
      </c>
      <c r="L307">
        <f>G307-F307</f>
        <v>118</v>
      </c>
      <c r="M307" t="s">
        <v>1563</v>
      </c>
      <c r="N307" t="s">
        <v>72</v>
      </c>
      <c r="O307" t="str">
        <f t="shared" si="75"/>
        <v>Ananya Rao</v>
      </c>
      <c r="P307" t="s">
        <v>26</v>
      </c>
      <c r="Q307" t="str">
        <f t="shared" si="76"/>
        <v>Consumer</v>
      </c>
      <c r="R307" t="s">
        <v>42</v>
      </c>
      <c r="S307" t="str">
        <f t="shared" si="77"/>
        <v>East</v>
      </c>
      <c r="T307" t="s">
        <v>216</v>
      </c>
      <c r="U307" t="str">
        <f t="shared" si="78"/>
        <v>Assam</v>
      </c>
      <c r="V307" t="s">
        <v>217</v>
      </c>
      <c r="W307" t="str">
        <f t="shared" si="79"/>
        <v>Guwahati</v>
      </c>
      <c r="X307" t="s">
        <v>45</v>
      </c>
      <c r="Y307" t="str">
        <f t="shared" si="80"/>
        <v>Furniture</v>
      </c>
      <c r="Z307" t="s">
        <v>76</v>
      </c>
      <c r="AA307" t="str">
        <f t="shared" si="81"/>
        <v>Chairs</v>
      </c>
      <c r="AB307" t="s">
        <v>1564</v>
      </c>
      <c r="AC307" t="s">
        <v>56</v>
      </c>
      <c r="AD307" t="str">
        <f t="shared" si="82"/>
        <v>First Class</v>
      </c>
      <c r="AE307">
        <v>4</v>
      </c>
      <c r="AF307">
        <v>4156.0600000000004</v>
      </c>
      <c r="AG307">
        <v>0.55000000000000004</v>
      </c>
      <c r="AH307">
        <v>0.55000000000000004</v>
      </c>
      <c r="AI307" t="str">
        <f t="shared" si="83"/>
        <v>Valid</v>
      </c>
      <c r="AJ307">
        <v>13299.39</v>
      </c>
      <c r="AK307">
        <f t="shared" si="84"/>
        <v>7480.9080000000004</v>
      </c>
      <c r="AL307">
        <v>9851.91</v>
      </c>
      <c r="AM307">
        <v>3447.48</v>
      </c>
      <c r="AN307">
        <f t="shared" si="85"/>
        <v>-2371.0019999999995</v>
      </c>
      <c r="AO307">
        <f t="shared" si="86"/>
        <v>-9851.91</v>
      </c>
      <c r="AP307" t="s">
        <v>34</v>
      </c>
      <c r="AQ307" t="str">
        <f t="shared" si="87"/>
        <v>Paid</v>
      </c>
      <c r="AR307" t="s">
        <v>78</v>
      </c>
      <c r="AS307" t="str">
        <f t="shared" si="88"/>
        <v>Cancelled</v>
      </c>
      <c r="AT307" t="str">
        <f t="shared" si="89"/>
        <v>Clean</v>
      </c>
    </row>
    <row r="308" spans="1:46">
      <c r="A308" t="s">
        <v>1565</v>
      </c>
      <c r="B308">
        <f>COUNTIF($D$2:D308,D308)</f>
        <v>2</v>
      </c>
      <c r="C308" t="str">
        <f>IF(COUNTIF($A:$A,A308)=1,
"Unique",
IF(COUNTIFS($A:$A,A308,$N:$N,N308,$AF:$AF,AF308,$AJ:$AJ,AJ308)&gt;1,
"Exact Duplicate",
"Conflicting Duplicate"))</f>
        <v>Unique</v>
      </c>
      <c r="D308" t="s">
        <v>1566</v>
      </c>
      <c r="E308" t="s">
        <v>97</v>
      </c>
      <c r="F308" s="2">
        <v>45708</v>
      </c>
      <c r="G308" s="3">
        <v>45711</v>
      </c>
      <c r="H308" s="5" t="str">
        <f t="shared" si="72"/>
        <v>February</v>
      </c>
      <c r="I308" s="5">
        <f t="shared" si="73"/>
        <v>2025</v>
      </c>
      <c r="J308" t="str">
        <f>IF(F308="","Missing Date",
IF(ISNUMBER(F308),"Valid","Invalid Date"))</f>
        <v>Valid</v>
      </c>
      <c r="K308" t="str">
        <f t="shared" si="74"/>
        <v>Valid</v>
      </c>
      <c r="L308">
        <f>G308-F308</f>
        <v>3</v>
      </c>
      <c r="M308" t="s">
        <v>1567</v>
      </c>
      <c r="N308" t="s">
        <v>162</v>
      </c>
      <c r="O308" t="str">
        <f t="shared" si="75"/>
        <v>Aarav Sharma</v>
      </c>
      <c r="P308" t="s">
        <v>26</v>
      </c>
      <c r="Q308" t="str">
        <f t="shared" si="76"/>
        <v>Consumer</v>
      </c>
      <c r="R308" t="s">
        <v>27</v>
      </c>
      <c r="S308" t="str">
        <f t="shared" si="77"/>
        <v>North</v>
      </c>
      <c r="T308" t="s">
        <v>28</v>
      </c>
      <c r="U308" t="str">
        <f t="shared" si="78"/>
        <v>Rajasthan</v>
      </c>
      <c r="V308" t="s">
        <v>29</v>
      </c>
      <c r="W308" t="str">
        <f t="shared" si="79"/>
        <v>Jaipur</v>
      </c>
      <c r="X308" t="s">
        <v>86</v>
      </c>
      <c r="Y308" t="str">
        <f t="shared" si="80"/>
        <v>Technology</v>
      </c>
      <c r="Z308" t="s">
        <v>223</v>
      </c>
      <c r="AA308" t="str">
        <f t="shared" si="81"/>
        <v>Phones</v>
      </c>
      <c r="AB308" t="s">
        <v>1568</v>
      </c>
      <c r="AC308" t="s">
        <v>33</v>
      </c>
      <c r="AD308" t="str">
        <f t="shared" si="82"/>
        <v>Second Class</v>
      </c>
      <c r="AE308">
        <v>4</v>
      </c>
      <c r="AF308">
        <v>3673.11</v>
      </c>
      <c r="AG308">
        <v>0</v>
      </c>
      <c r="AH308">
        <v>0</v>
      </c>
      <c r="AI308" t="str">
        <f t="shared" si="83"/>
        <v>Valid</v>
      </c>
      <c r="AJ308">
        <v>14692.44</v>
      </c>
      <c r="AK308">
        <f t="shared" si="84"/>
        <v>14692.44</v>
      </c>
      <c r="AL308">
        <v>10082.19</v>
      </c>
      <c r="AM308">
        <v>4610.25</v>
      </c>
      <c r="AN308">
        <f t="shared" si="85"/>
        <v>4610.25</v>
      </c>
      <c r="AO308">
        <f t="shared" si="86"/>
        <v>-10082.19</v>
      </c>
      <c r="AP308" t="s">
        <v>34</v>
      </c>
      <c r="AQ308" t="str">
        <f t="shared" si="87"/>
        <v>Paid</v>
      </c>
      <c r="AR308" t="s">
        <v>35</v>
      </c>
      <c r="AS308" t="str">
        <f t="shared" si="88"/>
        <v>Completed</v>
      </c>
      <c r="AT308" t="str">
        <f t="shared" si="89"/>
        <v>Clean</v>
      </c>
    </row>
    <row r="309" spans="1:46">
      <c r="A309" t="s">
        <v>1569</v>
      </c>
      <c r="B309">
        <f>COUNTIF($D$2:D309,D309)</f>
        <v>2</v>
      </c>
      <c r="C309" t="str">
        <f>IF(COUNTIF($A:$A,A309)=1,
"Unique",
IF(COUNTIFS($A:$A,A309,$N:$N,N309,$AF:$AF,AF309,$AJ:$AJ,AJ309)&gt;1,
"Exact Duplicate",
"Conflicting Duplicate"))</f>
        <v>Unique</v>
      </c>
      <c r="D309" t="s">
        <v>1570</v>
      </c>
      <c r="E309" t="s">
        <v>1571</v>
      </c>
      <c r="F309" s="3">
        <v>45998</v>
      </c>
      <c r="G309" s="2">
        <v>45857</v>
      </c>
      <c r="H309" s="5" t="str">
        <f t="shared" si="72"/>
        <v>December</v>
      </c>
      <c r="I309" s="5">
        <f t="shared" si="73"/>
        <v>2025</v>
      </c>
      <c r="J309" t="str">
        <f>IF(F309="","Missing Date",
IF(ISNUMBER(F309),"Valid","Invalid Date"))</f>
        <v>Valid</v>
      </c>
      <c r="K309" t="str">
        <f t="shared" si="74"/>
        <v>Valid</v>
      </c>
      <c r="L309">
        <f>G309-F309</f>
        <v>-141</v>
      </c>
      <c r="M309" t="s">
        <v>1572</v>
      </c>
      <c r="N309" t="s">
        <v>72</v>
      </c>
      <c r="O309" t="str">
        <f t="shared" si="75"/>
        <v>Ananya Rao</v>
      </c>
      <c r="P309" t="s">
        <v>108</v>
      </c>
      <c r="Q309" t="str">
        <f t="shared" si="76"/>
        <v>Corporate</v>
      </c>
      <c r="R309" t="s">
        <v>27</v>
      </c>
      <c r="S309" t="str">
        <f t="shared" si="77"/>
        <v>North</v>
      </c>
      <c r="T309" t="s">
        <v>174</v>
      </c>
      <c r="U309" t="str">
        <f t="shared" si="78"/>
        <v>Uttar Pradesh</v>
      </c>
      <c r="V309" t="s">
        <v>175</v>
      </c>
      <c r="W309" t="str">
        <f t="shared" si="79"/>
        <v>Noida</v>
      </c>
      <c r="X309" t="s">
        <v>45</v>
      </c>
      <c r="Y309" t="str">
        <f t="shared" si="80"/>
        <v>Furniture</v>
      </c>
      <c r="Z309" t="s">
        <v>46</v>
      </c>
      <c r="AA309" t="str">
        <f t="shared" si="81"/>
        <v>Tables</v>
      </c>
      <c r="AB309" t="s">
        <v>1573</v>
      </c>
      <c r="AC309" t="s">
        <v>56</v>
      </c>
      <c r="AD309" t="str">
        <f t="shared" si="82"/>
        <v>First Class</v>
      </c>
      <c r="AE309">
        <v>9</v>
      </c>
      <c r="AF309">
        <v>4093.04</v>
      </c>
      <c r="AG309">
        <v>0.2</v>
      </c>
      <c r="AH309">
        <v>0.2</v>
      </c>
      <c r="AI309" t="str">
        <f t="shared" si="83"/>
        <v>Valid</v>
      </c>
      <c r="AJ309">
        <v>29469.89</v>
      </c>
      <c r="AK309">
        <f t="shared" si="84"/>
        <v>29469.888000000003</v>
      </c>
      <c r="AL309">
        <v>18935.509999999998</v>
      </c>
      <c r="AM309">
        <v>10534.38</v>
      </c>
      <c r="AN309">
        <f t="shared" si="85"/>
        <v>10534.378000000004</v>
      </c>
      <c r="AO309">
        <f t="shared" si="86"/>
        <v>-18935.509999999998</v>
      </c>
      <c r="AP309" t="s">
        <v>1574</v>
      </c>
      <c r="AQ309" t="str">
        <f t="shared" si="87"/>
        <v>Pending</v>
      </c>
      <c r="AR309" t="s">
        <v>78</v>
      </c>
      <c r="AS309" t="str">
        <f t="shared" si="88"/>
        <v>Cancelled</v>
      </c>
      <c r="AT309" t="str">
        <f t="shared" si="89"/>
        <v>Clean</v>
      </c>
    </row>
    <row r="310" spans="1:46">
      <c r="A310" t="s">
        <v>1575</v>
      </c>
      <c r="B310">
        <f>COUNTIF($D$2:D310,D310)</f>
        <v>1</v>
      </c>
      <c r="C310" t="str">
        <f>IF(COUNTIF($A:$A,A310)=1,
"Unique",
IF(COUNTIFS($A:$A,A310,$N:$N,N310,$AF:$AF,AF310,$AJ:$AJ,AJ310)&gt;1,
"Exact Duplicate",
"Conflicting Duplicate"))</f>
        <v>Unique</v>
      </c>
      <c r="D310" t="s">
        <v>1576</v>
      </c>
      <c r="E310" t="s">
        <v>1577</v>
      </c>
      <c r="F310" s="3">
        <v>45821</v>
      </c>
      <c r="G310" s="3">
        <v>45827</v>
      </c>
      <c r="H310" s="5" t="str">
        <f t="shared" si="72"/>
        <v>June</v>
      </c>
      <c r="I310" s="5">
        <f t="shared" si="73"/>
        <v>2025</v>
      </c>
      <c r="J310" t="str">
        <f>IF(F310="","Missing Date",
IF(ISNUMBER(F310),"Valid","Invalid Date"))</f>
        <v>Valid</v>
      </c>
      <c r="K310" t="str">
        <f t="shared" si="74"/>
        <v>Valid</v>
      </c>
      <c r="L310">
        <f>G310-F310</f>
        <v>6</v>
      </c>
      <c r="M310" t="s">
        <v>1578</v>
      </c>
      <c r="N310" t="s">
        <v>180</v>
      </c>
      <c r="O310" t="str">
        <f t="shared" si="75"/>
        <v>Rohan Mehta</v>
      </c>
      <c r="P310" t="s">
        <v>26</v>
      </c>
      <c r="Q310" t="str">
        <f t="shared" si="76"/>
        <v>Consumer</v>
      </c>
      <c r="R310" t="s">
        <v>27</v>
      </c>
      <c r="S310" t="str">
        <f t="shared" si="77"/>
        <v>North</v>
      </c>
      <c r="T310" t="s">
        <v>28</v>
      </c>
      <c r="U310" t="str">
        <f t="shared" si="78"/>
        <v>Rajasthan</v>
      </c>
      <c r="V310" t="s">
        <v>29</v>
      </c>
      <c r="W310" t="str">
        <f t="shared" si="79"/>
        <v>Jaipur</v>
      </c>
      <c r="X310" t="s">
        <v>45</v>
      </c>
      <c r="Y310" t="str">
        <f t="shared" si="80"/>
        <v>Furniture</v>
      </c>
      <c r="Z310" t="s">
        <v>46</v>
      </c>
      <c r="AA310" t="str">
        <f t="shared" si="81"/>
        <v>Tables</v>
      </c>
      <c r="AB310" t="s">
        <v>1579</v>
      </c>
      <c r="AC310" t="s">
        <v>56</v>
      </c>
      <c r="AD310" t="str">
        <f t="shared" si="82"/>
        <v>First Class</v>
      </c>
      <c r="AE310">
        <v>4</v>
      </c>
      <c r="AF310">
        <v>731.57</v>
      </c>
      <c r="AG310">
        <v>0.2</v>
      </c>
      <c r="AH310">
        <v>0.2</v>
      </c>
      <c r="AI310" t="str">
        <f t="shared" si="83"/>
        <v>Valid</v>
      </c>
      <c r="AJ310">
        <v>2341.02</v>
      </c>
      <c r="AK310">
        <f t="shared" si="84"/>
        <v>2341.0240000000003</v>
      </c>
      <c r="AL310">
        <v>1565.49</v>
      </c>
      <c r="AM310">
        <v>775.53</v>
      </c>
      <c r="AN310">
        <f t="shared" si="85"/>
        <v>775.53400000000033</v>
      </c>
      <c r="AO310">
        <f t="shared" si="86"/>
        <v>-1565.49</v>
      </c>
      <c r="AP310" t="s">
        <v>34</v>
      </c>
      <c r="AQ310" t="str">
        <f t="shared" si="87"/>
        <v>Paid</v>
      </c>
      <c r="AR310" t="s">
        <v>35</v>
      </c>
      <c r="AS310" t="str">
        <f t="shared" si="88"/>
        <v>Completed</v>
      </c>
      <c r="AT310" t="str">
        <f t="shared" si="89"/>
        <v>Clean</v>
      </c>
    </row>
    <row r="311" spans="1:46">
      <c r="A311" t="s">
        <v>1580</v>
      </c>
      <c r="B311">
        <f>COUNTIF($D$2:D311,D311)</f>
        <v>1</v>
      </c>
      <c r="C311" t="str">
        <f>IF(COUNTIF($A:$A,A311)=1,
"Unique",
IF(COUNTIFS($A:$A,A311,$N:$N,N311,$AF:$AF,AF311,$AJ:$AJ,AJ311)&gt;1,
"Exact Duplicate",
"Conflicting Duplicate"))</f>
        <v>Unique</v>
      </c>
      <c r="D311" t="s">
        <v>1581</v>
      </c>
      <c r="E311" t="s">
        <v>127</v>
      </c>
      <c r="F311" s="3">
        <v>45493</v>
      </c>
      <c r="G311" s="3">
        <v>45495</v>
      </c>
      <c r="H311" s="5" t="str">
        <f t="shared" si="72"/>
        <v>July</v>
      </c>
      <c r="I311" s="5">
        <f t="shared" si="73"/>
        <v>2024</v>
      </c>
      <c r="J311" t="str">
        <f>IF(F311="","Missing Date",
IF(ISNUMBER(F311),"Valid","Invalid Date"))</f>
        <v>Valid</v>
      </c>
      <c r="K311" t="str">
        <f t="shared" si="74"/>
        <v>Valid</v>
      </c>
      <c r="L311">
        <f>G311-F311</f>
        <v>2</v>
      </c>
      <c r="M311" t="s">
        <v>1582</v>
      </c>
      <c r="N311" t="s">
        <v>72</v>
      </c>
      <c r="O311" t="str">
        <f t="shared" si="75"/>
        <v>Ananya Rao</v>
      </c>
      <c r="P311" t="s">
        <v>26</v>
      </c>
      <c r="Q311" t="str">
        <f t="shared" si="76"/>
        <v>Consumer</v>
      </c>
      <c r="R311" t="s">
        <v>62</v>
      </c>
      <c r="S311" t="str">
        <f t="shared" si="77"/>
        <v>South</v>
      </c>
      <c r="T311" t="s">
        <v>339</v>
      </c>
      <c r="U311" t="str">
        <f t="shared" si="78"/>
        <v>Tamil Nadu</v>
      </c>
      <c r="V311" t="s">
        <v>340</v>
      </c>
      <c r="W311" t="str">
        <f t="shared" si="79"/>
        <v>Chennai</v>
      </c>
      <c r="X311" t="s">
        <v>45</v>
      </c>
      <c r="Y311" t="str">
        <f t="shared" si="80"/>
        <v>Furniture</v>
      </c>
      <c r="Z311" t="s">
        <v>46</v>
      </c>
      <c r="AA311" t="str">
        <f t="shared" si="81"/>
        <v>Tables</v>
      </c>
      <c r="AB311" t="s">
        <v>1583</v>
      </c>
      <c r="AC311" t="s">
        <v>56</v>
      </c>
      <c r="AD311" t="str">
        <f t="shared" si="82"/>
        <v>First Class</v>
      </c>
      <c r="AE311">
        <v>7</v>
      </c>
      <c r="AF311">
        <v>2060.73</v>
      </c>
      <c r="AG311">
        <v>0.1</v>
      </c>
      <c r="AH311">
        <v>0.1</v>
      </c>
      <c r="AI311" t="str">
        <f t="shared" si="83"/>
        <v>Valid</v>
      </c>
      <c r="AJ311">
        <v>12982.6</v>
      </c>
      <c r="AK311">
        <f t="shared" si="84"/>
        <v>12982.599</v>
      </c>
      <c r="AL311">
        <v>7246.36</v>
      </c>
      <c r="AM311">
        <v>5736.24</v>
      </c>
      <c r="AN311">
        <f t="shared" si="85"/>
        <v>5736.2390000000005</v>
      </c>
      <c r="AO311">
        <f t="shared" si="86"/>
        <v>-7246.36</v>
      </c>
      <c r="AP311" t="s">
        <v>34</v>
      </c>
      <c r="AQ311" t="str">
        <f t="shared" si="87"/>
        <v>Paid</v>
      </c>
      <c r="AR311" t="s">
        <v>78</v>
      </c>
      <c r="AS311" t="str">
        <f t="shared" si="88"/>
        <v>Cancelled</v>
      </c>
      <c r="AT311" t="str">
        <f t="shared" si="89"/>
        <v>Clean</v>
      </c>
    </row>
    <row r="312" spans="1:46">
      <c r="A312" t="s">
        <v>1584</v>
      </c>
      <c r="B312">
        <f>COUNTIF($D$2:D312,D312)</f>
        <v>1</v>
      </c>
      <c r="C312" t="str">
        <f>IF(COUNTIF($A:$A,A312)=1,
"Unique",
IF(COUNTIFS($A:$A,A312,$N:$N,N312,$AF:$AF,AF312,$AJ:$AJ,AJ312)&gt;1,
"Exact Duplicate",
"Conflicting Duplicate"))</f>
        <v>Unique</v>
      </c>
      <c r="D312" t="s">
        <v>1585</v>
      </c>
      <c r="E312" t="s">
        <v>1586</v>
      </c>
      <c r="F312" s="3">
        <v>45389</v>
      </c>
      <c r="G312" s="3">
        <v>45511</v>
      </c>
      <c r="H312" s="5" t="str">
        <f t="shared" si="72"/>
        <v>April</v>
      </c>
      <c r="I312" s="5">
        <f t="shared" si="73"/>
        <v>2024</v>
      </c>
      <c r="J312" t="str">
        <f>IF(F312="","Missing Date",
IF(ISNUMBER(F312),"Valid","Invalid Date"))</f>
        <v>Valid</v>
      </c>
      <c r="K312" t="str">
        <f t="shared" si="74"/>
        <v>Valid</v>
      </c>
      <c r="L312">
        <f>G312-F312</f>
        <v>122</v>
      </c>
      <c r="M312" t="s">
        <v>1587</v>
      </c>
      <c r="N312" t="s">
        <v>180</v>
      </c>
      <c r="O312" t="str">
        <f t="shared" si="75"/>
        <v>Rohan Mehta</v>
      </c>
      <c r="P312" t="s">
        <v>41</v>
      </c>
      <c r="Q312" t="str">
        <f t="shared" si="76"/>
        <v>Small Business</v>
      </c>
      <c r="R312" t="s">
        <v>62</v>
      </c>
      <c r="S312" t="str">
        <f t="shared" si="77"/>
        <v>South</v>
      </c>
      <c r="T312" t="s">
        <v>339</v>
      </c>
      <c r="U312" t="str">
        <f t="shared" si="78"/>
        <v>Tamil Nadu</v>
      </c>
      <c r="V312" t="s">
        <v>340</v>
      </c>
      <c r="W312" t="str">
        <f t="shared" si="79"/>
        <v>Chennai</v>
      </c>
      <c r="X312" t="s">
        <v>86</v>
      </c>
      <c r="Y312" t="str">
        <f t="shared" si="80"/>
        <v>Technology</v>
      </c>
      <c r="Z312" t="s">
        <v>382</v>
      </c>
      <c r="AA312" t="str">
        <f t="shared" si="81"/>
        <v>Machines</v>
      </c>
      <c r="AB312" t="s">
        <v>1588</v>
      </c>
      <c r="AC312" t="s">
        <v>56</v>
      </c>
      <c r="AD312" t="str">
        <f t="shared" si="82"/>
        <v>First Class</v>
      </c>
      <c r="AE312">
        <v>8</v>
      </c>
      <c r="AF312">
        <v>2034.25</v>
      </c>
      <c r="AG312">
        <v>0</v>
      </c>
      <c r="AH312">
        <v>0</v>
      </c>
      <c r="AI312" t="str">
        <f t="shared" si="83"/>
        <v>Valid</v>
      </c>
      <c r="AJ312">
        <v>16274</v>
      </c>
      <c r="AK312">
        <f t="shared" si="84"/>
        <v>16274</v>
      </c>
      <c r="AL312">
        <v>9424.25</v>
      </c>
      <c r="AM312">
        <v>6849.75</v>
      </c>
      <c r="AN312">
        <f t="shared" si="85"/>
        <v>6849.75</v>
      </c>
      <c r="AO312">
        <f t="shared" si="86"/>
        <v>-9424.25</v>
      </c>
      <c r="AP312" t="s">
        <v>34</v>
      </c>
      <c r="AQ312" t="str">
        <f t="shared" si="87"/>
        <v>Paid</v>
      </c>
      <c r="AR312" t="s">
        <v>35</v>
      </c>
      <c r="AS312" t="str">
        <f t="shared" si="88"/>
        <v>Completed</v>
      </c>
      <c r="AT312" t="str">
        <f t="shared" si="89"/>
        <v>Clean</v>
      </c>
    </row>
    <row r="313" spans="1:46">
      <c r="A313" t="s">
        <v>1589</v>
      </c>
      <c r="B313">
        <f>COUNTIF($D$2:D313,D313)</f>
        <v>1</v>
      </c>
      <c r="C313" t="str">
        <f>IF(COUNTIF($A:$A,A313)=1,
"Unique",
IF(COUNTIFS($A:$A,A313,$N:$N,N313,$AF:$AF,AF313,$AJ:$AJ,AJ313)&gt;1,
"Exact Duplicate",
"Conflicting Duplicate"))</f>
        <v>Unique</v>
      </c>
      <c r="D313" t="s">
        <v>1590</v>
      </c>
      <c r="E313" t="s">
        <v>948</v>
      </c>
      <c r="F313" s="3">
        <v>45409</v>
      </c>
      <c r="G313" s="3">
        <v>45327</v>
      </c>
      <c r="H313" s="5" t="str">
        <f t="shared" si="72"/>
        <v>April</v>
      </c>
      <c r="I313" s="5">
        <f t="shared" si="73"/>
        <v>2024</v>
      </c>
      <c r="J313" t="str">
        <f>IF(F313="","Missing Date",
IF(ISNUMBER(F313),"Valid","Invalid Date"))</f>
        <v>Valid</v>
      </c>
      <c r="K313" t="str">
        <f t="shared" si="74"/>
        <v>Valid</v>
      </c>
      <c r="L313">
        <f>G313-F313</f>
        <v>-82</v>
      </c>
      <c r="M313" t="s">
        <v>1591</v>
      </c>
      <c r="N313" t="s">
        <v>40</v>
      </c>
      <c r="O313" t="str">
        <f t="shared" si="75"/>
        <v>Mira Das</v>
      </c>
      <c r="P313" t="s">
        <v>108</v>
      </c>
      <c r="Q313" t="str">
        <f t="shared" si="76"/>
        <v>Corporate</v>
      </c>
      <c r="R313" t="s">
        <v>62</v>
      </c>
      <c r="S313" t="str">
        <f t="shared" si="77"/>
        <v>South</v>
      </c>
      <c r="T313" t="s">
        <v>229</v>
      </c>
      <c r="U313" t="str">
        <f t="shared" si="78"/>
        <v>Karnataka</v>
      </c>
      <c r="V313" t="s">
        <v>230</v>
      </c>
      <c r="W313" t="str">
        <f t="shared" si="79"/>
        <v>Bengaluru</v>
      </c>
      <c r="X313" t="s">
        <v>30</v>
      </c>
      <c r="Y313" t="str">
        <f t="shared" si="80"/>
        <v>Office Supplies</v>
      </c>
      <c r="Z313" t="s">
        <v>198</v>
      </c>
      <c r="AA313" t="str">
        <f t="shared" si="81"/>
        <v>Binders</v>
      </c>
      <c r="AB313" t="s">
        <v>1592</v>
      </c>
      <c r="AC313" t="s">
        <v>33</v>
      </c>
      <c r="AD313" t="str">
        <f t="shared" si="82"/>
        <v>Second Class</v>
      </c>
      <c r="AE313">
        <v>5</v>
      </c>
      <c r="AF313">
        <v>554.04</v>
      </c>
      <c r="AG313">
        <v>0.1</v>
      </c>
      <c r="AH313">
        <v>0.1</v>
      </c>
      <c r="AI313" t="str">
        <f t="shared" si="83"/>
        <v>Valid</v>
      </c>
      <c r="AJ313">
        <v>2493.1799999999998</v>
      </c>
      <c r="AK313">
        <f t="shared" si="84"/>
        <v>2493.1799999999998</v>
      </c>
      <c r="AL313">
        <v>1764</v>
      </c>
      <c r="AM313">
        <v>729.18</v>
      </c>
      <c r="AN313">
        <f t="shared" si="85"/>
        <v>729.17999999999984</v>
      </c>
      <c r="AO313">
        <f t="shared" si="86"/>
        <v>-1764</v>
      </c>
      <c r="AP313" t="s">
        <v>34</v>
      </c>
      <c r="AQ313" t="str">
        <f t="shared" si="87"/>
        <v>Paid</v>
      </c>
      <c r="AR313" t="s">
        <v>35</v>
      </c>
      <c r="AS313" t="str">
        <f t="shared" si="88"/>
        <v>Completed</v>
      </c>
      <c r="AT313" t="str">
        <f t="shared" si="89"/>
        <v>Clean</v>
      </c>
    </row>
    <row r="314" spans="1:46">
      <c r="A314" t="s">
        <v>1593</v>
      </c>
      <c r="B314">
        <f>COUNTIF($D$2:D314,D314)</f>
        <v>1</v>
      </c>
      <c r="C314" t="str">
        <f>IF(COUNTIF($A:$A,A314)=1,
"Unique",
IF(COUNTIFS($A:$A,A314,$N:$N,N314,$AF:$AF,AF314,$AJ:$AJ,AJ314)&gt;1,
"Exact Duplicate",
"Conflicting Duplicate"))</f>
        <v>Unique</v>
      </c>
      <c r="D314" t="s">
        <v>1594</v>
      </c>
      <c r="E314" t="s">
        <v>516</v>
      </c>
      <c r="F314" s="3">
        <v>45504</v>
      </c>
      <c r="G314" s="3">
        <v>45390</v>
      </c>
      <c r="H314" s="5" t="str">
        <f t="shared" si="72"/>
        <v>July</v>
      </c>
      <c r="I314" s="5">
        <f t="shared" si="73"/>
        <v>2024</v>
      </c>
      <c r="J314" t="str">
        <f>IF(F314="","Missing Date",
IF(ISNUMBER(F314),"Valid","Invalid Date"))</f>
        <v>Valid</v>
      </c>
      <c r="K314" t="str">
        <f t="shared" si="74"/>
        <v>Valid</v>
      </c>
      <c r="L314">
        <f>G314-F314</f>
        <v>-114</v>
      </c>
      <c r="M314" t="s">
        <v>1595</v>
      </c>
      <c r="N314" t="s">
        <v>25</v>
      </c>
      <c r="O314" t="str">
        <f t="shared" si="75"/>
        <v>Karan Malhotra</v>
      </c>
      <c r="P314" t="s">
        <v>41</v>
      </c>
      <c r="Q314" t="str">
        <f t="shared" si="76"/>
        <v>Small Business</v>
      </c>
      <c r="R314" t="s">
        <v>42</v>
      </c>
      <c r="S314" t="str">
        <f t="shared" si="77"/>
        <v>East</v>
      </c>
      <c r="T314" t="s">
        <v>216</v>
      </c>
      <c r="U314" t="str">
        <f t="shared" si="78"/>
        <v>Assam</v>
      </c>
      <c r="V314" t="s">
        <v>217</v>
      </c>
      <c r="W314" t="str">
        <f t="shared" si="79"/>
        <v>Guwahati</v>
      </c>
      <c r="X314" t="s">
        <v>86</v>
      </c>
      <c r="Y314" t="str">
        <f t="shared" si="80"/>
        <v>Technology</v>
      </c>
      <c r="Z314" t="s">
        <v>223</v>
      </c>
      <c r="AA314" t="str">
        <f t="shared" si="81"/>
        <v>Phones</v>
      </c>
      <c r="AB314" t="s">
        <v>1596</v>
      </c>
      <c r="AC314" t="s">
        <v>67</v>
      </c>
      <c r="AD314" t="str">
        <f t="shared" si="82"/>
        <v>Standard Class</v>
      </c>
      <c r="AE314">
        <v>8</v>
      </c>
      <c r="AF314">
        <v>2614.7399999999998</v>
      </c>
      <c r="AG314" t="s">
        <v>4104</v>
      </c>
      <c r="AH314" t="s">
        <v>4104</v>
      </c>
      <c r="AI314" t="str">
        <f t="shared" si="83"/>
        <v>Invalid - Above Range</v>
      </c>
      <c r="AJ314">
        <v>15688.44</v>
      </c>
      <c r="AK314" t="s">
        <v>4104</v>
      </c>
      <c r="AL314">
        <v>10047.33</v>
      </c>
      <c r="AM314">
        <v>5641.11</v>
      </c>
      <c r="AN314" t="s">
        <v>4104</v>
      </c>
      <c r="AO314" t="s">
        <v>4104</v>
      </c>
      <c r="AP314" t="s">
        <v>34</v>
      </c>
      <c r="AQ314" t="str">
        <f t="shared" si="87"/>
        <v>Paid</v>
      </c>
      <c r="AR314" t="s">
        <v>78</v>
      </c>
      <c r="AS314" t="str">
        <f t="shared" si="88"/>
        <v>Cancelled</v>
      </c>
      <c r="AT314" t="str">
        <f t="shared" si="89"/>
        <v>Needs Review</v>
      </c>
    </row>
    <row r="315" spans="1:46">
      <c r="A315" t="s">
        <v>1597</v>
      </c>
      <c r="B315">
        <f>COUNTIF($D$2:D315,D315)</f>
        <v>2</v>
      </c>
      <c r="C315" t="str">
        <f>IF(COUNTIF($A:$A,A315)=1,
"Unique",
IF(COUNTIFS($A:$A,A315,$N:$N,N315,$AF:$AF,AF315,$AJ:$AJ,AJ315)&gt;1,
"Exact Duplicate",
"Conflicting Duplicate"))</f>
        <v>Unique</v>
      </c>
      <c r="D315" t="s">
        <v>1598</v>
      </c>
      <c r="E315" t="s">
        <v>1599</v>
      </c>
      <c r="F315" s="3">
        <v>45807</v>
      </c>
      <c r="G315" s="3">
        <v>45808</v>
      </c>
      <c r="H315" s="5" t="str">
        <f t="shared" si="72"/>
        <v>May</v>
      </c>
      <c r="I315" s="5">
        <f t="shared" si="73"/>
        <v>2025</v>
      </c>
      <c r="J315" t="str">
        <f>IF(F315="","Missing Date",
IF(ISNUMBER(F315),"Valid","Invalid Date"))</f>
        <v>Valid</v>
      </c>
      <c r="K315" t="str">
        <f t="shared" si="74"/>
        <v>Valid</v>
      </c>
      <c r="L315">
        <f>G315-F315</f>
        <v>1</v>
      </c>
      <c r="M315" t="s">
        <v>1600</v>
      </c>
      <c r="N315" t="s">
        <v>148</v>
      </c>
      <c r="O315" t="str">
        <f t="shared" si="75"/>
        <v>Rahul Verma</v>
      </c>
      <c r="P315" t="s">
        <v>108</v>
      </c>
      <c r="Q315" t="str">
        <f t="shared" si="76"/>
        <v>Corporate</v>
      </c>
      <c r="R315" t="s">
        <v>27</v>
      </c>
      <c r="S315" t="str">
        <f t="shared" si="77"/>
        <v>North</v>
      </c>
      <c r="T315" t="s">
        <v>174</v>
      </c>
      <c r="U315" t="str">
        <f t="shared" si="78"/>
        <v>Uttar Pradesh</v>
      </c>
      <c r="V315" t="s">
        <v>175</v>
      </c>
      <c r="W315" t="str">
        <f t="shared" si="79"/>
        <v>Noida</v>
      </c>
      <c r="X315" t="s">
        <v>86</v>
      </c>
      <c r="Y315" t="str">
        <f t="shared" si="80"/>
        <v>Technology</v>
      </c>
      <c r="Z315" t="s">
        <v>223</v>
      </c>
      <c r="AA315" t="str">
        <f t="shared" si="81"/>
        <v>Phones</v>
      </c>
      <c r="AB315" t="s">
        <v>1601</v>
      </c>
      <c r="AC315" t="s">
        <v>56</v>
      </c>
      <c r="AD315" t="str">
        <f t="shared" si="82"/>
        <v>First Class</v>
      </c>
      <c r="AE315">
        <v>8</v>
      </c>
      <c r="AF315">
        <v>2081.4299999999998</v>
      </c>
      <c r="AG315">
        <v>0.25</v>
      </c>
      <c r="AH315">
        <v>0.25</v>
      </c>
      <c r="AI315" t="str">
        <f t="shared" si="83"/>
        <v>Valid</v>
      </c>
      <c r="AJ315">
        <v>12488.58</v>
      </c>
      <c r="AK315">
        <f t="shared" si="84"/>
        <v>12488.579999999998</v>
      </c>
      <c r="AL315">
        <v>10717.4</v>
      </c>
      <c r="AM315">
        <v>1771.18</v>
      </c>
      <c r="AN315">
        <f t="shared" si="85"/>
        <v>1771.1799999999985</v>
      </c>
      <c r="AO315">
        <f t="shared" si="86"/>
        <v>-10717.4</v>
      </c>
      <c r="AP315" t="s">
        <v>124</v>
      </c>
      <c r="AQ315" t="str">
        <f t="shared" si="87"/>
        <v>Refunded</v>
      </c>
      <c r="AR315" t="s">
        <v>78</v>
      </c>
      <c r="AS315" t="str">
        <f t="shared" si="88"/>
        <v>Cancelled</v>
      </c>
      <c r="AT315" t="str">
        <f t="shared" si="89"/>
        <v>Clean</v>
      </c>
    </row>
    <row r="316" spans="1:46">
      <c r="A316" t="s">
        <v>1602</v>
      </c>
      <c r="B316">
        <f>COUNTIF($D$2:D316,D316)</f>
        <v>2</v>
      </c>
      <c r="C316" t="str">
        <f>IF(COUNTIF($A:$A,A316)=1,
"Unique",
IF(COUNTIFS($A:$A,A316,$N:$N,N316,$AF:$AF,AF316,$AJ:$AJ,AJ316)&gt;1,
"Exact Duplicate",
"Conflicting Duplicate"))</f>
        <v>Conflicting Duplicate</v>
      </c>
      <c r="D316" t="s">
        <v>1104</v>
      </c>
      <c r="E316" t="s">
        <v>118</v>
      </c>
      <c r="F316" s="3">
        <v>45795</v>
      </c>
      <c r="G316" s="2">
        <v>45797</v>
      </c>
      <c r="H316" s="5" t="str">
        <f t="shared" si="72"/>
        <v>May</v>
      </c>
      <c r="I316" s="5">
        <f t="shared" si="73"/>
        <v>2025</v>
      </c>
      <c r="J316" t="str">
        <f>IF(F316="","Missing Date",
IF(ISNUMBER(F316),"Valid","Invalid Date"))</f>
        <v>Valid</v>
      </c>
      <c r="K316" t="str">
        <f t="shared" si="74"/>
        <v>Valid</v>
      </c>
      <c r="L316">
        <f>G316-F316</f>
        <v>2</v>
      </c>
      <c r="M316" t="s">
        <v>1603</v>
      </c>
      <c r="N316" t="s">
        <v>53</v>
      </c>
      <c r="O316" t="str">
        <f t="shared" si="75"/>
        <v>Isha Nair</v>
      </c>
      <c r="P316" t="s">
        <v>108</v>
      </c>
      <c r="Q316" t="str">
        <f t="shared" si="76"/>
        <v>Corporate</v>
      </c>
      <c r="R316" t="s">
        <v>73</v>
      </c>
      <c r="S316" t="str">
        <f t="shared" si="77"/>
        <v>West</v>
      </c>
      <c r="T316" t="s">
        <v>84</v>
      </c>
      <c r="U316" t="str">
        <f t="shared" si="78"/>
        <v>Madhya Pradesh</v>
      </c>
      <c r="V316" t="s">
        <v>85</v>
      </c>
      <c r="W316" t="str">
        <f t="shared" si="79"/>
        <v>Indore</v>
      </c>
      <c r="X316" t="s">
        <v>30</v>
      </c>
      <c r="Y316" t="str">
        <f t="shared" si="80"/>
        <v>Office Supplies</v>
      </c>
      <c r="Z316" t="s">
        <v>109</v>
      </c>
      <c r="AA316" t="str">
        <f t="shared" si="81"/>
        <v>Labels</v>
      </c>
      <c r="AB316" t="s">
        <v>1604</v>
      </c>
      <c r="AC316" t="s">
        <v>67</v>
      </c>
      <c r="AD316" t="str">
        <f t="shared" si="82"/>
        <v>Standard Class</v>
      </c>
      <c r="AE316">
        <v>9</v>
      </c>
      <c r="AF316">
        <v>847.76</v>
      </c>
      <c r="AG316">
        <v>0.15</v>
      </c>
      <c r="AH316">
        <v>0.15</v>
      </c>
      <c r="AI316" t="str">
        <f t="shared" si="83"/>
        <v>Valid</v>
      </c>
      <c r="AJ316">
        <v>6485.36</v>
      </c>
      <c r="AK316">
        <f t="shared" si="84"/>
        <v>6485.3639999999996</v>
      </c>
      <c r="AL316">
        <v>5376.17</v>
      </c>
      <c r="AM316">
        <v>1109.19</v>
      </c>
      <c r="AN316">
        <f t="shared" si="85"/>
        <v>1109.1939999999995</v>
      </c>
      <c r="AO316">
        <f t="shared" si="86"/>
        <v>-5376.17</v>
      </c>
      <c r="AP316" t="s">
        <v>200</v>
      </c>
      <c r="AQ316" t="str">
        <f t="shared" si="87"/>
        <v>Failed</v>
      </c>
      <c r="AR316" t="s">
        <v>125</v>
      </c>
      <c r="AS316" t="str">
        <f t="shared" si="88"/>
        <v>Returned</v>
      </c>
      <c r="AT316" t="str">
        <f t="shared" si="89"/>
        <v>Clean</v>
      </c>
    </row>
    <row r="317" spans="1:46">
      <c r="A317" t="s">
        <v>1605</v>
      </c>
      <c r="B317">
        <f>COUNTIF($D$2:D317,D317)</f>
        <v>1</v>
      </c>
      <c r="C317" t="str">
        <f>IF(COUNTIF($A:$A,A317)=1,
"Unique",
IF(COUNTIFS($A:$A,A317,$N:$N,N317,$AF:$AF,AF317,$AJ:$AJ,AJ317)&gt;1,
"Exact Duplicate",
"Conflicting Duplicate"))</f>
        <v>Unique</v>
      </c>
      <c r="D317" t="s">
        <v>1606</v>
      </c>
      <c r="E317" t="s">
        <v>1607</v>
      </c>
      <c r="F317" s="3">
        <v>45329</v>
      </c>
      <c r="G317" s="3">
        <v>45511</v>
      </c>
      <c r="H317" s="5" t="str">
        <f t="shared" si="72"/>
        <v>February</v>
      </c>
      <c r="I317" s="5">
        <f t="shared" si="73"/>
        <v>2024</v>
      </c>
      <c r="J317" t="str">
        <f>IF(F317="","Missing Date",
IF(ISNUMBER(F317),"Valid","Invalid Date"))</f>
        <v>Valid</v>
      </c>
      <c r="K317" t="str">
        <f t="shared" si="74"/>
        <v>Valid</v>
      </c>
      <c r="L317">
        <f>G317-F317</f>
        <v>182</v>
      </c>
      <c r="M317" t="s">
        <v>1608</v>
      </c>
      <c r="N317" t="s">
        <v>180</v>
      </c>
      <c r="O317" t="str">
        <f t="shared" si="75"/>
        <v>Rohan Mehta</v>
      </c>
      <c r="P317" t="s">
        <v>26</v>
      </c>
      <c r="Q317" t="str">
        <f t="shared" si="76"/>
        <v>Consumer</v>
      </c>
      <c r="R317" t="s">
        <v>27</v>
      </c>
      <c r="S317" t="str">
        <f t="shared" si="77"/>
        <v>North</v>
      </c>
      <c r="T317" t="s">
        <v>506</v>
      </c>
      <c r="U317" t="str">
        <f t="shared" si="78"/>
        <v>Delhi</v>
      </c>
      <c r="V317" t="s">
        <v>507</v>
      </c>
      <c r="W317" t="str">
        <f t="shared" si="79"/>
        <v>New Delhi</v>
      </c>
      <c r="X317" t="s">
        <v>30</v>
      </c>
      <c r="Y317" t="str">
        <f t="shared" si="80"/>
        <v>Office Supplies</v>
      </c>
      <c r="Z317" t="s">
        <v>31</v>
      </c>
      <c r="AA317" t="str">
        <f t="shared" si="81"/>
        <v>Paper</v>
      </c>
      <c r="AB317" t="s">
        <v>1609</v>
      </c>
      <c r="AC317" t="s">
        <v>67</v>
      </c>
      <c r="AD317" t="str">
        <f t="shared" si="82"/>
        <v>Standard Class</v>
      </c>
      <c r="AE317">
        <v>9</v>
      </c>
      <c r="AF317">
        <v>3450.4</v>
      </c>
      <c r="AG317">
        <v>0.05</v>
      </c>
      <c r="AH317">
        <v>0.05</v>
      </c>
      <c r="AI317" t="str">
        <f t="shared" si="83"/>
        <v>Valid</v>
      </c>
      <c r="AJ317">
        <v>29500.92</v>
      </c>
      <c r="AK317">
        <f t="shared" si="84"/>
        <v>29500.920000000002</v>
      </c>
      <c r="AL317">
        <v>17989.68</v>
      </c>
      <c r="AM317">
        <v>11511.24</v>
      </c>
      <c r="AN317">
        <f t="shared" si="85"/>
        <v>11511.240000000002</v>
      </c>
      <c r="AO317">
        <f t="shared" si="86"/>
        <v>-17989.68</v>
      </c>
      <c r="AP317" t="s">
        <v>137</v>
      </c>
      <c r="AQ317" t="str">
        <f t="shared" si="87"/>
        <v>Pending</v>
      </c>
      <c r="AR317" t="s">
        <v>125</v>
      </c>
      <c r="AS317" t="str">
        <f t="shared" si="88"/>
        <v>Returned</v>
      </c>
      <c r="AT317" t="str">
        <f t="shared" si="89"/>
        <v>Clean</v>
      </c>
    </row>
    <row r="318" spans="1:46">
      <c r="A318" t="s">
        <v>1610</v>
      </c>
      <c r="B318">
        <f>COUNTIF($D$2:D318,D318)</f>
        <v>1</v>
      </c>
      <c r="C318" t="str">
        <f>IF(COUNTIF($A:$A,A318)=1,
"Unique",
IF(COUNTIFS($A:$A,A318,$N:$N,N318,$AF:$AF,AF318,$AJ:$AJ,AJ318)&gt;1,
"Exact Duplicate",
"Conflicting Duplicate"))</f>
        <v>Unique</v>
      </c>
      <c r="D318" t="s">
        <v>1611</v>
      </c>
      <c r="E318" t="s">
        <v>1612</v>
      </c>
      <c r="F318" s="3">
        <v>45338</v>
      </c>
      <c r="G318" s="3">
        <v>45340</v>
      </c>
      <c r="H318" s="5" t="str">
        <f t="shared" si="72"/>
        <v>February</v>
      </c>
      <c r="I318" s="5">
        <f t="shared" si="73"/>
        <v>2024</v>
      </c>
      <c r="J318" t="str">
        <f>IF(F318="","Missing Date",
IF(ISNUMBER(F318),"Valid","Invalid Date"))</f>
        <v>Valid</v>
      </c>
      <c r="K318" t="str">
        <f t="shared" si="74"/>
        <v>Valid</v>
      </c>
      <c r="L318">
        <f>G318-F318</f>
        <v>2</v>
      </c>
      <c r="M318" t="s">
        <v>1613</v>
      </c>
      <c r="N318" t="s">
        <v>25</v>
      </c>
      <c r="O318" t="str">
        <f t="shared" si="75"/>
        <v>Karan Malhotra</v>
      </c>
      <c r="P318" t="s">
        <v>108</v>
      </c>
      <c r="Q318" t="str">
        <f t="shared" si="76"/>
        <v>Corporate</v>
      </c>
      <c r="R318" t="s">
        <v>27</v>
      </c>
      <c r="S318" t="str">
        <f t="shared" si="77"/>
        <v>North</v>
      </c>
      <c r="T318" t="s">
        <v>154</v>
      </c>
      <c r="U318" t="str">
        <f t="shared" si="78"/>
        <v>Punjab</v>
      </c>
      <c r="V318" t="s">
        <v>155</v>
      </c>
      <c r="W318" t="str">
        <f t="shared" si="79"/>
        <v>Ludhiana</v>
      </c>
      <c r="X318" t="s">
        <v>30</v>
      </c>
      <c r="Y318" t="str">
        <f t="shared" si="80"/>
        <v>Office Supplies</v>
      </c>
      <c r="Z318" t="s">
        <v>109</v>
      </c>
      <c r="AA318" t="str">
        <f t="shared" si="81"/>
        <v>Labels</v>
      </c>
      <c r="AB318" t="s">
        <v>1614</v>
      </c>
      <c r="AC318" t="s">
        <v>67</v>
      </c>
      <c r="AD318" t="str">
        <f t="shared" si="82"/>
        <v>Standard Class</v>
      </c>
      <c r="AE318">
        <v>2</v>
      </c>
      <c r="AF318">
        <v>1947.53</v>
      </c>
      <c r="AG318">
        <v>0.2</v>
      </c>
      <c r="AH318">
        <v>0.2</v>
      </c>
      <c r="AI318" t="str">
        <f t="shared" si="83"/>
        <v>Valid</v>
      </c>
      <c r="AJ318">
        <v>3116.05</v>
      </c>
      <c r="AK318">
        <f t="shared" si="84"/>
        <v>3116.0480000000002</v>
      </c>
      <c r="AL318">
        <v>1956.63</v>
      </c>
      <c r="AM318">
        <v>1159.42</v>
      </c>
      <c r="AN318">
        <f t="shared" si="85"/>
        <v>1159.4180000000001</v>
      </c>
      <c r="AO318">
        <f t="shared" si="86"/>
        <v>-1956.63</v>
      </c>
      <c r="AP318" t="s">
        <v>34</v>
      </c>
      <c r="AQ318" t="str">
        <f t="shared" si="87"/>
        <v>Paid</v>
      </c>
      <c r="AR318" t="s">
        <v>78</v>
      </c>
      <c r="AS318" t="str">
        <f t="shared" si="88"/>
        <v>Cancelled</v>
      </c>
      <c r="AT318" t="str">
        <f t="shared" si="89"/>
        <v>Clean</v>
      </c>
    </row>
    <row r="319" spans="1:46">
      <c r="A319" t="s">
        <v>1615</v>
      </c>
      <c r="B319">
        <f>COUNTIF($D$2:D319,D319)</f>
        <v>3</v>
      </c>
      <c r="C319" t="str">
        <f>IF(COUNTIF($A:$A,A319)=1,
"Unique",
IF(COUNTIFS($A:$A,A319,$N:$N,N319,$AF:$AF,AF319,$AJ:$AJ,AJ319)&gt;1,
"Exact Duplicate",
"Conflicting Duplicate"))</f>
        <v>Unique</v>
      </c>
      <c r="D319" t="s">
        <v>1616</v>
      </c>
      <c r="E319" t="s">
        <v>1617</v>
      </c>
      <c r="F319" s="3">
        <v>45898</v>
      </c>
      <c r="G319" s="2">
        <v>45756</v>
      </c>
      <c r="H319" s="5" t="str">
        <f t="shared" si="72"/>
        <v>August</v>
      </c>
      <c r="I319" s="5">
        <f t="shared" si="73"/>
        <v>2025</v>
      </c>
      <c r="J319" t="str">
        <f>IF(F319="","Missing Date",
IF(ISNUMBER(F319),"Valid","Invalid Date"))</f>
        <v>Valid</v>
      </c>
      <c r="K319" t="str">
        <f t="shared" si="74"/>
        <v>Valid</v>
      </c>
      <c r="L319">
        <f>G319-F319</f>
        <v>-142</v>
      </c>
      <c r="M319" t="s">
        <v>1618</v>
      </c>
      <c r="N319" t="s">
        <v>93</v>
      </c>
      <c r="O319" t="str">
        <f t="shared" si="75"/>
        <v>Neha Gupta</v>
      </c>
      <c r="P319" t="s">
        <v>108</v>
      </c>
      <c r="Q319" t="str">
        <f t="shared" si="76"/>
        <v>Corporate</v>
      </c>
      <c r="R319" t="s">
        <v>62</v>
      </c>
      <c r="S319" t="str">
        <f t="shared" si="77"/>
        <v>South</v>
      </c>
      <c r="T319" t="s">
        <v>242</v>
      </c>
      <c r="U319" t="str">
        <f t="shared" si="78"/>
        <v>Kerala</v>
      </c>
      <c r="V319" t="s">
        <v>243</v>
      </c>
      <c r="W319" t="str">
        <f t="shared" si="79"/>
        <v>Kochi</v>
      </c>
      <c r="X319" t="s">
        <v>45</v>
      </c>
      <c r="Y319" t="str">
        <f t="shared" si="80"/>
        <v>Furniture</v>
      </c>
      <c r="Z319" t="s">
        <v>46</v>
      </c>
      <c r="AA319" t="str">
        <f t="shared" si="81"/>
        <v>Tables</v>
      </c>
      <c r="AB319" t="s">
        <v>1619</v>
      </c>
      <c r="AC319" t="s">
        <v>56</v>
      </c>
      <c r="AD319" t="str">
        <f t="shared" si="82"/>
        <v>First Class</v>
      </c>
      <c r="AE319">
        <v>9</v>
      </c>
      <c r="AF319">
        <v>2996.97</v>
      </c>
      <c r="AG319">
        <v>0.15</v>
      </c>
      <c r="AH319">
        <v>0.15</v>
      </c>
      <c r="AI319" t="str">
        <f t="shared" si="83"/>
        <v>Valid</v>
      </c>
      <c r="AJ319">
        <v>22926.82</v>
      </c>
      <c r="AK319">
        <f t="shared" si="84"/>
        <v>22926.820499999998</v>
      </c>
      <c r="AL319">
        <v>14621.59</v>
      </c>
      <c r="AM319">
        <v>8305.23</v>
      </c>
      <c r="AN319">
        <f t="shared" si="85"/>
        <v>8305.2304999999978</v>
      </c>
      <c r="AO319">
        <f t="shared" si="86"/>
        <v>-14621.59</v>
      </c>
      <c r="AP319" t="s">
        <v>34</v>
      </c>
      <c r="AQ319" t="str">
        <f t="shared" si="87"/>
        <v>Paid</v>
      </c>
      <c r="AR319" t="s">
        <v>35</v>
      </c>
      <c r="AS319" t="str">
        <f t="shared" si="88"/>
        <v>Completed</v>
      </c>
      <c r="AT319" t="str">
        <f t="shared" si="89"/>
        <v>Clean</v>
      </c>
    </row>
    <row r="320" spans="1:46">
      <c r="A320" t="s">
        <v>1620</v>
      </c>
      <c r="B320">
        <f>COUNTIF($D$2:D320,D320)</f>
        <v>1</v>
      </c>
      <c r="C320" t="str">
        <f>IF(COUNTIF($A:$A,A320)=1,
"Unique",
IF(COUNTIFS($A:$A,A320,$N:$N,N320,$AF:$AF,AF320,$AJ:$AJ,AJ320)&gt;1,
"Exact Duplicate",
"Conflicting Duplicate"))</f>
        <v>Unique</v>
      </c>
      <c r="D320" t="s">
        <v>1621</v>
      </c>
      <c r="E320" t="s">
        <v>1622</v>
      </c>
      <c r="F320" s="2">
        <v>45407</v>
      </c>
      <c r="G320" s="3">
        <v>45412</v>
      </c>
      <c r="H320" s="5" t="str">
        <f t="shared" si="72"/>
        <v>April</v>
      </c>
      <c r="I320" s="5">
        <f t="shared" si="73"/>
        <v>2024</v>
      </c>
      <c r="J320" t="str">
        <f>IF(F320="","Missing Date",
IF(ISNUMBER(F320),"Valid","Invalid Date"))</f>
        <v>Valid</v>
      </c>
      <c r="K320" t="str">
        <f t="shared" si="74"/>
        <v>Valid</v>
      </c>
      <c r="L320">
        <f>G320-F320</f>
        <v>5</v>
      </c>
      <c r="M320" t="s">
        <v>1623</v>
      </c>
      <c r="N320" t="s">
        <v>40</v>
      </c>
      <c r="O320" t="str">
        <f t="shared" si="75"/>
        <v>Mira Das</v>
      </c>
      <c r="P320" t="s">
        <v>41</v>
      </c>
      <c r="Q320" t="str">
        <f t="shared" si="76"/>
        <v>Small Business</v>
      </c>
      <c r="R320" t="s">
        <v>62</v>
      </c>
      <c r="S320" t="str">
        <f t="shared" si="77"/>
        <v>South</v>
      </c>
      <c r="T320" t="s">
        <v>229</v>
      </c>
      <c r="U320" t="str">
        <f t="shared" si="78"/>
        <v>Karnataka</v>
      </c>
      <c r="V320" t="s">
        <v>230</v>
      </c>
      <c r="W320" t="str">
        <f t="shared" si="79"/>
        <v>Bengaluru</v>
      </c>
      <c r="X320" t="s">
        <v>86</v>
      </c>
      <c r="Y320" t="str">
        <f t="shared" si="80"/>
        <v>Technology</v>
      </c>
      <c r="Z320" t="s">
        <v>223</v>
      </c>
      <c r="AA320" t="str">
        <f t="shared" si="81"/>
        <v>Phones</v>
      </c>
      <c r="AB320" t="s">
        <v>1624</v>
      </c>
      <c r="AC320" t="s">
        <v>67</v>
      </c>
      <c r="AD320" t="str">
        <f t="shared" si="82"/>
        <v>Standard Class</v>
      </c>
      <c r="AE320">
        <v>3</v>
      </c>
      <c r="AF320">
        <v>4149.46</v>
      </c>
      <c r="AG320">
        <v>0.1</v>
      </c>
      <c r="AH320">
        <v>0.1</v>
      </c>
      <c r="AI320" t="str">
        <f t="shared" si="83"/>
        <v>Valid</v>
      </c>
      <c r="AJ320">
        <v>11203.54</v>
      </c>
      <c r="AK320">
        <f t="shared" si="84"/>
        <v>11203.542000000001</v>
      </c>
      <c r="AL320">
        <v>8452.93</v>
      </c>
      <c r="AM320">
        <v>2750.61</v>
      </c>
      <c r="AN320">
        <f t="shared" si="85"/>
        <v>2750.612000000001</v>
      </c>
      <c r="AO320">
        <f t="shared" si="86"/>
        <v>-8452.93</v>
      </c>
      <c r="AP320" t="s">
        <v>34</v>
      </c>
      <c r="AQ320" t="str">
        <f t="shared" si="87"/>
        <v>Paid</v>
      </c>
      <c r="AR320" t="s">
        <v>35</v>
      </c>
      <c r="AS320" t="str">
        <f t="shared" si="88"/>
        <v>Completed</v>
      </c>
      <c r="AT320" t="str">
        <f t="shared" si="89"/>
        <v>Clean</v>
      </c>
    </row>
    <row r="321" spans="1:46">
      <c r="A321" t="s">
        <v>1625</v>
      </c>
      <c r="B321">
        <f>COUNTIF($D$2:D321,D321)</f>
        <v>1</v>
      </c>
      <c r="C321" t="str">
        <f>IF(COUNTIF($A:$A,A321)=1,
"Unique",
IF(COUNTIFS($A:$A,A321,$N:$N,N321,$AF:$AF,AF321,$AJ:$AJ,AJ321)&gt;1,
"Exact Duplicate",
"Conflicting Duplicate"))</f>
        <v>Unique</v>
      </c>
      <c r="D321" t="s">
        <v>1626</v>
      </c>
      <c r="E321" t="s">
        <v>1627</v>
      </c>
      <c r="F321" s="2">
        <v>45525</v>
      </c>
      <c r="G321" s="3">
        <v>45529</v>
      </c>
      <c r="H321" s="5" t="str">
        <f t="shared" si="72"/>
        <v>August</v>
      </c>
      <c r="I321" s="5">
        <f t="shared" si="73"/>
        <v>2024</v>
      </c>
      <c r="J321" t="str">
        <f>IF(F321="","Missing Date",
IF(ISNUMBER(F321),"Valid","Invalid Date"))</f>
        <v>Valid</v>
      </c>
      <c r="K321" t="str">
        <f t="shared" si="74"/>
        <v>Valid</v>
      </c>
      <c r="L321">
        <f>G321-F321</f>
        <v>4</v>
      </c>
      <c r="M321" t="s">
        <v>1628</v>
      </c>
      <c r="N321" t="s">
        <v>210</v>
      </c>
      <c r="O321" t="str">
        <f t="shared" si="75"/>
        <v>Diya Patel</v>
      </c>
      <c r="P321" t="s">
        <v>26</v>
      </c>
      <c r="Q321" t="str">
        <f t="shared" si="76"/>
        <v>Consumer</v>
      </c>
      <c r="R321" t="s">
        <v>73</v>
      </c>
      <c r="S321" t="str">
        <f t="shared" si="77"/>
        <v>West</v>
      </c>
      <c r="T321" t="s">
        <v>235</v>
      </c>
      <c r="U321" t="str">
        <f t="shared" si="78"/>
        <v>Gujarat</v>
      </c>
      <c r="V321" t="s">
        <v>236</v>
      </c>
      <c r="W321" t="str">
        <f t="shared" si="79"/>
        <v>Ahmedabad</v>
      </c>
      <c r="X321" t="s">
        <v>30</v>
      </c>
      <c r="Y321" t="str">
        <f t="shared" si="80"/>
        <v>Office Supplies</v>
      </c>
      <c r="Z321" t="s">
        <v>198</v>
      </c>
      <c r="AA321" t="str">
        <f t="shared" si="81"/>
        <v>Binders</v>
      </c>
      <c r="AB321" t="s">
        <v>1629</v>
      </c>
      <c r="AC321" t="s">
        <v>56</v>
      </c>
      <c r="AD321" t="str">
        <f t="shared" si="82"/>
        <v>First Class</v>
      </c>
      <c r="AE321">
        <v>1</v>
      </c>
      <c r="AF321">
        <v>270.27999999999997</v>
      </c>
      <c r="AG321">
        <v>0</v>
      </c>
      <c r="AH321">
        <v>0</v>
      </c>
      <c r="AI321" t="str">
        <f t="shared" si="83"/>
        <v>Valid</v>
      </c>
      <c r="AJ321">
        <v>270.27999999999997</v>
      </c>
      <c r="AK321">
        <f t="shared" si="84"/>
        <v>270.27999999999997</v>
      </c>
      <c r="AL321">
        <v>156.34</v>
      </c>
      <c r="AM321">
        <v>113.94</v>
      </c>
      <c r="AN321">
        <f t="shared" si="85"/>
        <v>113.93999999999997</v>
      </c>
      <c r="AO321">
        <f t="shared" si="86"/>
        <v>-156.34</v>
      </c>
      <c r="AP321" t="s">
        <v>34</v>
      </c>
      <c r="AQ321" t="str">
        <f t="shared" si="87"/>
        <v>Paid</v>
      </c>
      <c r="AR321" t="s">
        <v>35</v>
      </c>
      <c r="AS321" t="str">
        <f t="shared" si="88"/>
        <v>Completed</v>
      </c>
      <c r="AT321" t="str">
        <f t="shared" si="89"/>
        <v>Clean</v>
      </c>
    </row>
    <row r="322" spans="1:46">
      <c r="A322" t="s">
        <v>1630</v>
      </c>
      <c r="B322">
        <f>COUNTIF($D$2:D322,D322)</f>
        <v>1</v>
      </c>
      <c r="C322" t="str">
        <f>IF(COUNTIF($A:$A,A322)=1,
"Unique",
IF(COUNTIFS($A:$A,A322,$N:$N,N322,$AF:$AF,AF322,$AJ:$AJ,AJ322)&gt;1,
"Exact Duplicate",
"Conflicting Duplicate"))</f>
        <v>Unique</v>
      </c>
      <c r="D322" t="s">
        <v>1631</v>
      </c>
      <c r="E322" t="s">
        <v>1632</v>
      </c>
      <c r="F322" s="3">
        <v>45630</v>
      </c>
      <c r="G322" s="3">
        <v>45632</v>
      </c>
      <c r="H322" s="5" t="str">
        <f t="shared" si="72"/>
        <v>December</v>
      </c>
      <c r="I322" s="5">
        <f t="shared" si="73"/>
        <v>2024</v>
      </c>
      <c r="J322" t="str">
        <f>IF(F322="","Missing Date",
IF(ISNUMBER(F322),"Valid","Invalid Date"))</f>
        <v>Valid</v>
      </c>
      <c r="K322" t="str">
        <f t="shared" si="74"/>
        <v>Valid</v>
      </c>
      <c r="L322">
        <f>G322-F322</f>
        <v>2</v>
      </c>
      <c r="M322" t="s">
        <v>1633</v>
      </c>
      <c r="N322" t="s">
        <v>162</v>
      </c>
      <c r="O322" t="str">
        <f t="shared" si="75"/>
        <v>Aarav Sharma</v>
      </c>
      <c r="P322" t="s">
        <v>115</v>
      </c>
      <c r="Q322" t="str">
        <f t="shared" si="76"/>
        <v>Home Office</v>
      </c>
      <c r="R322" t="s">
        <v>42</v>
      </c>
      <c r="S322" t="str">
        <f t="shared" si="77"/>
        <v>East</v>
      </c>
      <c r="T322" t="s">
        <v>121</v>
      </c>
      <c r="U322" t="str">
        <f t="shared" si="78"/>
        <v>West Bengal</v>
      </c>
      <c r="V322" t="s">
        <v>122</v>
      </c>
      <c r="W322" t="str">
        <f t="shared" si="79"/>
        <v>Kolkata</v>
      </c>
      <c r="X322" t="s">
        <v>30</v>
      </c>
      <c r="Y322" t="str">
        <f t="shared" si="80"/>
        <v>Office Supplies</v>
      </c>
      <c r="Z322" t="s">
        <v>54</v>
      </c>
      <c r="AA322" t="str">
        <f t="shared" si="81"/>
        <v>Art</v>
      </c>
      <c r="AB322" t="s">
        <v>1634</v>
      </c>
      <c r="AC322" t="s">
        <v>33</v>
      </c>
      <c r="AD322" t="str">
        <f t="shared" si="82"/>
        <v>Second Class</v>
      </c>
      <c r="AE322">
        <v>3</v>
      </c>
      <c r="AF322">
        <v>876.14</v>
      </c>
      <c r="AG322" t="s">
        <v>681</v>
      </c>
      <c r="AH322">
        <v>0.7</v>
      </c>
      <c r="AI322" t="str">
        <f t="shared" si="83"/>
        <v>Invalid - Above Range</v>
      </c>
      <c r="AJ322">
        <v>2628.42</v>
      </c>
      <c r="AK322">
        <f t="shared" si="84"/>
        <v>788.52600000000018</v>
      </c>
      <c r="AL322">
        <v>1541.54</v>
      </c>
      <c r="AM322">
        <v>1086.8800000000001</v>
      </c>
      <c r="AN322">
        <f t="shared" si="85"/>
        <v>-753.01399999999978</v>
      </c>
      <c r="AO322">
        <f t="shared" si="86"/>
        <v>-1541.54</v>
      </c>
      <c r="AP322" t="s">
        <v>137</v>
      </c>
      <c r="AQ322" t="str">
        <f t="shared" si="87"/>
        <v>Pending</v>
      </c>
      <c r="AR322" t="s">
        <v>125</v>
      </c>
      <c r="AS322" t="str">
        <f t="shared" si="88"/>
        <v>Returned</v>
      </c>
      <c r="AT322" t="str">
        <f t="shared" si="89"/>
        <v>Clean</v>
      </c>
    </row>
    <row r="323" spans="1:46">
      <c r="A323" t="s">
        <v>1635</v>
      </c>
      <c r="B323">
        <f>COUNTIF($D$2:D323,D323)</f>
        <v>1</v>
      </c>
      <c r="C323" t="str">
        <f>IF(COUNTIF($A:$A,A323)=1,
"Unique",
IF(COUNTIFS($A:$A,A323,$N:$N,N323,$AF:$AF,AF323,$AJ:$AJ,AJ323)&gt;1,
"Exact Duplicate",
"Conflicting Duplicate"))</f>
        <v>Unique</v>
      </c>
      <c r="D323" t="s">
        <v>1636</v>
      </c>
      <c r="E323" t="s">
        <v>1637</v>
      </c>
      <c r="F323" s="3">
        <v>45466</v>
      </c>
      <c r="G323" s="2">
        <v>45473</v>
      </c>
      <c r="H323" s="5" t="str">
        <f t="shared" ref="H323:H386" si="90">TEXT(DATE(2024,MONTH(F323),1),"MMMM")</f>
        <v>June</v>
      </c>
      <c r="I323" s="5">
        <f t="shared" ref="I323:I386" si="91">YEAR(F323)</f>
        <v>2024</v>
      </c>
      <c r="J323" t="str">
        <f>IF(F323="","Missing Date",
IF(ISNUMBER(F323),"Valid","Invalid Date"))</f>
        <v>Valid</v>
      </c>
      <c r="K323" t="str">
        <f t="shared" ref="K323:K386" si="92">IF(G323="","Missing Date",
IF(ISNUMBER(G323),"Valid","Invalid Date"))</f>
        <v>Valid</v>
      </c>
      <c r="L323">
        <f>G323-F323</f>
        <v>7</v>
      </c>
      <c r="M323" t="s">
        <v>1638</v>
      </c>
      <c r="N323" t="s">
        <v>93</v>
      </c>
      <c r="O323" t="str">
        <f t="shared" ref="O323:O386" si="93">TRIM(PROPER(CLEAN(N323)))</f>
        <v>Neha Gupta</v>
      </c>
      <c r="P323" t="s">
        <v>41</v>
      </c>
      <c r="Q323" t="str">
        <f t="shared" ref="Q323:Q386" si="94">TRIM(PROPER(CLEAN(P323)))</f>
        <v>Small Business</v>
      </c>
      <c r="R323" t="s">
        <v>73</v>
      </c>
      <c r="S323" t="str">
        <f t="shared" ref="S323:S386" si="95">TRIM(PROPER(CLEAN(R323)))</f>
        <v>West</v>
      </c>
      <c r="T323" t="s">
        <v>249</v>
      </c>
      <c r="U323" t="str">
        <f t="shared" ref="U323:U386" si="96">TRIM(PROPER(CLEAN(T323)))</f>
        <v>Goa</v>
      </c>
      <c r="V323" t="s">
        <v>250</v>
      </c>
      <c r="W323" t="str">
        <f t="shared" ref="W323:W386" si="97">TRIM(PROPER(CLEAN(V323)))</f>
        <v>Panaji</v>
      </c>
      <c r="X323" t="s">
        <v>86</v>
      </c>
      <c r="Y323" t="str">
        <f t="shared" ref="Y323:Y386" si="98">TRIM(PROPER(CLEAN(X323)))</f>
        <v>Technology</v>
      </c>
      <c r="Z323" t="s">
        <v>87</v>
      </c>
      <c r="AA323" t="str">
        <f t="shared" ref="AA323:AA386" si="99">TRIM(PROPER(CLEAN(Z323)))</f>
        <v>Accessories</v>
      </c>
      <c r="AB323" t="s">
        <v>1639</v>
      </c>
      <c r="AC323" t="s">
        <v>48</v>
      </c>
      <c r="AD323" t="str">
        <f t="shared" ref="AD323:AD386" si="100">TRIM(PROPER(CLEAN(AC323)))</f>
        <v>Same Day</v>
      </c>
      <c r="AE323">
        <v>4</v>
      </c>
      <c r="AF323">
        <v>674.82</v>
      </c>
      <c r="AG323">
        <v>0</v>
      </c>
      <c r="AH323">
        <v>0</v>
      </c>
      <c r="AI323" t="str">
        <f t="shared" ref="AI323:AI386" si="101">IF(AG323="","Missing Discount",IF(AG323&lt;0,"Invalid - Negative Discount",IF(AG323&gt;1,"Invalid - Above Range","Valid")))</f>
        <v>Valid</v>
      </c>
      <c r="AJ323">
        <v>2699.28</v>
      </c>
      <c r="AK323">
        <f t="shared" ref="AK323:AK386" si="102">AE323*AF323*(1-AH323)</f>
        <v>2699.28</v>
      </c>
      <c r="AL323">
        <v>1759.76</v>
      </c>
      <c r="AM323">
        <v>939.52</v>
      </c>
      <c r="AN323">
        <f t="shared" ref="AN323:AN386" si="103">AK323-AL323</f>
        <v>939.52000000000021</v>
      </c>
      <c r="AO323">
        <f t="shared" ref="AO323:AO386" si="104">AN323-AK323</f>
        <v>-1759.76</v>
      </c>
      <c r="AP323" t="s">
        <v>200</v>
      </c>
      <c r="AQ323" t="str">
        <f t="shared" ref="AQ323:AQ386" si="105">TRIM(PROPER(CLEAN(AP323)))</f>
        <v>Failed</v>
      </c>
      <c r="AR323" t="s">
        <v>78</v>
      </c>
      <c r="AS323" t="str">
        <f t="shared" ref="AS323:AS386" si="106">TRIM(PROPER(CLEAN(AR323)))</f>
        <v>Cancelled</v>
      </c>
      <c r="AT323" t="str">
        <f t="shared" ref="AT323:AT386" si="107">IF(OR(AH323="Unknown",AJ323="Unknown",AM323="Unknown",A323="Unknown"),"Needs Review","Clean")</f>
        <v>Clean</v>
      </c>
    </row>
    <row r="324" spans="1:46">
      <c r="A324" t="s">
        <v>1640</v>
      </c>
      <c r="B324">
        <f>COUNTIF($D$2:D324,D324)</f>
        <v>2</v>
      </c>
      <c r="C324" t="str">
        <f>IF(COUNTIF($A:$A,A324)=1,
"Unique",
IF(COUNTIFS($A:$A,A324,$N:$N,N324,$AF:$AF,AF324,$AJ:$AJ,AJ324)&gt;1,
"Exact Duplicate",
"Conflicting Duplicate"))</f>
        <v>Unique</v>
      </c>
      <c r="D324" t="s">
        <v>1536</v>
      </c>
      <c r="E324" t="s">
        <v>1641</v>
      </c>
      <c r="F324" s="3">
        <v>45637</v>
      </c>
      <c r="G324" s="3">
        <v>45637</v>
      </c>
      <c r="H324" s="5" t="str">
        <f t="shared" si="90"/>
        <v>December</v>
      </c>
      <c r="I324" s="5">
        <f t="shared" si="91"/>
        <v>2024</v>
      </c>
      <c r="J324" t="str">
        <f>IF(F324="","Missing Date",
IF(ISNUMBER(F324),"Valid","Invalid Date"))</f>
        <v>Valid</v>
      </c>
      <c r="K324" t="str">
        <f t="shared" si="92"/>
        <v>Valid</v>
      </c>
      <c r="L324">
        <f>G324-F324</f>
        <v>0</v>
      </c>
      <c r="M324" t="s">
        <v>1642</v>
      </c>
      <c r="N324" t="s">
        <v>53</v>
      </c>
      <c r="O324" t="str">
        <f t="shared" si="93"/>
        <v>Isha Nair</v>
      </c>
      <c r="P324" t="s">
        <v>26</v>
      </c>
      <c r="Q324" t="str">
        <f t="shared" si="94"/>
        <v>Consumer</v>
      </c>
      <c r="R324" t="s">
        <v>27</v>
      </c>
      <c r="S324" t="str">
        <f t="shared" si="95"/>
        <v>North</v>
      </c>
      <c r="T324" t="s">
        <v>174</v>
      </c>
      <c r="U324" t="str">
        <f t="shared" si="96"/>
        <v>Uttar Pradesh</v>
      </c>
      <c r="V324" t="s">
        <v>175</v>
      </c>
      <c r="W324" t="str">
        <f t="shared" si="97"/>
        <v>Noida</v>
      </c>
      <c r="X324" t="s">
        <v>86</v>
      </c>
      <c r="Y324" t="str">
        <f t="shared" si="98"/>
        <v>Technology</v>
      </c>
      <c r="Z324" t="s">
        <v>223</v>
      </c>
      <c r="AA324" t="str">
        <f t="shared" si="99"/>
        <v>Phones</v>
      </c>
      <c r="AB324" t="s">
        <v>1643</v>
      </c>
      <c r="AC324" t="s">
        <v>33</v>
      </c>
      <c r="AD324" t="str">
        <f t="shared" si="100"/>
        <v>Second Class</v>
      </c>
      <c r="AE324">
        <v>6</v>
      </c>
      <c r="AF324">
        <v>1369.48</v>
      </c>
      <c r="AG324">
        <v>0.15</v>
      </c>
      <c r="AH324">
        <v>0.15</v>
      </c>
      <c r="AI324" t="str">
        <f t="shared" si="101"/>
        <v>Valid</v>
      </c>
      <c r="AJ324">
        <v>6984.35</v>
      </c>
      <c r="AK324">
        <f t="shared" si="102"/>
        <v>6984.3480000000009</v>
      </c>
      <c r="AL324">
        <v>4023.63</v>
      </c>
      <c r="AM324">
        <v>2960.72</v>
      </c>
      <c r="AN324">
        <f t="shared" si="103"/>
        <v>2960.7180000000008</v>
      </c>
      <c r="AO324">
        <f t="shared" si="104"/>
        <v>-4023.63</v>
      </c>
      <c r="AP324" t="s">
        <v>34</v>
      </c>
      <c r="AQ324" t="str">
        <f t="shared" si="105"/>
        <v>Paid</v>
      </c>
      <c r="AR324" t="s">
        <v>35</v>
      </c>
      <c r="AS324" t="str">
        <f t="shared" si="106"/>
        <v>Completed</v>
      </c>
      <c r="AT324" t="str">
        <f t="shared" si="107"/>
        <v>Clean</v>
      </c>
    </row>
    <row r="325" spans="1:46">
      <c r="A325" t="s">
        <v>1644</v>
      </c>
      <c r="B325">
        <f>COUNTIF($D$2:D325,D325)</f>
        <v>1</v>
      </c>
      <c r="C325" t="str">
        <f>IF(COUNTIF($A:$A,A325)=1,
"Unique",
IF(COUNTIFS($A:$A,A325,$N:$N,N325,$AF:$AF,AF325,$AJ:$AJ,AJ325)&gt;1,
"Exact Duplicate",
"Conflicting Duplicate"))</f>
        <v>Unique</v>
      </c>
      <c r="D325" t="s">
        <v>1645</v>
      </c>
      <c r="E325" t="s">
        <v>1646</v>
      </c>
      <c r="F325" s="3">
        <v>45347</v>
      </c>
      <c r="G325" s="2">
        <v>45351</v>
      </c>
      <c r="H325" s="5" t="str">
        <f t="shared" si="90"/>
        <v>February</v>
      </c>
      <c r="I325" s="5">
        <f t="shared" si="91"/>
        <v>2024</v>
      </c>
      <c r="J325" t="str">
        <f>IF(F325="","Missing Date",
IF(ISNUMBER(F325),"Valid","Invalid Date"))</f>
        <v>Valid</v>
      </c>
      <c r="K325" t="str">
        <f t="shared" si="92"/>
        <v>Valid</v>
      </c>
      <c r="L325">
        <f>G325-F325</f>
        <v>4</v>
      </c>
      <c r="M325" t="s">
        <v>1647</v>
      </c>
      <c r="N325" t="s">
        <v>53</v>
      </c>
      <c r="O325" t="str">
        <f t="shared" si="93"/>
        <v>Isha Nair</v>
      </c>
      <c r="P325" t="s">
        <v>41</v>
      </c>
      <c r="Q325" t="str">
        <f t="shared" si="94"/>
        <v>Small Business</v>
      </c>
      <c r="R325" t="s">
        <v>73</v>
      </c>
      <c r="S325" t="str">
        <f t="shared" si="95"/>
        <v>West</v>
      </c>
      <c r="T325" t="s">
        <v>249</v>
      </c>
      <c r="U325" t="str">
        <f t="shared" si="96"/>
        <v>Goa</v>
      </c>
      <c r="V325" t="s">
        <v>250</v>
      </c>
      <c r="W325" t="str">
        <f t="shared" si="97"/>
        <v>Panaji</v>
      </c>
      <c r="X325" t="s">
        <v>45</v>
      </c>
      <c r="Y325" t="str">
        <f t="shared" si="98"/>
        <v>Furniture</v>
      </c>
      <c r="Z325" t="s">
        <v>65</v>
      </c>
      <c r="AA325" t="str">
        <f t="shared" si="99"/>
        <v>Furnishings</v>
      </c>
      <c r="AB325" t="s">
        <v>193</v>
      </c>
      <c r="AC325" t="s">
        <v>67</v>
      </c>
      <c r="AD325" t="str">
        <f t="shared" si="100"/>
        <v>Standard Class</v>
      </c>
      <c r="AE325">
        <v>9</v>
      </c>
      <c r="AF325">
        <v>1331.46</v>
      </c>
      <c r="AG325">
        <v>0.15</v>
      </c>
      <c r="AH325">
        <v>0.15</v>
      </c>
      <c r="AI325" t="str">
        <f t="shared" si="101"/>
        <v>Valid</v>
      </c>
      <c r="AJ325">
        <v>10185.67</v>
      </c>
      <c r="AK325">
        <f t="shared" si="102"/>
        <v>10185.669</v>
      </c>
      <c r="AL325">
        <v>6479.31</v>
      </c>
      <c r="AM325">
        <v>3706.36</v>
      </c>
      <c r="AN325">
        <f t="shared" si="103"/>
        <v>3706.3589999999995</v>
      </c>
      <c r="AO325">
        <f t="shared" si="104"/>
        <v>-6479.31</v>
      </c>
      <c r="AP325" t="s">
        <v>34</v>
      </c>
      <c r="AQ325" t="str">
        <f t="shared" si="105"/>
        <v>Paid</v>
      </c>
      <c r="AR325" t="s">
        <v>35</v>
      </c>
      <c r="AS325" t="str">
        <f t="shared" si="106"/>
        <v>Completed</v>
      </c>
      <c r="AT325" t="str">
        <f t="shared" si="107"/>
        <v>Clean</v>
      </c>
    </row>
    <row r="326" spans="1:46">
      <c r="A326" t="s">
        <v>1648</v>
      </c>
      <c r="B326">
        <f>COUNTIF($D$2:D326,D326)</f>
        <v>1</v>
      </c>
      <c r="C326" t="str">
        <f>IF(COUNTIF($A:$A,A326)=1,
"Unique",
IF(COUNTIFS($A:$A,A326,$N:$N,N326,$AF:$AF,AF326,$AJ:$AJ,AJ326)&gt;1,
"Exact Duplicate",
"Conflicting Duplicate"))</f>
        <v>Unique</v>
      </c>
      <c r="D326" t="s">
        <v>1649</v>
      </c>
      <c r="E326" t="s">
        <v>943</v>
      </c>
      <c r="F326" s="2">
        <v>45869</v>
      </c>
      <c r="G326" s="3">
        <v>45696</v>
      </c>
      <c r="H326" s="5" t="str">
        <f t="shared" si="90"/>
        <v>July</v>
      </c>
      <c r="I326" s="5">
        <f t="shared" si="91"/>
        <v>2025</v>
      </c>
      <c r="J326" t="str">
        <f>IF(F326="","Missing Date",
IF(ISNUMBER(F326),"Valid","Invalid Date"))</f>
        <v>Valid</v>
      </c>
      <c r="K326" t="str">
        <f t="shared" si="92"/>
        <v>Valid</v>
      </c>
      <c r="L326">
        <f>G326-F326</f>
        <v>-173</v>
      </c>
      <c r="M326" t="s">
        <v>1650</v>
      </c>
      <c r="N326" t="s">
        <v>180</v>
      </c>
      <c r="O326" t="str">
        <f t="shared" si="93"/>
        <v>Rohan Mehta</v>
      </c>
      <c r="P326" t="s">
        <v>115</v>
      </c>
      <c r="Q326" t="str">
        <f t="shared" si="94"/>
        <v>Home Office</v>
      </c>
      <c r="R326" t="s">
        <v>62</v>
      </c>
      <c r="S326" t="str">
        <f t="shared" si="95"/>
        <v>South</v>
      </c>
      <c r="T326" t="s">
        <v>100</v>
      </c>
      <c r="U326" t="str">
        <f t="shared" si="96"/>
        <v>Andhra Pradesh</v>
      </c>
      <c r="V326" t="s">
        <v>101</v>
      </c>
      <c r="W326" t="str">
        <f t="shared" si="97"/>
        <v>Vijayawada</v>
      </c>
      <c r="X326" t="s">
        <v>30</v>
      </c>
      <c r="Y326" t="str">
        <f t="shared" si="98"/>
        <v>Office Supplies</v>
      </c>
      <c r="Z326" t="s">
        <v>109</v>
      </c>
      <c r="AA326" t="str">
        <f t="shared" si="99"/>
        <v>Labels</v>
      </c>
      <c r="AB326" t="s">
        <v>1651</v>
      </c>
      <c r="AC326" t="s">
        <v>48</v>
      </c>
      <c r="AD326" t="str">
        <f t="shared" si="100"/>
        <v>Same Day</v>
      </c>
      <c r="AE326">
        <v>1</v>
      </c>
      <c r="AF326">
        <v>1947.88</v>
      </c>
      <c r="AG326">
        <v>0.15</v>
      </c>
      <c r="AH326">
        <v>0.15</v>
      </c>
      <c r="AI326" t="str">
        <f t="shared" si="101"/>
        <v>Valid</v>
      </c>
      <c r="AJ326">
        <v>1655.7</v>
      </c>
      <c r="AK326">
        <f t="shared" si="102"/>
        <v>1655.6980000000001</v>
      </c>
      <c r="AL326">
        <v>1354.8</v>
      </c>
      <c r="AM326">
        <v>300.89999999999998</v>
      </c>
      <c r="AN326">
        <f t="shared" si="103"/>
        <v>300.89800000000014</v>
      </c>
      <c r="AO326">
        <f t="shared" si="104"/>
        <v>-1354.8</v>
      </c>
      <c r="AP326" t="s">
        <v>34</v>
      </c>
      <c r="AQ326" t="str">
        <f t="shared" si="105"/>
        <v>Paid</v>
      </c>
      <c r="AR326" t="s">
        <v>125</v>
      </c>
      <c r="AS326" t="str">
        <f t="shared" si="106"/>
        <v>Returned</v>
      </c>
      <c r="AT326" t="str">
        <f t="shared" si="107"/>
        <v>Clean</v>
      </c>
    </row>
    <row r="327" spans="1:46">
      <c r="A327" t="s">
        <v>1652</v>
      </c>
      <c r="B327">
        <f>COUNTIF($D$2:D327,D327)</f>
        <v>1</v>
      </c>
      <c r="C327" t="str">
        <f>IF(COUNTIF($A:$A,A327)=1,
"Unique",
IF(COUNTIFS($A:$A,A327,$N:$N,N327,$AF:$AF,AF327,$AJ:$AJ,AJ327)&gt;1,
"Exact Duplicate",
"Conflicting Duplicate"))</f>
        <v>Unique</v>
      </c>
      <c r="D327" t="s">
        <v>1653</v>
      </c>
      <c r="E327" t="s">
        <v>1654</v>
      </c>
      <c r="F327" s="3">
        <v>45916</v>
      </c>
      <c r="G327" s="3">
        <v>45922</v>
      </c>
      <c r="H327" s="5" t="str">
        <f t="shared" si="90"/>
        <v>September</v>
      </c>
      <c r="I327" s="5">
        <f t="shared" si="91"/>
        <v>2025</v>
      </c>
      <c r="J327" t="str">
        <f>IF(F327="","Missing Date",
IF(ISNUMBER(F327),"Valid","Invalid Date"))</f>
        <v>Valid</v>
      </c>
      <c r="K327" t="str">
        <f t="shared" si="92"/>
        <v>Valid</v>
      </c>
      <c r="L327">
        <f>G327-F327</f>
        <v>6</v>
      </c>
      <c r="M327" t="s">
        <v>1655</v>
      </c>
      <c r="N327" t="s">
        <v>168</v>
      </c>
      <c r="O327" t="str">
        <f t="shared" si="93"/>
        <v>Sneha Kapoor</v>
      </c>
      <c r="P327" t="s">
        <v>115</v>
      </c>
      <c r="Q327" t="str">
        <f t="shared" si="94"/>
        <v>Home Office</v>
      </c>
      <c r="R327" t="s">
        <v>42</v>
      </c>
      <c r="S327" t="str">
        <f t="shared" si="95"/>
        <v>East</v>
      </c>
      <c r="T327" t="s">
        <v>121</v>
      </c>
      <c r="U327" t="str">
        <f t="shared" si="96"/>
        <v>West Bengal</v>
      </c>
      <c r="V327" t="s">
        <v>122</v>
      </c>
      <c r="W327" t="str">
        <f t="shared" si="97"/>
        <v>Kolkata</v>
      </c>
      <c r="X327" t="s">
        <v>86</v>
      </c>
      <c r="Y327" t="str">
        <f t="shared" si="98"/>
        <v>Technology</v>
      </c>
      <c r="Z327" t="s">
        <v>94</v>
      </c>
      <c r="AA327" t="str">
        <f t="shared" si="99"/>
        <v>Copiers</v>
      </c>
      <c r="AB327" t="s">
        <v>1656</v>
      </c>
      <c r="AC327" t="s">
        <v>33</v>
      </c>
      <c r="AD327" t="str">
        <f t="shared" si="100"/>
        <v>Second Class</v>
      </c>
      <c r="AE327">
        <v>5</v>
      </c>
      <c r="AF327">
        <v>3671.2</v>
      </c>
      <c r="AG327">
        <v>0.15</v>
      </c>
      <c r="AH327">
        <v>0.15</v>
      </c>
      <c r="AI327" t="str">
        <f t="shared" si="101"/>
        <v>Valid</v>
      </c>
      <c r="AJ327">
        <v>15602.6</v>
      </c>
      <c r="AK327">
        <f t="shared" si="102"/>
        <v>15602.6</v>
      </c>
      <c r="AL327">
        <v>11908.52</v>
      </c>
      <c r="AM327">
        <v>3694.08</v>
      </c>
      <c r="AN327">
        <f t="shared" si="103"/>
        <v>3694.08</v>
      </c>
      <c r="AO327">
        <f t="shared" si="104"/>
        <v>-11908.52</v>
      </c>
      <c r="AP327" t="s">
        <v>34</v>
      </c>
      <c r="AQ327" t="str">
        <f t="shared" si="105"/>
        <v>Paid</v>
      </c>
      <c r="AR327" t="s">
        <v>35</v>
      </c>
      <c r="AS327" t="str">
        <f t="shared" si="106"/>
        <v>Completed</v>
      </c>
      <c r="AT327" t="str">
        <f t="shared" si="107"/>
        <v>Clean</v>
      </c>
    </row>
    <row r="328" spans="1:46">
      <c r="A328" t="s">
        <v>1657</v>
      </c>
      <c r="B328">
        <f>COUNTIF($D$2:D328,D328)</f>
        <v>2</v>
      </c>
      <c r="C328" t="str">
        <f>IF(COUNTIF($A:$A,A328)=1,
"Unique",
IF(COUNTIFS($A:$A,A328,$N:$N,N328,$AF:$AF,AF328,$AJ:$AJ,AJ328)&gt;1,
"Exact Duplicate",
"Conflicting Duplicate"))</f>
        <v>Unique</v>
      </c>
      <c r="D328" t="s">
        <v>1658</v>
      </c>
      <c r="E328" t="s">
        <v>1512</v>
      </c>
      <c r="F328" s="3">
        <v>45860</v>
      </c>
      <c r="G328" s="3">
        <v>45860</v>
      </c>
      <c r="H328" s="5" t="str">
        <f t="shared" si="90"/>
        <v>July</v>
      </c>
      <c r="I328" s="5">
        <f t="shared" si="91"/>
        <v>2025</v>
      </c>
      <c r="J328" t="str">
        <f>IF(F328="","Missing Date",
IF(ISNUMBER(F328),"Valid","Invalid Date"))</f>
        <v>Valid</v>
      </c>
      <c r="K328" t="str">
        <f t="shared" si="92"/>
        <v>Valid</v>
      </c>
      <c r="L328">
        <f>G328-F328</f>
        <v>0</v>
      </c>
      <c r="M328" t="s">
        <v>1659</v>
      </c>
      <c r="N328" t="s">
        <v>168</v>
      </c>
      <c r="O328" t="str">
        <f t="shared" si="93"/>
        <v>Sneha Kapoor</v>
      </c>
      <c r="P328" t="s">
        <v>108</v>
      </c>
      <c r="Q328" t="str">
        <f t="shared" si="94"/>
        <v>Corporate</v>
      </c>
      <c r="R328" t="s">
        <v>42</v>
      </c>
      <c r="S328" t="str">
        <f t="shared" si="95"/>
        <v>East</v>
      </c>
      <c r="T328" t="s">
        <v>311</v>
      </c>
      <c r="U328" t="str">
        <f t="shared" si="96"/>
        <v>Jharkhand</v>
      </c>
      <c r="V328" t="s">
        <v>312</v>
      </c>
      <c r="W328" t="str">
        <f t="shared" si="97"/>
        <v>Ranchi</v>
      </c>
      <c r="X328" t="s">
        <v>45</v>
      </c>
      <c r="Y328" t="str">
        <f t="shared" si="98"/>
        <v>Furniture</v>
      </c>
      <c r="Z328" t="s">
        <v>65</v>
      </c>
      <c r="AA328" t="str">
        <f t="shared" si="99"/>
        <v>Furnishings</v>
      </c>
      <c r="AB328" t="s">
        <v>1660</v>
      </c>
      <c r="AC328" t="s">
        <v>48</v>
      </c>
      <c r="AD328" t="str">
        <f t="shared" si="100"/>
        <v>Same Day</v>
      </c>
      <c r="AE328">
        <v>5</v>
      </c>
      <c r="AF328">
        <v>3187.05</v>
      </c>
      <c r="AG328">
        <v>0.05</v>
      </c>
      <c r="AH328">
        <v>0.05</v>
      </c>
      <c r="AI328" t="str">
        <f t="shared" si="101"/>
        <v>Valid</v>
      </c>
      <c r="AJ328">
        <v>15138.49</v>
      </c>
      <c r="AK328">
        <f t="shared" si="102"/>
        <v>15138.487499999999</v>
      </c>
      <c r="AL328">
        <v>11235.72</v>
      </c>
      <c r="AM328">
        <v>3902.77</v>
      </c>
      <c r="AN328">
        <f t="shared" si="103"/>
        <v>3902.7674999999999</v>
      </c>
      <c r="AO328">
        <f t="shared" si="104"/>
        <v>-11235.72</v>
      </c>
      <c r="AP328" t="s">
        <v>34</v>
      </c>
      <c r="AQ328" t="str">
        <f t="shared" si="105"/>
        <v>Paid</v>
      </c>
      <c r="AR328" t="s">
        <v>35</v>
      </c>
      <c r="AS328" t="str">
        <f t="shared" si="106"/>
        <v>Completed</v>
      </c>
      <c r="AT328" t="str">
        <f t="shared" si="107"/>
        <v>Clean</v>
      </c>
    </row>
    <row r="329" spans="1:46">
      <c r="A329" t="s">
        <v>1661</v>
      </c>
      <c r="B329">
        <f>COUNTIF($D$2:D329,D329)</f>
        <v>1</v>
      </c>
      <c r="C329" t="str">
        <f>IF(COUNTIF($A:$A,A329)=1,
"Unique",
IF(COUNTIFS($A:$A,A329,$N:$N,N329,$AF:$AF,AF329,$AJ:$AJ,AJ329)&gt;1,
"Exact Duplicate",
"Conflicting Duplicate"))</f>
        <v>Unique</v>
      </c>
      <c r="D329" t="s">
        <v>1662</v>
      </c>
      <c r="E329" t="s">
        <v>264</v>
      </c>
      <c r="F329" s="3">
        <v>45497</v>
      </c>
      <c r="G329" s="3">
        <v>45500</v>
      </c>
      <c r="H329" s="5" t="str">
        <f t="shared" si="90"/>
        <v>July</v>
      </c>
      <c r="I329" s="5">
        <f t="shared" si="91"/>
        <v>2024</v>
      </c>
      <c r="J329" t="str">
        <f>IF(F329="","Missing Date",
IF(ISNUMBER(F329),"Valid","Invalid Date"))</f>
        <v>Valid</v>
      </c>
      <c r="K329" t="str">
        <f t="shared" si="92"/>
        <v>Valid</v>
      </c>
      <c r="L329">
        <f>G329-F329</f>
        <v>3</v>
      </c>
      <c r="M329" t="s">
        <v>1663</v>
      </c>
      <c r="N329" t="s">
        <v>53</v>
      </c>
      <c r="O329" t="str">
        <f t="shared" si="93"/>
        <v>Isha Nair</v>
      </c>
      <c r="P329" t="s">
        <v>26</v>
      </c>
      <c r="Q329" t="str">
        <f t="shared" si="94"/>
        <v>Consumer</v>
      </c>
      <c r="R329" t="s">
        <v>73</v>
      </c>
      <c r="S329" t="str">
        <f t="shared" si="95"/>
        <v>West</v>
      </c>
      <c r="T329" t="s">
        <v>28</v>
      </c>
      <c r="U329" t="str">
        <f t="shared" si="96"/>
        <v>Rajasthan</v>
      </c>
      <c r="V329" t="s">
        <v>135</v>
      </c>
      <c r="W329" t="str">
        <f t="shared" si="97"/>
        <v>Udaipur</v>
      </c>
      <c r="X329" t="s">
        <v>86</v>
      </c>
      <c r="Y329" t="str">
        <f t="shared" si="98"/>
        <v>Technology</v>
      </c>
      <c r="Z329" t="s">
        <v>87</v>
      </c>
      <c r="AA329" t="str">
        <f t="shared" si="99"/>
        <v>Accessories</v>
      </c>
      <c r="AB329" t="s">
        <v>1664</v>
      </c>
      <c r="AC329" t="s">
        <v>33</v>
      </c>
      <c r="AD329" t="str">
        <f t="shared" si="100"/>
        <v>Second Class</v>
      </c>
      <c r="AE329">
        <v>3</v>
      </c>
      <c r="AF329">
        <v>1834.55</v>
      </c>
      <c r="AG329">
        <v>0.2</v>
      </c>
      <c r="AH329">
        <v>0.2</v>
      </c>
      <c r="AI329" t="str">
        <f t="shared" si="101"/>
        <v>Valid</v>
      </c>
      <c r="AJ329">
        <v>4402.92</v>
      </c>
      <c r="AK329">
        <f t="shared" si="102"/>
        <v>4402.92</v>
      </c>
      <c r="AL329">
        <v>2993.94</v>
      </c>
      <c r="AM329">
        <v>1408.98</v>
      </c>
      <c r="AN329">
        <f t="shared" si="103"/>
        <v>1408.98</v>
      </c>
      <c r="AO329">
        <f t="shared" si="104"/>
        <v>-2993.94</v>
      </c>
      <c r="AP329" t="s">
        <v>137</v>
      </c>
      <c r="AQ329" t="str">
        <f t="shared" si="105"/>
        <v>Pending</v>
      </c>
      <c r="AR329" t="s">
        <v>78</v>
      </c>
      <c r="AS329" t="str">
        <f t="shared" si="106"/>
        <v>Cancelled</v>
      </c>
      <c r="AT329" t="str">
        <f t="shared" si="107"/>
        <v>Clean</v>
      </c>
    </row>
    <row r="330" spans="1:46">
      <c r="A330" t="s">
        <v>1665</v>
      </c>
      <c r="B330">
        <f>COUNTIF($D$2:D330,D330)</f>
        <v>1</v>
      </c>
      <c r="C330" t="str">
        <f>IF(COUNTIF($A:$A,A330)=1,
"Unique",
IF(COUNTIFS($A:$A,A330,$N:$N,N330,$AF:$AF,AF330,$AJ:$AJ,AJ330)&gt;1,
"Exact Duplicate",
"Conflicting Duplicate"))</f>
        <v>Unique</v>
      </c>
      <c r="D330" t="s">
        <v>1666</v>
      </c>
      <c r="E330" t="s">
        <v>1432</v>
      </c>
      <c r="F330" s="3">
        <v>45806</v>
      </c>
      <c r="G330" s="2">
        <v>45753</v>
      </c>
      <c r="H330" s="5" t="str">
        <f t="shared" si="90"/>
        <v>May</v>
      </c>
      <c r="I330" s="5">
        <f t="shared" si="91"/>
        <v>2025</v>
      </c>
      <c r="J330" t="str">
        <f>IF(F330="","Missing Date",
IF(ISNUMBER(F330),"Valid","Invalid Date"))</f>
        <v>Valid</v>
      </c>
      <c r="K330" t="str">
        <f t="shared" si="92"/>
        <v>Valid</v>
      </c>
      <c r="L330">
        <f>G330-F330</f>
        <v>-53</v>
      </c>
      <c r="M330" t="s">
        <v>1667</v>
      </c>
      <c r="N330" t="s">
        <v>210</v>
      </c>
      <c r="O330" t="str">
        <f t="shared" si="93"/>
        <v>Diya Patel</v>
      </c>
      <c r="P330" t="s">
        <v>26</v>
      </c>
      <c r="Q330" t="str">
        <f t="shared" si="94"/>
        <v>Consumer</v>
      </c>
      <c r="R330" t="s">
        <v>73</v>
      </c>
      <c r="S330" t="str">
        <f t="shared" si="95"/>
        <v>West</v>
      </c>
      <c r="T330" t="s">
        <v>74</v>
      </c>
      <c r="U330" t="str">
        <f t="shared" si="96"/>
        <v>Maharashtra</v>
      </c>
      <c r="V330" t="s">
        <v>75</v>
      </c>
      <c r="W330" t="str">
        <f t="shared" si="97"/>
        <v>Mumbai</v>
      </c>
      <c r="X330" t="s">
        <v>30</v>
      </c>
      <c r="Y330" t="str">
        <f t="shared" si="98"/>
        <v>Office Supplies</v>
      </c>
      <c r="Z330" t="s">
        <v>156</v>
      </c>
      <c r="AA330" t="str">
        <f t="shared" si="99"/>
        <v>Storage</v>
      </c>
      <c r="AB330" t="s">
        <v>1668</v>
      </c>
      <c r="AC330" t="s">
        <v>56</v>
      </c>
      <c r="AD330" t="str">
        <f t="shared" si="100"/>
        <v>First Class</v>
      </c>
      <c r="AE330">
        <v>6</v>
      </c>
      <c r="AF330">
        <v>3100.68</v>
      </c>
      <c r="AG330">
        <v>0</v>
      </c>
      <c r="AH330">
        <v>0</v>
      </c>
      <c r="AI330" t="str">
        <f t="shared" si="101"/>
        <v>Valid</v>
      </c>
      <c r="AJ330">
        <v>18604.080000000002</v>
      </c>
      <c r="AK330">
        <f t="shared" si="102"/>
        <v>18604.079999999998</v>
      </c>
      <c r="AL330">
        <v>15834.3</v>
      </c>
      <c r="AM330">
        <v>2769.78</v>
      </c>
      <c r="AN330">
        <f t="shared" si="103"/>
        <v>2769.7799999999988</v>
      </c>
      <c r="AO330">
        <f t="shared" si="104"/>
        <v>-15834.3</v>
      </c>
      <c r="AP330" t="s">
        <v>34</v>
      </c>
      <c r="AQ330" t="str">
        <f t="shared" si="105"/>
        <v>Paid</v>
      </c>
      <c r="AR330" t="s">
        <v>35</v>
      </c>
      <c r="AS330" t="str">
        <f t="shared" si="106"/>
        <v>Completed</v>
      </c>
      <c r="AT330" t="str">
        <f t="shared" si="107"/>
        <v>Clean</v>
      </c>
    </row>
    <row r="331" spans="1:46">
      <c r="A331" t="s">
        <v>1669</v>
      </c>
      <c r="B331">
        <f>COUNTIF($D$2:D331,D331)</f>
        <v>1</v>
      </c>
      <c r="C331" t="str">
        <f>IF(COUNTIF($A:$A,A331)=1,
"Unique",
IF(COUNTIFS($A:$A,A331,$N:$N,N331,$AF:$AF,AF331,$AJ:$AJ,AJ331)&gt;1,
"Exact Duplicate",
"Conflicting Duplicate"))</f>
        <v>Unique</v>
      </c>
      <c r="D331" t="s">
        <v>1670</v>
      </c>
      <c r="E331" t="s">
        <v>1671</v>
      </c>
      <c r="F331" s="2">
        <v>45996</v>
      </c>
      <c r="G331" s="3">
        <v>45795</v>
      </c>
      <c r="H331" s="5" t="str">
        <f t="shared" si="90"/>
        <v>December</v>
      </c>
      <c r="I331" s="5">
        <f t="shared" si="91"/>
        <v>2025</v>
      </c>
      <c r="J331" t="str">
        <f>IF(F331="","Missing Date",
IF(ISNUMBER(F331),"Valid","Invalid Date"))</f>
        <v>Valid</v>
      </c>
      <c r="K331" t="str">
        <f t="shared" si="92"/>
        <v>Valid</v>
      </c>
      <c r="L331">
        <f>G331-F331</f>
        <v>-201</v>
      </c>
      <c r="M331" t="s">
        <v>1672</v>
      </c>
      <c r="N331" t="s">
        <v>93</v>
      </c>
      <c r="O331" t="str">
        <f t="shared" si="93"/>
        <v>Neha Gupta</v>
      </c>
      <c r="P331" t="s">
        <v>41</v>
      </c>
      <c r="Q331" t="str">
        <f t="shared" si="94"/>
        <v>Small Business</v>
      </c>
      <c r="R331" t="s">
        <v>73</v>
      </c>
      <c r="S331" t="str">
        <f t="shared" si="95"/>
        <v>West</v>
      </c>
      <c r="T331" t="s">
        <v>74</v>
      </c>
      <c r="U331" t="str">
        <f t="shared" si="96"/>
        <v>Maharashtra</v>
      </c>
      <c r="V331" t="s">
        <v>75</v>
      </c>
      <c r="W331" t="str">
        <f t="shared" si="97"/>
        <v>Mumbai</v>
      </c>
      <c r="X331" t="s">
        <v>30</v>
      </c>
      <c r="Y331" t="str">
        <f t="shared" si="98"/>
        <v>Office Supplies</v>
      </c>
      <c r="Z331" t="s">
        <v>156</v>
      </c>
      <c r="AA331" t="str">
        <f t="shared" si="99"/>
        <v>Storage</v>
      </c>
      <c r="AB331" t="s">
        <v>1673</v>
      </c>
      <c r="AC331" t="s">
        <v>67</v>
      </c>
      <c r="AD331" t="str">
        <f t="shared" si="100"/>
        <v>Standard Class</v>
      </c>
      <c r="AE331">
        <v>4</v>
      </c>
      <c r="AF331">
        <v>4053.03</v>
      </c>
      <c r="AG331">
        <v>0.05</v>
      </c>
      <c r="AH331">
        <v>0.05</v>
      </c>
      <c r="AI331" t="str">
        <f t="shared" si="101"/>
        <v>Valid</v>
      </c>
      <c r="AJ331">
        <v>15401.51</v>
      </c>
      <c r="AK331">
        <f t="shared" si="102"/>
        <v>15401.513999999999</v>
      </c>
      <c r="AL331">
        <v>8650.42</v>
      </c>
      <c r="AM331">
        <v>6751.09</v>
      </c>
      <c r="AN331">
        <f t="shared" si="103"/>
        <v>6751.0939999999991</v>
      </c>
      <c r="AO331">
        <f t="shared" si="104"/>
        <v>-8650.42</v>
      </c>
      <c r="AP331" t="s">
        <v>34</v>
      </c>
      <c r="AQ331" t="str">
        <f t="shared" si="105"/>
        <v>Paid</v>
      </c>
      <c r="AR331" t="s">
        <v>35</v>
      </c>
      <c r="AS331" t="str">
        <f t="shared" si="106"/>
        <v>Completed</v>
      </c>
      <c r="AT331" t="str">
        <f t="shared" si="107"/>
        <v>Clean</v>
      </c>
    </row>
    <row r="332" spans="1:46">
      <c r="A332" t="s">
        <v>1674</v>
      </c>
      <c r="B332">
        <f>COUNTIF($D$2:D332,D332)</f>
        <v>2</v>
      </c>
      <c r="C332" t="str">
        <f>IF(COUNTIF($A:$A,A332)=1,
"Unique",
IF(COUNTIFS($A:$A,A332,$N:$N,N332,$AF:$AF,AF332,$AJ:$AJ,AJ332)&gt;1,
"Exact Duplicate",
"Conflicting Duplicate"))</f>
        <v>Unique</v>
      </c>
      <c r="D332" t="s">
        <v>1128</v>
      </c>
      <c r="E332" t="s">
        <v>709</v>
      </c>
      <c r="F332" s="3">
        <v>45428</v>
      </c>
      <c r="G332" s="3">
        <v>45436</v>
      </c>
      <c r="H332" s="5" t="str">
        <f t="shared" si="90"/>
        <v>May</v>
      </c>
      <c r="I332" s="5">
        <f t="shared" si="91"/>
        <v>2024</v>
      </c>
      <c r="J332" t="str">
        <f>IF(F332="","Missing Date",
IF(ISNUMBER(F332),"Valid","Invalid Date"))</f>
        <v>Valid</v>
      </c>
      <c r="K332" t="str">
        <f t="shared" si="92"/>
        <v>Valid</v>
      </c>
      <c r="L332">
        <f>G332-F332</f>
        <v>8</v>
      </c>
      <c r="M332" t="s">
        <v>1675</v>
      </c>
      <c r="N332" t="s">
        <v>61</v>
      </c>
      <c r="O332" t="str">
        <f t="shared" si="93"/>
        <v>Arjun Bose</v>
      </c>
      <c r="P332" t="s">
        <v>115</v>
      </c>
      <c r="Q332" t="str">
        <f t="shared" si="94"/>
        <v>Home Office</v>
      </c>
      <c r="R332" t="s">
        <v>27</v>
      </c>
      <c r="S332" t="str">
        <f t="shared" si="95"/>
        <v>North</v>
      </c>
      <c r="T332" t="s">
        <v>154</v>
      </c>
      <c r="U332" t="str">
        <f t="shared" si="96"/>
        <v>Punjab</v>
      </c>
      <c r="V332" t="s">
        <v>155</v>
      </c>
      <c r="W332" t="str">
        <f t="shared" si="97"/>
        <v>Ludhiana</v>
      </c>
      <c r="X332" t="s">
        <v>86</v>
      </c>
      <c r="Y332" t="str">
        <f t="shared" si="98"/>
        <v>Technology</v>
      </c>
      <c r="Z332" t="s">
        <v>87</v>
      </c>
      <c r="AA332" t="str">
        <f t="shared" si="99"/>
        <v>Accessories</v>
      </c>
      <c r="AB332" t="s">
        <v>1676</v>
      </c>
      <c r="AC332" t="s">
        <v>48</v>
      </c>
      <c r="AD332" t="str">
        <f t="shared" si="100"/>
        <v>Same Day</v>
      </c>
      <c r="AE332">
        <v>1</v>
      </c>
      <c r="AF332">
        <v>783.09</v>
      </c>
      <c r="AG332">
        <v>0</v>
      </c>
      <c r="AH332">
        <v>0</v>
      </c>
      <c r="AI332" t="str">
        <f t="shared" si="101"/>
        <v>Valid</v>
      </c>
      <c r="AJ332">
        <v>783.09</v>
      </c>
      <c r="AK332">
        <f t="shared" si="102"/>
        <v>783.09</v>
      </c>
      <c r="AL332">
        <v>503.89</v>
      </c>
      <c r="AM332">
        <v>279.2</v>
      </c>
      <c r="AN332">
        <f t="shared" si="103"/>
        <v>279.20000000000005</v>
      </c>
      <c r="AO332">
        <f t="shared" si="104"/>
        <v>-503.89</v>
      </c>
      <c r="AP332" t="s">
        <v>200</v>
      </c>
      <c r="AQ332" t="str">
        <f t="shared" si="105"/>
        <v>Failed</v>
      </c>
      <c r="AR332" t="s">
        <v>78</v>
      </c>
      <c r="AS332" t="str">
        <f t="shared" si="106"/>
        <v>Cancelled</v>
      </c>
      <c r="AT332" t="str">
        <f t="shared" si="107"/>
        <v>Clean</v>
      </c>
    </row>
    <row r="333" spans="1:46">
      <c r="A333" t="s">
        <v>1677</v>
      </c>
      <c r="B333">
        <f>COUNTIF($D$2:D333,D333)</f>
        <v>1</v>
      </c>
      <c r="C333" t="str">
        <f>IF(COUNTIF($A:$A,A333)=1,
"Unique",
IF(COUNTIFS($A:$A,A333,$N:$N,N333,$AF:$AF,AF333,$AJ:$AJ,AJ333)&gt;1,
"Exact Duplicate",
"Conflicting Duplicate"))</f>
        <v>Conflicting Duplicate</v>
      </c>
      <c r="D333" t="s">
        <v>705</v>
      </c>
      <c r="E333" t="s">
        <v>1678</v>
      </c>
      <c r="F333" s="3">
        <v>45394</v>
      </c>
      <c r="G333" s="3">
        <v>45455</v>
      </c>
      <c r="H333" s="5" t="str">
        <f t="shared" si="90"/>
        <v>April</v>
      </c>
      <c r="I333" s="5">
        <f t="shared" si="91"/>
        <v>2024</v>
      </c>
      <c r="J333" t="str">
        <f>IF(F333="","Missing Date",
IF(ISNUMBER(F333),"Valid","Invalid Date"))</f>
        <v>Valid</v>
      </c>
      <c r="K333" t="str">
        <f t="shared" si="92"/>
        <v>Valid</v>
      </c>
      <c r="L333">
        <f>G333-F333</f>
        <v>61</v>
      </c>
      <c r="M333" t="s">
        <v>1679</v>
      </c>
      <c r="N333" t="s">
        <v>168</v>
      </c>
      <c r="O333" t="str">
        <f t="shared" si="93"/>
        <v>Sneha Kapoor</v>
      </c>
      <c r="P333" t="s">
        <v>115</v>
      </c>
      <c r="Q333" t="str">
        <f t="shared" si="94"/>
        <v>Home Office</v>
      </c>
      <c r="R333" t="s">
        <v>42</v>
      </c>
      <c r="S333" t="str">
        <f t="shared" si="95"/>
        <v>East</v>
      </c>
      <c r="T333" t="s">
        <v>43</v>
      </c>
      <c r="U333" t="str">
        <f t="shared" si="96"/>
        <v>Odisha</v>
      </c>
      <c r="V333" t="s">
        <v>44</v>
      </c>
      <c r="W333" t="str">
        <f t="shared" si="97"/>
        <v>Bhubaneswar</v>
      </c>
      <c r="X333" t="s">
        <v>30</v>
      </c>
      <c r="Y333" t="str">
        <f t="shared" si="98"/>
        <v>Office Supplies</v>
      </c>
      <c r="Z333" t="s">
        <v>198</v>
      </c>
      <c r="AA333" t="str">
        <f t="shared" si="99"/>
        <v>Binders</v>
      </c>
      <c r="AB333" t="s">
        <v>1680</v>
      </c>
      <c r="AC333" t="s">
        <v>33</v>
      </c>
      <c r="AD333" t="str">
        <f t="shared" si="100"/>
        <v>Second Class</v>
      </c>
      <c r="AE333">
        <v>4</v>
      </c>
      <c r="AF333">
        <v>2685.66</v>
      </c>
      <c r="AG333">
        <v>0</v>
      </c>
      <c r="AH333">
        <v>0</v>
      </c>
      <c r="AI333" t="str">
        <f t="shared" si="101"/>
        <v>Valid</v>
      </c>
      <c r="AJ333">
        <v>10742.64</v>
      </c>
      <c r="AK333">
        <f t="shared" si="102"/>
        <v>10742.64</v>
      </c>
      <c r="AL333">
        <v>6477.37</v>
      </c>
      <c r="AM333">
        <v>4265.2700000000004</v>
      </c>
      <c r="AN333">
        <f t="shared" si="103"/>
        <v>4265.2699999999995</v>
      </c>
      <c r="AO333">
        <f t="shared" si="104"/>
        <v>-6477.37</v>
      </c>
      <c r="AP333" t="s">
        <v>34</v>
      </c>
      <c r="AQ333" t="str">
        <f t="shared" si="105"/>
        <v>Paid</v>
      </c>
      <c r="AR333" t="s">
        <v>125</v>
      </c>
      <c r="AS333" t="str">
        <f t="shared" si="106"/>
        <v>Returned</v>
      </c>
      <c r="AT333" t="str">
        <f t="shared" si="107"/>
        <v>Clean</v>
      </c>
    </row>
    <row r="334" spans="1:46">
      <c r="A334" t="s">
        <v>1681</v>
      </c>
      <c r="B334">
        <f>COUNTIF($D$2:D334,D334)</f>
        <v>1</v>
      </c>
      <c r="C334" t="str">
        <f>IF(COUNTIF($A:$A,A334)=1,
"Unique",
IF(COUNTIFS($A:$A,A334,$N:$N,N334,$AF:$AF,AF334,$AJ:$AJ,AJ334)&gt;1,
"Exact Duplicate",
"Conflicting Duplicate"))</f>
        <v>Unique</v>
      </c>
      <c r="D334" t="s">
        <v>1682</v>
      </c>
      <c r="E334" t="s">
        <v>1683</v>
      </c>
      <c r="F334" s="2">
        <v>45804</v>
      </c>
      <c r="G334" s="3">
        <v>45805</v>
      </c>
      <c r="H334" s="5" t="str">
        <f t="shared" si="90"/>
        <v>May</v>
      </c>
      <c r="I334" s="5">
        <f t="shared" si="91"/>
        <v>2025</v>
      </c>
      <c r="J334" t="str">
        <f>IF(F334="","Missing Date",
IF(ISNUMBER(F334),"Valid","Invalid Date"))</f>
        <v>Valid</v>
      </c>
      <c r="K334" t="str">
        <f t="shared" si="92"/>
        <v>Valid</v>
      </c>
      <c r="L334">
        <f>G334-F334</f>
        <v>1</v>
      </c>
      <c r="M334" t="s">
        <v>1684</v>
      </c>
      <c r="N334" t="s">
        <v>162</v>
      </c>
      <c r="O334" t="str">
        <f t="shared" si="93"/>
        <v>Aarav Sharma</v>
      </c>
      <c r="P334" t="s">
        <v>26</v>
      </c>
      <c r="Q334" t="str">
        <f t="shared" si="94"/>
        <v>Consumer</v>
      </c>
      <c r="R334" t="s">
        <v>62</v>
      </c>
      <c r="S334" t="str">
        <f t="shared" si="95"/>
        <v>South</v>
      </c>
      <c r="T334" t="s">
        <v>100</v>
      </c>
      <c r="U334" t="str">
        <f t="shared" si="96"/>
        <v>Andhra Pradesh</v>
      </c>
      <c r="V334" t="s">
        <v>101</v>
      </c>
      <c r="W334" t="str">
        <f t="shared" si="97"/>
        <v>Vijayawada</v>
      </c>
      <c r="X334" t="s">
        <v>86</v>
      </c>
      <c r="Y334" t="str">
        <f t="shared" si="98"/>
        <v>Technology</v>
      </c>
      <c r="Z334" t="s">
        <v>1685</v>
      </c>
      <c r="AA334" t="str">
        <f t="shared" si="99"/>
        <v>Machines</v>
      </c>
      <c r="AB334" t="s">
        <v>1686</v>
      </c>
      <c r="AC334" t="s">
        <v>33</v>
      </c>
      <c r="AD334" t="str">
        <f t="shared" si="100"/>
        <v>Second Class</v>
      </c>
      <c r="AE334">
        <v>2</v>
      </c>
      <c r="AF334">
        <v>3911.96</v>
      </c>
      <c r="AG334">
        <v>0</v>
      </c>
      <c r="AH334">
        <v>0</v>
      </c>
      <c r="AI334" t="str">
        <f t="shared" si="101"/>
        <v>Valid</v>
      </c>
      <c r="AJ334">
        <v>7823.92</v>
      </c>
      <c r="AK334">
        <f t="shared" si="102"/>
        <v>7823.92</v>
      </c>
      <c r="AL334">
        <v>6034.63</v>
      </c>
      <c r="AM334">
        <v>1789.29</v>
      </c>
      <c r="AN334">
        <f t="shared" si="103"/>
        <v>1789.29</v>
      </c>
      <c r="AO334">
        <f t="shared" si="104"/>
        <v>-6034.63</v>
      </c>
      <c r="AP334" t="s">
        <v>34</v>
      </c>
      <c r="AQ334" t="str">
        <f t="shared" si="105"/>
        <v>Paid</v>
      </c>
      <c r="AR334" t="s">
        <v>35</v>
      </c>
      <c r="AS334" t="str">
        <f t="shared" si="106"/>
        <v>Completed</v>
      </c>
      <c r="AT334" t="str">
        <f t="shared" si="107"/>
        <v>Clean</v>
      </c>
    </row>
    <row r="335" spans="1:46">
      <c r="A335" t="s">
        <v>1687</v>
      </c>
      <c r="B335">
        <f>COUNTIF($D$2:D335,D335)</f>
        <v>1</v>
      </c>
      <c r="C335" t="str">
        <f>IF(COUNTIF($A:$A,A335)=1,
"Unique",
IF(COUNTIFS($A:$A,A335,$N:$N,N335,$AF:$AF,AF335,$AJ:$AJ,AJ335)&gt;1,
"Exact Duplicate",
"Conflicting Duplicate"))</f>
        <v>Unique</v>
      </c>
      <c r="D335" t="s">
        <v>1688</v>
      </c>
      <c r="E335" t="s">
        <v>1689</v>
      </c>
      <c r="F335" s="2">
        <v>45830</v>
      </c>
      <c r="G335" s="3">
        <v>45835</v>
      </c>
      <c r="H335" s="5" t="str">
        <f t="shared" si="90"/>
        <v>June</v>
      </c>
      <c r="I335" s="5">
        <f t="shared" si="91"/>
        <v>2025</v>
      </c>
      <c r="J335" t="str">
        <f>IF(F335="","Missing Date",
IF(ISNUMBER(F335),"Valid","Invalid Date"))</f>
        <v>Valid</v>
      </c>
      <c r="K335" t="str">
        <f t="shared" si="92"/>
        <v>Valid</v>
      </c>
      <c r="L335">
        <f>G335-F335</f>
        <v>5</v>
      </c>
      <c r="M335" t="s">
        <v>1690</v>
      </c>
      <c r="N335" t="s">
        <v>180</v>
      </c>
      <c r="O335" t="str">
        <f t="shared" si="93"/>
        <v>Rohan Mehta</v>
      </c>
      <c r="P335" t="s">
        <v>115</v>
      </c>
      <c r="Q335" t="str">
        <f t="shared" si="94"/>
        <v>Home Office</v>
      </c>
      <c r="R335" t="s">
        <v>4104</v>
      </c>
      <c r="S335" t="s">
        <v>4104</v>
      </c>
      <c r="T335" t="s">
        <v>506</v>
      </c>
      <c r="U335" t="str">
        <f t="shared" si="96"/>
        <v>Delhi</v>
      </c>
      <c r="V335" t="s">
        <v>507</v>
      </c>
      <c r="W335" t="str">
        <f t="shared" si="97"/>
        <v>New Delhi</v>
      </c>
      <c r="X335" t="s">
        <v>86</v>
      </c>
      <c r="Y335" t="str">
        <f t="shared" si="98"/>
        <v>Technology</v>
      </c>
      <c r="Z335" t="s">
        <v>223</v>
      </c>
      <c r="AA335" t="str">
        <f t="shared" si="99"/>
        <v>Phones</v>
      </c>
      <c r="AB335" t="s">
        <v>1691</v>
      </c>
      <c r="AC335" t="s">
        <v>56</v>
      </c>
      <c r="AD335" t="str">
        <f t="shared" si="100"/>
        <v>First Class</v>
      </c>
      <c r="AE335">
        <v>2</v>
      </c>
      <c r="AF335">
        <v>1468.05</v>
      </c>
      <c r="AG335">
        <v>0</v>
      </c>
      <c r="AH335">
        <v>0</v>
      </c>
      <c r="AI335" t="str">
        <f t="shared" si="101"/>
        <v>Valid</v>
      </c>
      <c r="AJ335">
        <v>2936.1</v>
      </c>
      <c r="AK335">
        <f t="shared" si="102"/>
        <v>2936.1</v>
      </c>
      <c r="AL335">
        <v>1923.1</v>
      </c>
      <c r="AM335">
        <v>1013</v>
      </c>
      <c r="AN335">
        <f t="shared" si="103"/>
        <v>1013</v>
      </c>
      <c r="AO335">
        <f t="shared" si="104"/>
        <v>-1923.1</v>
      </c>
      <c r="AP335" t="s">
        <v>34</v>
      </c>
      <c r="AQ335" t="str">
        <f t="shared" si="105"/>
        <v>Paid</v>
      </c>
      <c r="AR335" t="s">
        <v>35</v>
      </c>
      <c r="AS335" t="str">
        <f t="shared" si="106"/>
        <v>Completed</v>
      </c>
      <c r="AT335" t="str">
        <f t="shared" si="107"/>
        <v>Clean</v>
      </c>
    </row>
    <row r="336" spans="1:46">
      <c r="A336" t="s">
        <v>1692</v>
      </c>
      <c r="B336">
        <f>COUNTIF($D$2:D336,D336)</f>
        <v>2</v>
      </c>
      <c r="C336" t="str">
        <f>IF(COUNTIF($A:$A,A336)=1,
"Unique",
IF(COUNTIFS($A:$A,A336,$N:$N,N336,$AF:$AF,AF336,$AJ:$AJ,AJ336)&gt;1,
"Exact Duplicate",
"Conflicting Duplicate"))</f>
        <v>Unique</v>
      </c>
      <c r="D336" t="s">
        <v>1693</v>
      </c>
      <c r="E336" t="s">
        <v>1694</v>
      </c>
      <c r="F336" s="2">
        <v>45635</v>
      </c>
      <c r="G336" s="3">
        <v>45552</v>
      </c>
      <c r="H336" s="5" t="str">
        <f t="shared" si="90"/>
        <v>December</v>
      </c>
      <c r="I336" s="5">
        <f t="shared" si="91"/>
        <v>2024</v>
      </c>
      <c r="J336" t="str">
        <f>IF(F336="","Missing Date",
IF(ISNUMBER(F336),"Valid","Invalid Date"))</f>
        <v>Valid</v>
      </c>
      <c r="K336" t="str">
        <f t="shared" si="92"/>
        <v>Valid</v>
      </c>
      <c r="L336">
        <f>G336-F336</f>
        <v>-83</v>
      </c>
      <c r="M336" t="s">
        <v>1695</v>
      </c>
      <c r="N336" t="s">
        <v>72</v>
      </c>
      <c r="O336" t="str">
        <f t="shared" si="93"/>
        <v>Ananya Rao</v>
      </c>
      <c r="P336" t="s">
        <v>26</v>
      </c>
      <c r="Q336" t="str">
        <f t="shared" si="94"/>
        <v>Consumer</v>
      </c>
      <c r="R336" t="s">
        <v>42</v>
      </c>
      <c r="S336" t="str">
        <f t="shared" si="95"/>
        <v>East</v>
      </c>
      <c r="T336" t="s">
        <v>311</v>
      </c>
      <c r="U336" t="str">
        <f t="shared" si="96"/>
        <v>Jharkhand</v>
      </c>
      <c r="V336" t="s">
        <v>312</v>
      </c>
      <c r="W336" t="str">
        <f t="shared" si="97"/>
        <v>Ranchi</v>
      </c>
      <c r="X336" t="s">
        <v>30</v>
      </c>
      <c r="Y336" t="str">
        <f t="shared" si="98"/>
        <v>Office Supplies</v>
      </c>
      <c r="Z336" t="s">
        <v>156</v>
      </c>
      <c r="AA336" t="str">
        <f t="shared" si="99"/>
        <v>Storage</v>
      </c>
      <c r="AB336" t="s">
        <v>1696</v>
      </c>
      <c r="AC336" t="s">
        <v>56</v>
      </c>
      <c r="AD336" t="str">
        <f t="shared" si="100"/>
        <v>First Class</v>
      </c>
      <c r="AE336">
        <v>9</v>
      </c>
      <c r="AF336">
        <v>1921.47</v>
      </c>
      <c r="AG336">
        <v>0.25</v>
      </c>
      <c r="AH336">
        <v>0.25</v>
      </c>
      <c r="AI336" t="str">
        <f t="shared" si="101"/>
        <v>Valid</v>
      </c>
      <c r="AJ336">
        <v>12969.92</v>
      </c>
      <c r="AK336">
        <f t="shared" si="102"/>
        <v>12969.922500000001</v>
      </c>
      <c r="AL336">
        <v>9398.4599999999991</v>
      </c>
      <c r="AM336">
        <v>3571.46</v>
      </c>
      <c r="AN336">
        <f t="shared" si="103"/>
        <v>3571.4625000000015</v>
      </c>
      <c r="AO336">
        <f t="shared" si="104"/>
        <v>-9398.4599999999991</v>
      </c>
      <c r="AP336" t="s">
        <v>34</v>
      </c>
      <c r="AQ336" t="str">
        <f t="shared" si="105"/>
        <v>Paid</v>
      </c>
      <c r="AR336" t="s">
        <v>35</v>
      </c>
      <c r="AS336" t="str">
        <f t="shared" si="106"/>
        <v>Completed</v>
      </c>
      <c r="AT336" t="str">
        <f t="shared" si="107"/>
        <v>Clean</v>
      </c>
    </row>
    <row r="337" spans="1:46">
      <c r="A337" t="s">
        <v>1697</v>
      </c>
      <c r="B337">
        <f>COUNTIF($D$2:D337,D337)</f>
        <v>1</v>
      </c>
      <c r="C337" t="str">
        <f>IF(COUNTIF($A:$A,A337)=1,
"Unique",
IF(COUNTIFS($A:$A,A337,$N:$N,N337,$AF:$AF,AF337,$AJ:$AJ,AJ337)&gt;1,
"Exact Duplicate",
"Conflicting Duplicate"))</f>
        <v>Conflicting Duplicate</v>
      </c>
      <c r="D337" t="s">
        <v>1698</v>
      </c>
      <c r="E337" t="s">
        <v>1699</v>
      </c>
      <c r="F337" s="3">
        <v>45824</v>
      </c>
      <c r="G337" s="2">
        <v>45826</v>
      </c>
      <c r="H337" s="5" t="str">
        <f t="shared" si="90"/>
        <v>June</v>
      </c>
      <c r="I337" s="5">
        <f t="shared" si="91"/>
        <v>2025</v>
      </c>
      <c r="J337" t="str">
        <f>IF(F337="","Missing Date",
IF(ISNUMBER(F337),"Valid","Invalid Date"))</f>
        <v>Valid</v>
      </c>
      <c r="K337" t="str">
        <f t="shared" si="92"/>
        <v>Valid</v>
      </c>
      <c r="L337">
        <f>G337-F337</f>
        <v>2</v>
      </c>
      <c r="M337" t="s">
        <v>1700</v>
      </c>
      <c r="N337" t="s">
        <v>148</v>
      </c>
      <c r="O337" t="str">
        <f t="shared" si="93"/>
        <v>Rahul Verma</v>
      </c>
      <c r="P337" t="s">
        <v>115</v>
      </c>
      <c r="Q337" t="str">
        <f t="shared" si="94"/>
        <v>Home Office</v>
      </c>
      <c r="R337" t="s">
        <v>73</v>
      </c>
      <c r="S337" t="str">
        <f t="shared" si="95"/>
        <v>West</v>
      </c>
      <c r="T337" t="s">
        <v>84</v>
      </c>
      <c r="U337" t="str">
        <f t="shared" si="96"/>
        <v>Madhya Pradesh</v>
      </c>
      <c r="V337" t="s">
        <v>85</v>
      </c>
      <c r="W337" t="str">
        <f t="shared" si="97"/>
        <v>Indore</v>
      </c>
      <c r="X337" t="s">
        <v>30</v>
      </c>
      <c r="Y337" t="str">
        <f t="shared" si="98"/>
        <v>Office Supplies</v>
      </c>
      <c r="Z337" t="s">
        <v>31</v>
      </c>
      <c r="AA337" t="str">
        <f t="shared" si="99"/>
        <v>Paper</v>
      </c>
      <c r="AB337" t="s">
        <v>1701</v>
      </c>
      <c r="AC337" t="s">
        <v>56</v>
      </c>
      <c r="AD337" t="str">
        <f t="shared" si="100"/>
        <v>First Class</v>
      </c>
      <c r="AE337">
        <v>3</v>
      </c>
      <c r="AF337">
        <v>4289.37</v>
      </c>
      <c r="AG337">
        <v>0.1</v>
      </c>
      <c r="AH337">
        <v>0.1</v>
      </c>
      <c r="AI337" t="str">
        <f t="shared" si="101"/>
        <v>Valid</v>
      </c>
      <c r="AJ337">
        <v>11581.3</v>
      </c>
      <c r="AK337">
        <f t="shared" si="102"/>
        <v>11581.299000000001</v>
      </c>
      <c r="AL337">
        <v>6829.43</v>
      </c>
      <c r="AM337">
        <v>4751.87</v>
      </c>
      <c r="AN337">
        <f t="shared" si="103"/>
        <v>4751.8690000000006</v>
      </c>
      <c r="AO337">
        <f t="shared" si="104"/>
        <v>-6829.43</v>
      </c>
      <c r="AP337" t="s">
        <v>34</v>
      </c>
      <c r="AQ337" t="str">
        <f t="shared" si="105"/>
        <v>Paid</v>
      </c>
      <c r="AR337" t="s">
        <v>35</v>
      </c>
      <c r="AS337" t="str">
        <f t="shared" si="106"/>
        <v>Completed</v>
      </c>
      <c r="AT337" t="str">
        <f t="shared" si="107"/>
        <v>Clean</v>
      </c>
    </row>
    <row r="338" spans="1:46">
      <c r="A338" t="s">
        <v>1702</v>
      </c>
      <c r="B338">
        <f>COUNTIF($D$2:D338,D338)</f>
        <v>2</v>
      </c>
      <c r="C338" t="str">
        <f>IF(COUNTIF($A:$A,A338)=1,
"Unique",
IF(COUNTIFS($A:$A,A338,$N:$N,N338,$AF:$AF,AF338,$AJ:$AJ,AJ338)&gt;1,
"Exact Duplicate",
"Conflicting Duplicate"))</f>
        <v>Unique</v>
      </c>
      <c r="D338" t="s">
        <v>304</v>
      </c>
      <c r="E338" t="s">
        <v>1703</v>
      </c>
      <c r="F338" s="3">
        <v>45368</v>
      </c>
      <c r="G338" s="3">
        <v>45372</v>
      </c>
      <c r="H338" s="5" t="str">
        <f t="shared" si="90"/>
        <v>March</v>
      </c>
      <c r="I338" s="5">
        <f t="shared" si="91"/>
        <v>2024</v>
      </c>
      <c r="J338" t="str">
        <f>IF(F338="","Missing Date",
IF(ISNUMBER(F338),"Valid","Invalid Date"))</f>
        <v>Valid</v>
      </c>
      <c r="K338" t="str">
        <f t="shared" si="92"/>
        <v>Valid</v>
      </c>
      <c r="L338">
        <f>G338-F338</f>
        <v>4</v>
      </c>
      <c r="M338" t="s">
        <v>1321</v>
      </c>
      <c r="N338" t="s">
        <v>162</v>
      </c>
      <c r="O338" t="str">
        <f t="shared" si="93"/>
        <v>Aarav Sharma</v>
      </c>
      <c r="P338" t="s">
        <v>26</v>
      </c>
      <c r="Q338" t="str">
        <f t="shared" si="94"/>
        <v>Consumer</v>
      </c>
      <c r="R338" t="s">
        <v>27</v>
      </c>
      <c r="S338" t="str">
        <f t="shared" si="95"/>
        <v>North</v>
      </c>
      <c r="T338" t="s">
        <v>28</v>
      </c>
      <c r="U338" t="str">
        <f t="shared" si="96"/>
        <v>Rajasthan</v>
      </c>
      <c r="V338" t="s">
        <v>29</v>
      </c>
      <c r="W338" t="str">
        <f t="shared" si="97"/>
        <v>Jaipur</v>
      </c>
      <c r="X338" t="s">
        <v>86</v>
      </c>
      <c r="Y338" t="str">
        <f t="shared" si="98"/>
        <v>Technology</v>
      </c>
      <c r="Z338" t="s">
        <v>94</v>
      </c>
      <c r="AA338" t="str">
        <f t="shared" si="99"/>
        <v>Copiers</v>
      </c>
      <c r="AB338" t="s">
        <v>1704</v>
      </c>
      <c r="AC338" t="s">
        <v>56</v>
      </c>
      <c r="AD338" t="str">
        <f t="shared" si="100"/>
        <v>First Class</v>
      </c>
      <c r="AE338">
        <v>8</v>
      </c>
      <c r="AF338">
        <v>1992.57</v>
      </c>
      <c r="AG338">
        <v>0</v>
      </c>
      <c r="AH338">
        <v>0</v>
      </c>
      <c r="AI338" t="str">
        <f t="shared" si="101"/>
        <v>Valid</v>
      </c>
      <c r="AJ338">
        <v>15940.56</v>
      </c>
      <c r="AK338">
        <f t="shared" si="102"/>
        <v>15940.56</v>
      </c>
      <c r="AL338">
        <v>12347.15</v>
      </c>
      <c r="AM338">
        <v>3593.41</v>
      </c>
      <c r="AN338">
        <f t="shared" si="103"/>
        <v>3593.41</v>
      </c>
      <c r="AO338">
        <f t="shared" si="104"/>
        <v>-12347.15</v>
      </c>
      <c r="AP338" t="s">
        <v>34</v>
      </c>
      <c r="AQ338" t="str">
        <f t="shared" si="105"/>
        <v>Paid</v>
      </c>
      <c r="AR338" t="s">
        <v>35</v>
      </c>
      <c r="AS338" t="str">
        <f t="shared" si="106"/>
        <v>Completed</v>
      </c>
      <c r="AT338" t="str">
        <f t="shared" si="107"/>
        <v>Clean</v>
      </c>
    </row>
    <row r="339" spans="1:46">
      <c r="A339" t="s">
        <v>1705</v>
      </c>
      <c r="B339">
        <f>COUNTIF($D$2:D339,D339)</f>
        <v>3</v>
      </c>
      <c r="C339" t="str">
        <f>IF(COUNTIF($A:$A,A339)=1,
"Unique",
IF(COUNTIFS($A:$A,A339,$N:$N,N339,$AF:$AF,AF339,$AJ:$AJ,AJ339)&gt;1,
"Exact Duplicate",
"Conflicting Duplicate"))</f>
        <v>Unique</v>
      </c>
      <c r="D339" t="s">
        <v>1706</v>
      </c>
      <c r="E339" t="s">
        <v>1707</v>
      </c>
      <c r="F339" s="2">
        <v>45634</v>
      </c>
      <c r="G339" s="2">
        <v>45522</v>
      </c>
      <c r="H339" s="5" t="str">
        <f t="shared" si="90"/>
        <v>December</v>
      </c>
      <c r="I339" s="5">
        <f t="shared" si="91"/>
        <v>2024</v>
      </c>
      <c r="J339" t="str">
        <f>IF(F339="","Missing Date",
IF(ISNUMBER(F339),"Valid","Invalid Date"))</f>
        <v>Valid</v>
      </c>
      <c r="K339" t="str">
        <f t="shared" si="92"/>
        <v>Valid</v>
      </c>
      <c r="L339">
        <f>G339-F339</f>
        <v>-112</v>
      </c>
      <c r="M339" t="s">
        <v>1708</v>
      </c>
      <c r="N339" t="s">
        <v>72</v>
      </c>
      <c r="O339" t="str">
        <f t="shared" si="93"/>
        <v>Ananya Rao</v>
      </c>
      <c r="P339" t="s">
        <v>26</v>
      </c>
      <c r="Q339" t="str">
        <f t="shared" si="94"/>
        <v>Consumer</v>
      </c>
      <c r="R339" t="s">
        <v>42</v>
      </c>
      <c r="S339" t="str">
        <f t="shared" si="95"/>
        <v>East</v>
      </c>
      <c r="T339" t="s">
        <v>216</v>
      </c>
      <c r="U339" t="str">
        <f t="shared" si="96"/>
        <v>Assam</v>
      </c>
      <c r="V339" t="s">
        <v>217</v>
      </c>
      <c r="W339" t="str">
        <f t="shared" si="97"/>
        <v>Guwahati</v>
      </c>
      <c r="X339" t="s">
        <v>30</v>
      </c>
      <c r="Y339" t="str">
        <f t="shared" si="98"/>
        <v>Office Supplies</v>
      </c>
      <c r="Z339" t="s">
        <v>109</v>
      </c>
      <c r="AA339" t="str">
        <f t="shared" si="99"/>
        <v>Labels</v>
      </c>
      <c r="AB339" t="s">
        <v>1709</v>
      </c>
      <c r="AC339" t="s">
        <v>48</v>
      </c>
      <c r="AD339" t="str">
        <f t="shared" si="100"/>
        <v>Same Day</v>
      </c>
      <c r="AE339">
        <v>6</v>
      </c>
      <c r="AF339">
        <v>1181.74</v>
      </c>
      <c r="AG339">
        <v>0</v>
      </c>
      <c r="AH339">
        <v>0</v>
      </c>
      <c r="AI339" t="str">
        <f t="shared" si="101"/>
        <v>Valid</v>
      </c>
      <c r="AJ339">
        <v>7090.44</v>
      </c>
      <c r="AK339">
        <f t="shared" si="102"/>
        <v>7090.4400000000005</v>
      </c>
      <c r="AL339">
        <v>5672.27</v>
      </c>
      <c r="AM339">
        <v>1262.8699999999999</v>
      </c>
      <c r="AN339">
        <f t="shared" si="103"/>
        <v>1418.17</v>
      </c>
      <c r="AO339">
        <f t="shared" si="104"/>
        <v>-5672.27</v>
      </c>
      <c r="AP339" t="s">
        <v>34</v>
      </c>
      <c r="AQ339" t="str">
        <f t="shared" si="105"/>
        <v>Paid</v>
      </c>
      <c r="AR339" t="s">
        <v>35</v>
      </c>
      <c r="AS339" t="str">
        <f t="shared" si="106"/>
        <v>Completed</v>
      </c>
      <c r="AT339" t="str">
        <f t="shared" si="107"/>
        <v>Clean</v>
      </c>
    </row>
    <row r="340" spans="1:46">
      <c r="A340" t="s">
        <v>1710</v>
      </c>
      <c r="B340">
        <f>COUNTIF($D$2:D340,D340)</f>
        <v>1</v>
      </c>
      <c r="C340" t="str">
        <f>IF(COUNTIF($A:$A,A340)=1,
"Unique",
IF(COUNTIFS($A:$A,A340,$N:$N,N340,$AF:$AF,AF340,$AJ:$AJ,AJ340)&gt;1,
"Exact Duplicate",
"Conflicting Duplicate"))</f>
        <v>Unique</v>
      </c>
      <c r="D340" t="s">
        <v>1711</v>
      </c>
      <c r="E340" t="s">
        <v>1464</v>
      </c>
      <c r="F340" s="3">
        <v>45516</v>
      </c>
      <c r="G340" s="3">
        <v>45634</v>
      </c>
      <c r="H340" s="5" t="str">
        <f t="shared" si="90"/>
        <v>August</v>
      </c>
      <c r="I340" s="5">
        <f t="shared" si="91"/>
        <v>2024</v>
      </c>
      <c r="J340" t="str">
        <f>IF(F340="","Missing Date",
IF(ISNUMBER(F340),"Valid","Invalid Date"))</f>
        <v>Valid</v>
      </c>
      <c r="K340" t="str">
        <f t="shared" si="92"/>
        <v>Valid</v>
      </c>
      <c r="L340">
        <f>G340-F340</f>
        <v>118</v>
      </c>
      <c r="M340" t="s">
        <v>1712</v>
      </c>
      <c r="N340" t="s">
        <v>61</v>
      </c>
      <c r="O340" t="str">
        <f t="shared" si="93"/>
        <v>Arjun Bose</v>
      </c>
      <c r="P340" t="s">
        <v>41</v>
      </c>
      <c r="Q340" t="str">
        <f t="shared" si="94"/>
        <v>Small Business</v>
      </c>
      <c r="R340" t="s">
        <v>62</v>
      </c>
      <c r="S340" t="str">
        <f t="shared" si="95"/>
        <v>South</v>
      </c>
      <c r="T340" t="s">
        <v>100</v>
      </c>
      <c r="U340" t="str">
        <f t="shared" si="96"/>
        <v>Andhra Pradesh</v>
      </c>
      <c r="V340" t="s">
        <v>101</v>
      </c>
      <c r="W340" t="str">
        <f t="shared" si="97"/>
        <v>Vijayawada</v>
      </c>
      <c r="X340" t="s">
        <v>86</v>
      </c>
      <c r="Y340" t="str">
        <f t="shared" si="98"/>
        <v>Technology</v>
      </c>
      <c r="Z340" t="s">
        <v>87</v>
      </c>
      <c r="AA340" t="str">
        <f t="shared" si="99"/>
        <v>Accessories</v>
      </c>
      <c r="AB340" t="s">
        <v>1713</v>
      </c>
      <c r="AC340" t="s">
        <v>56</v>
      </c>
      <c r="AD340" t="str">
        <f t="shared" si="100"/>
        <v>First Class</v>
      </c>
      <c r="AE340">
        <v>8</v>
      </c>
      <c r="AF340">
        <v>4402.3599999999997</v>
      </c>
      <c r="AG340">
        <v>0.25</v>
      </c>
      <c r="AH340">
        <v>0.25</v>
      </c>
      <c r="AI340" t="str">
        <f t="shared" si="101"/>
        <v>Valid</v>
      </c>
      <c r="AJ340">
        <v>26414.16</v>
      </c>
      <c r="AK340">
        <f t="shared" si="102"/>
        <v>26414.159999999996</v>
      </c>
      <c r="AL340">
        <v>21822.53</v>
      </c>
      <c r="AM340">
        <v>4591.63</v>
      </c>
      <c r="AN340">
        <f t="shared" si="103"/>
        <v>4591.6299999999974</v>
      </c>
      <c r="AO340">
        <f t="shared" si="104"/>
        <v>-21822.53</v>
      </c>
      <c r="AP340" t="s">
        <v>34</v>
      </c>
      <c r="AQ340" t="str">
        <f t="shared" si="105"/>
        <v>Paid</v>
      </c>
      <c r="AR340" t="s">
        <v>35</v>
      </c>
      <c r="AS340" t="str">
        <f t="shared" si="106"/>
        <v>Completed</v>
      </c>
      <c r="AT340" t="str">
        <f t="shared" si="107"/>
        <v>Clean</v>
      </c>
    </row>
    <row r="341" spans="1:46">
      <c r="A341" t="s">
        <v>1714</v>
      </c>
      <c r="B341">
        <f>COUNTIF($D$2:D341,D341)</f>
        <v>3</v>
      </c>
      <c r="C341" t="str">
        <f>IF(COUNTIF($A:$A,A341)=1,
"Unique",
IF(COUNTIFS($A:$A,A341,$N:$N,N341,$AF:$AF,AF341,$AJ:$AJ,AJ341)&gt;1,
"Exact Duplicate",
"Conflicting Duplicate"))</f>
        <v>Unique</v>
      </c>
      <c r="D341" t="s">
        <v>916</v>
      </c>
      <c r="E341" t="s">
        <v>1715</v>
      </c>
      <c r="F341" s="3">
        <v>45708</v>
      </c>
      <c r="G341" s="3">
        <v>45710</v>
      </c>
      <c r="H341" s="5" t="str">
        <f t="shared" si="90"/>
        <v>February</v>
      </c>
      <c r="I341" s="5">
        <f t="shared" si="91"/>
        <v>2025</v>
      </c>
      <c r="J341" t="str">
        <f>IF(F341="","Missing Date",
IF(ISNUMBER(F341),"Valid","Invalid Date"))</f>
        <v>Valid</v>
      </c>
      <c r="K341" t="str">
        <f t="shared" si="92"/>
        <v>Valid</v>
      </c>
      <c r="L341">
        <f>G341-F341</f>
        <v>2</v>
      </c>
      <c r="M341" t="s">
        <v>1716</v>
      </c>
      <c r="N341" t="s">
        <v>93</v>
      </c>
      <c r="O341" t="str">
        <f t="shared" si="93"/>
        <v>Neha Gupta</v>
      </c>
      <c r="P341" t="s">
        <v>108</v>
      </c>
      <c r="Q341" t="str">
        <f t="shared" si="94"/>
        <v>Corporate</v>
      </c>
      <c r="R341" t="s">
        <v>42</v>
      </c>
      <c r="S341" t="str">
        <f t="shared" si="95"/>
        <v>East</v>
      </c>
      <c r="T341" t="s">
        <v>311</v>
      </c>
      <c r="U341" t="str">
        <f t="shared" si="96"/>
        <v>Jharkhand</v>
      </c>
      <c r="V341" t="s">
        <v>312</v>
      </c>
      <c r="W341" t="str">
        <f t="shared" si="97"/>
        <v>Ranchi</v>
      </c>
      <c r="X341" t="s">
        <v>45</v>
      </c>
      <c r="Y341" t="str">
        <f t="shared" si="98"/>
        <v>Furniture</v>
      </c>
      <c r="Z341" t="s">
        <v>204</v>
      </c>
      <c r="AA341" t="str">
        <f t="shared" si="99"/>
        <v>Bookcases</v>
      </c>
      <c r="AB341" t="s">
        <v>1717</v>
      </c>
      <c r="AC341" t="s">
        <v>67</v>
      </c>
      <c r="AD341" t="str">
        <f t="shared" si="100"/>
        <v>Standard Class</v>
      </c>
      <c r="AE341">
        <v>8</v>
      </c>
      <c r="AF341">
        <v>3265.76</v>
      </c>
      <c r="AG341">
        <v>0.2</v>
      </c>
      <c r="AH341">
        <v>0.2</v>
      </c>
      <c r="AI341" t="str">
        <f t="shared" si="101"/>
        <v>Valid</v>
      </c>
      <c r="AJ341">
        <v>20900.86</v>
      </c>
      <c r="AK341">
        <f t="shared" si="102"/>
        <v>20900.864000000001</v>
      </c>
      <c r="AL341">
        <v>12513.14</v>
      </c>
      <c r="AM341">
        <v>8387.7199999999993</v>
      </c>
      <c r="AN341">
        <f t="shared" si="103"/>
        <v>8387.724000000002</v>
      </c>
      <c r="AO341">
        <f t="shared" si="104"/>
        <v>-12513.14</v>
      </c>
      <c r="AP341" t="s">
        <v>34</v>
      </c>
      <c r="AQ341" t="str">
        <f t="shared" si="105"/>
        <v>Paid</v>
      </c>
      <c r="AR341" t="s">
        <v>35</v>
      </c>
      <c r="AS341" t="str">
        <f t="shared" si="106"/>
        <v>Completed</v>
      </c>
      <c r="AT341" t="str">
        <f t="shared" si="107"/>
        <v>Clean</v>
      </c>
    </row>
    <row r="342" spans="1:46">
      <c r="A342" t="s">
        <v>1718</v>
      </c>
      <c r="B342">
        <f>COUNTIF($D$2:D342,D342)</f>
        <v>1</v>
      </c>
      <c r="C342" t="str">
        <f>IF(COUNTIF($A:$A,A342)=1,
"Unique",
IF(COUNTIFS($A:$A,A342,$N:$N,N342,$AF:$AF,AF342,$AJ:$AJ,AJ342)&gt;1,
"Exact Duplicate",
"Conflicting Duplicate"))</f>
        <v>Unique</v>
      </c>
      <c r="D342" t="s">
        <v>1719</v>
      </c>
      <c r="E342" t="s">
        <v>1720</v>
      </c>
      <c r="F342" s="2">
        <v>45312</v>
      </c>
      <c r="G342" s="3">
        <v>45320</v>
      </c>
      <c r="H342" s="5" t="str">
        <f t="shared" si="90"/>
        <v>January</v>
      </c>
      <c r="I342" s="5">
        <f t="shared" si="91"/>
        <v>2024</v>
      </c>
      <c r="J342" t="str">
        <f>IF(F342="","Missing Date",
IF(ISNUMBER(F342),"Valid","Invalid Date"))</f>
        <v>Valid</v>
      </c>
      <c r="K342" t="str">
        <f t="shared" si="92"/>
        <v>Valid</v>
      </c>
      <c r="L342">
        <f>G342-F342</f>
        <v>8</v>
      </c>
      <c r="M342" t="s">
        <v>1721</v>
      </c>
      <c r="N342" t="s">
        <v>93</v>
      </c>
      <c r="O342" t="str">
        <f t="shared" si="93"/>
        <v>Neha Gupta</v>
      </c>
      <c r="P342" t="s">
        <v>26</v>
      </c>
      <c r="Q342" t="str">
        <f t="shared" si="94"/>
        <v>Consumer</v>
      </c>
      <c r="R342" t="s">
        <v>62</v>
      </c>
      <c r="S342" t="str">
        <f t="shared" si="95"/>
        <v>South</v>
      </c>
      <c r="T342" t="s">
        <v>229</v>
      </c>
      <c r="U342" t="str">
        <f t="shared" si="96"/>
        <v>Karnataka</v>
      </c>
      <c r="V342" t="s">
        <v>230</v>
      </c>
      <c r="W342" t="str">
        <f t="shared" si="97"/>
        <v>Bengaluru</v>
      </c>
      <c r="X342" t="s">
        <v>30</v>
      </c>
      <c r="Y342" t="str">
        <f t="shared" si="98"/>
        <v>Office Supplies</v>
      </c>
      <c r="Z342" t="s">
        <v>198</v>
      </c>
      <c r="AA342" t="str">
        <f t="shared" si="99"/>
        <v>Binders</v>
      </c>
      <c r="AB342" t="s">
        <v>1722</v>
      </c>
      <c r="AC342" t="s">
        <v>67</v>
      </c>
      <c r="AD342" t="str">
        <f t="shared" si="100"/>
        <v>Standard Class</v>
      </c>
      <c r="AE342">
        <v>5</v>
      </c>
      <c r="AF342">
        <v>4058.08</v>
      </c>
      <c r="AG342">
        <v>0.1</v>
      </c>
      <c r="AH342">
        <v>0.1</v>
      </c>
      <c r="AI342" t="str">
        <f t="shared" si="101"/>
        <v>Valid</v>
      </c>
      <c r="AJ342">
        <v>18261.36</v>
      </c>
      <c r="AK342">
        <f t="shared" si="102"/>
        <v>18261.36</v>
      </c>
      <c r="AL342">
        <v>11399.94</v>
      </c>
      <c r="AM342">
        <v>6861.42</v>
      </c>
      <c r="AN342">
        <f t="shared" si="103"/>
        <v>6861.42</v>
      </c>
      <c r="AO342">
        <f t="shared" si="104"/>
        <v>-11399.94</v>
      </c>
      <c r="AP342" t="s">
        <v>34</v>
      </c>
      <c r="AQ342" t="str">
        <f t="shared" si="105"/>
        <v>Paid</v>
      </c>
      <c r="AR342" t="s">
        <v>35</v>
      </c>
      <c r="AS342" t="str">
        <f t="shared" si="106"/>
        <v>Completed</v>
      </c>
      <c r="AT342" t="str">
        <f t="shared" si="107"/>
        <v>Clean</v>
      </c>
    </row>
    <row r="343" spans="1:46">
      <c r="A343" t="s">
        <v>1723</v>
      </c>
      <c r="B343">
        <f>COUNTIF($D$2:D343,D343)</f>
        <v>1</v>
      </c>
      <c r="C343" t="str">
        <f>IF(COUNTIF($A:$A,A343)=1,
"Unique",
IF(COUNTIFS($A:$A,A343,$N:$N,N343,$AF:$AF,AF343,$AJ:$AJ,AJ343)&gt;1,
"Exact Duplicate",
"Conflicting Duplicate"))</f>
        <v>Unique</v>
      </c>
      <c r="D343" t="s">
        <v>1724</v>
      </c>
      <c r="E343" t="s">
        <v>1725</v>
      </c>
      <c r="F343" s="2">
        <v>45878</v>
      </c>
      <c r="G343" s="3">
        <v>45909</v>
      </c>
      <c r="H343" s="5" t="str">
        <f t="shared" si="90"/>
        <v>August</v>
      </c>
      <c r="I343" s="5">
        <f t="shared" si="91"/>
        <v>2025</v>
      </c>
      <c r="J343" t="str">
        <f>IF(F343="","Missing Date",
IF(ISNUMBER(F343),"Valid","Invalid Date"))</f>
        <v>Valid</v>
      </c>
      <c r="K343" t="str">
        <f t="shared" si="92"/>
        <v>Valid</v>
      </c>
      <c r="L343">
        <f>G343-F343</f>
        <v>31</v>
      </c>
      <c r="M343" t="s">
        <v>1726</v>
      </c>
      <c r="N343" t="s">
        <v>180</v>
      </c>
      <c r="O343" t="str">
        <f t="shared" si="93"/>
        <v>Rohan Mehta</v>
      </c>
      <c r="P343" t="s">
        <v>115</v>
      </c>
      <c r="Q343" t="str">
        <f t="shared" si="94"/>
        <v>Home Office</v>
      </c>
      <c r="R343" t="s">
        <v>73</v>
      </c>
      <c r="S343" t="str">
        <f t="shared" si="95"/>
        <v>West</v>
      </c>
      <c r="T343" t="s">
        <v>235</v>
      </c>
      <c r="U343" t="str">
        <f t="shared" si="96"/>
        <v>Gujarat</v>
      </c>
      <c r="V343" t="s">
        <v>236</v>
      </c>
      <c r="W343" t="str">
        <f t="shared" si="97"/>
        <v>Ahmedabad</v>
      </c>
      <c r="X343" t="s">
        <v>45</v>
      </c>
      <c r="Y343" t="str">
        <f t="shared" si="98"/>
        <v>Furniture</v>
      </c>
      <c r="Z343" t="s">
        <v>76</v>
      </c>
      <c r="AA343" t="str">
        <f t="shared" si="99"/>
        <v>Chairs</v>
      </c>
      <c r="AB343" t="s">
        <v>1727</v>
      </c>
      <c r="AC343" t="s">
        <v>33</v>
      </c>
      <c r="AD343" t="str">
        <f t="shared" si="100"/>
        <v>Second Class</v>
      </c>
      <c r="AE343">
        <v>2</v>
      </c>
      <c r="AF343">
        <v>3960.33</v>
      </c>
      <c r="AG343">
        <v>0.05</v>
      </c>
      <c r="AH343">
        <v>0.05</v>
      </c>
      <c r="AI343" t="str">
        <f t="shared" si="101"/>
        <v>Valid</v>
      </c>
      <c r="AJ343">
        <v>7524.63</v>
      </c>
      <c r="AK343">
        <f t="shared" si="102"/>
        <v>7524.6269999999995</v>
      </c>
      <c r="AL343">
        <v>6229.6</v>
      </c>
      <c r="AM343">
        <v>1295.03</v>
      </c>
      <c r="AN343">
        <f t="shared" si="103"/>
        <v>1295.0269999999991</v>
      </c>
      <c r="AO343">
        <f t="shared" si="104"/>
        <v>-6229.6</v>
      </c>
      <c r="AP343" t="s">
        <v>34</v>
      </c>
      <c r="AQ343" t="str">
        <f t="shared" si="105"/>
        <v>Paid</v>
      </c>
      <c r="AR343" t="s">
        <v>35</v>
      </c>
      <c r="AS343" t="str">
        <f t="shared" si="106"/>
        <v>Completed</v>
      </c>
      <c r="AT343" t="str">
        <f t="shared" si="107"/>
        <v>Clean</v>
      </c>
    </row>
    <row r="344" spans="1:46">
      <c r="A344" t="s">
        <v>1728</v>
      </c>
      <c r="B344">
        <f>COUNTIF($D$2:D344,D344)</f>
        <v>2</v>
      </c>
      <c r="C344" t="str">
        <f>IF(COUNTIF($A:$A,A344)=1,
"Unique",
IF(COUNTIFS($A:$A,A344,$N:$N,N344,$AF:$AF,AF344,$AJ:$AJ,AJ344)&gt;1,
"Exact Duplicate",
"Conflicting Duplicate"))</f>
        <v>Unique</v>
      </c>
      <c r="D344" t="s">
        <v>1729</v>
      </c>
      <c r="E344" t="s">
        <v>1730</v>
      </c>
      <c r="F344" s="3">
        <v>45862</v>
      </c>
      <c r="G344" s="3">
        <v>45665</v>
      </c>
      <c r="H344" s="5" t="str">
        <f t="shared" si="90"/>
        <v>July</v>
      </c>
      <c r="I344" s="5">
        <f t="shared" si="91"/>
        <v>2025</v>
      </c>
      <c r="J344" t="str">
        <f>IF(F344="","Missing Date",
IF(ISNUMBER(F344),"Valid","Invalid Date"))</f>
        <v>Valid</v>
      </c>
      <c r="K344" t="str">
        <f t="shared" si="92"/>
        <v>Valid</v>
      </c>
      <c r="L344">
        <f>G344-F344</f>
        <v>-197</v>
      </c>
      <c r="M344" t="s">
        <v>1731</v>
      </c>
      <c r="N344" t="s">
        <v>366</v>
      </c>
      <c r="O344" t="str">
        <f t="shared" si="93"/>
        <v>Kabir Singh</v>
      </c>
      <c r="P344" t="s">
        <v>41</v>
      </c>
      <c r="Q344" t="str">
        <f t="shared" si="94"/>
        <v>Small Business</v>
      </c>
      <c r="R344" t="s">
        <v>42</v>
      </c>
      <c r="S344" t="str">
        <f t="shared" si="95"/>
        <v>East</v>
      </c>
      <c r="T344" t="s">
        <v>311</v>
      </c>
      <c r="U344" t="str">
        <f t="shared" si="96"/>
        <v>Jharkhand</v>
      </c>
      <c r="V344" t="s">
        <v>312</v>
      </c>
      <c r="W344" t="str">
        <f t="shared" si="97"/>
        <v>Ranchi</v>
      </c>
      <c r="X344" t="s">
        <v>30</v>
      </c>
      <c r="Y344" t="str">
        <f t="shared" si="98"/>
        <v>Office Supplies</v>
      </c>
      <c r="Z344" t="s">
        <v>198</v>
      </c>
      <c r="AA344" t="str">
        <f t="shared" si="99"/>
        <v>Binders</v>
      </c>
      <c r="AB344" t="s">
        <v>1732</v>
      </c>
      <c r="AC344" t="s">
        <v>56</v>
      </c>
      <c r="AD344" t="str">
        <f t="shared" si="100"/>
        <v>First Class</v>
      </c>
      <c r="AE344">
        <v>8</v>
      </c>
      <c r="AF344">
        <v>1528.92</v>
      </c>
      <c r="AG344">
        <v>0</v>
      </c>
      <c r="AH344">
        <v>0</v>
      </c>
      <c r="AI344" t="str">
        <f t="shared" si="101"/>
        <v>Valid</v>
      </c>
      <c r="AJ344">
        <v>12231.36</v>
      </c>
      <c r="AK344">
        <f t="shared" si="102"/>
        <v>12231.36</v>
      </c>
      <c r="AL344">
        <v>8766.9</v>
      </c>
      <c r="AM344">
        <v>3464.46</v>
      </c>
      <c r="AN344">
        <f t="shared" si="103"/>
        <v>3464.4600000000009</v>
      </c>
      <c r="AO344">
        <f t="shared" si="104"/>
        <v>-8766.9</v>
      </c>
      <c r="AP344" t="s">
        <v>34</v>
      </c>
      <c r="AQ344" t="str">
        <f t="shared" si="105"/>
        <v>Paid</v>
      </c>
      <c r="AR344" t="s">
        <v>35</v>
      </c>
      <c r="AS344" t="str">
        <f t="shared" si="106"/>
        <v>Completed</v>
      </c>
      <c r="AT344" t="str">
        <f t="shared" si="107"/>
        <v>Clean</v>
      </c>
    </row>
    <row r="345" spans="1:46">
      <c r="A345" t="s">
        <v>1733</v>
      </c>
      <c r="B345">
        <f>COUNTIF($D$2:D345,D345)</f>
        <v>1</v>
      </c>
      <c r="C345" t="str">
        <f>IF(COUNTIF($A:$A,A345)=1,
"Unique",
IF(COUNTIFS($A:$A,A345,$N:$N,N345,$AF:$AF,AF345,$AJ:$AJ,AJ345)&gt;1,
"Exact Duplicate",
"Conflicting Duplicate"))</f>
        <v>Unique</v>
      </c>
      <c r="D345" t="s">
        <v>1734</v>
      </c>
      <c r="E345" t="s">
        <v>1191</v>
      </c>
      <c r="F345" s="3">
        <v>45933</v>
      </c>
      <c r="G345" s="2">
        <v>45879</v>
      </c>
      <c r="H345" s="5" t="str">
        <f t="shared" si="90"/>
        <v>October</v>
      </c>
      <c r="I345" s="5">
        <f t="shared" si="91"/>
        <v>2025</v>
      </c>
      <c r="J345" t="str">
        <f>IF(F345="","Missing Date",
IF(ISNUMBER(F345),"Valid","Invalid Date"))</f>
        <v>Valid</v>
      </c>
      <c r="K345" t="str">
        <f t="shared" si="92"/>
        <v>Valid</v>
      </c>
      <c r="L345">
        <f>G345-F345</f>
        <v>-54</v>
      </c>
      <c r="M345" t="s">
        <v>1735</v>
      </c>
      <c r="N345" t="s">
        <v>162</v>
      </c>
      <c r="O345" t="str">
        <f t="shared" si="93"/>
        <v>Aarav Sharma</v>
      </c>
      <c r="P345" t="s">
        <v>108</v>
      </c>
      <c r="Q345" t="str">
        <f t="shared" si="94"/>
        <v>Corporate</v>
      </c>
      <c r="R345" t="s">
        <v>73</v>
      </c>
      <c r="S345" t="str">
        <f t="shared" si="95"/>
        <v>West</v>
      </c>
      <c r="T345" t="s">
        <v>84</v>
      </c>
      <c r="U345" t="str">
        <f t="shared" si="96"/>
        <v>Madhya Pradesh</v>
      </c>
      <c r="V345" t="s">
        <v>85</v>
      </c>
      <c r="W345" t="str">
        <f t="shared" si="97"/>
        <v>Indore</v>
      </c>
      <c r="X345" t="s">
        <v>86</v>
      </c>
      <c r="Y345" t="str">
        <f t="shared" si="98"/>
        <v>Technology</v>
      </c>
      <c r="Z345" t="s">
        <v>382</v>
      </c>
      <c r="AA345" t="str">
        <f t="shared" si="99"/>
        <v>Machines</v>
      </c>
      <c r="AB345" t="s">
        <v>1736</v>
      </c>
      <c r="AC345" t="s">
        <v>48</v>
      </c>
      <c r="AD345" t="str">
        <f t="shared" si="100"/>
        <v>Same Day</v>
      </c>
      <c r="AE345">
        <v>9</v>
      </c>
      <c r="AF345">
        <v>3837</v>
      </c>
      <c r="AG345">
        <v>0.1</v>
      </c>
      <c r="AH345">
        <v>0.1</v>
      </c>
      <c r="AI345" t="str">
        <f t="shared" si="101"/>
        <v>Valid</v>
      </c>
      <c r="AJ345">
        <v>31079.7</v>
      </c>
      <c r="AK345">
        <f t="shared" si="102"/>
        <v>31079.7</v>
      </c>
      <c r="AL345">
        <v>17758.25</v>
      </c>
      <c r="AM345">
        <v>13321.45</v>
      </c>
      <c r="AN345">
        <f t="shared" si="103"/>
        <v>13321.45</v>
      </c>
      <c r="AO345">
        <f t="shared" si="104"/>
        <v>-17758.25</v>
      </c>
      <c r="AP345" t="s">
        <v>34</v>
      </c>
      <c r="AQ345" t="str">
        <f t="shared" si="105"/>
        <v>Paid</v>
      </c>
      <c r="AR345" t="s">
        <v>35</v>
      </c>
      <c r="AS345" t="str">
        <f t="shared" si="106"/>
        <v>Completed</v>
      </c>
      <c r="AT345" t="str">
        <f t="shared" si="107"/>
        <v>Clean</v>
      </c>
    </row>
    <row r="346" spans="1:46">
      <c r="A346" t="s">
        <v>1737</v>
      </c>
      <c r="B346">
        <f>COUNTIF($D$2:D346,D346)</f>
        <v>1</v>
      </c>
      <c r="C346" t="str">
        <f>IF(COUNTIF($A:$A,A346)=1,
"Unique",
IF(COUNTIFS($A:$A,A346,$N:$N,N346,$AF:$AF,AF346,$AJ:$AJ,AJ346)&gt;1,
"Exact Duplicate",
"Conflicting Duplicate"))</f>
        <v>Unique</v>
      </c>
      <c r="D346" t="s">
        <v>1507</v>
      </c>
      <c r="E346" t="s">
        <v>1507</v>
      </c>
      <c r="F346" s="3">
        <v>45599</v>
      </c>
      <c r="G346" s="3">
        <v>45599</v>
      </c>
      <c r="H346" s="5" t="str">
        <f t="shared" si="90"/>
        <v>November</v>
      </c>
      <c r="I346" s="5">
        <f t="shared" si="91"/>
        <v>2024</v>
      </c>
      <c r="J346" t="str">
        <f>IF(F346="","Missing Date",
IF(ISNUMBER(F346),"Valid","Invalid Date"))</f>
        <v>Valid</v>
      </c>
      <c r="K346" t="str">
        <f t="shared" si="92"/>
        <v>Valid</v>
      </c>
      <c r="L346">
        <f>G346-F346</f>
        <v>0</v>
      </c>
      <c r="M346" t="s">
        <v>1738</v>
      </c>
      <c r="N346" t="s">
        <v>142</v>
      </c>
      <c r="O346" t="str">
        <f t="shared" si="93"/>
        <v>Priya Menon</v>
      </c>
      <c r="P346" t="s">
        <v>26</v>
      </c>
      <c r="Q346" t="str">
        <f t="shared" si="94"/>
        <v>Consumer</v>
      </c>
      <c r="R346" t="s">
        <v>27</v>
      </c>
      <c r="S346" t="str">
        <f t="shared" si="95"/>
        <v>North</v>
      </c>
      <c r="T346" t="s">
        <v>154</v>
      </c>
      <c r="U346" t="str">
        <f t="shared" si="96"/>
        <v>Punjab</v>
      </c>
      <c r="V346" t="s">
        <v>155</v>
      </c>
      <c r="W346" t="str">
        <f t="shared" si="97"/>
        <v>Ludhiana</v>
      </c>
      <c r="X346" t="s">
        <v>45</v>
      </c>
      <c r="Y346" t="str">
        <f t="shared" si="98"/>
        <v>Furniture</v>
      </c>
      <c r="Z346" t="s">
        <v>204</v>
      </c>
      <c r="AA346" t="str">
        <f t="shared" si="99"/>
        <v>Bookcases</v>
      </c>
      <c r="AB346" t="s">
        <v>1739</v>
      </c>
      <c r="AC346" t="s">
        <v>48</v>
      </c>
      <c r="AD346" t="str">
        <f t="shared" si="100"/>
        <v>Same Day</v>
      </c>
      <c r="AE346">
        <v>9</v>
      </c>
      <c r="AF346">
        <v>3456.38</v>
      </c>
      <c r="AG346">
        <v>0</v>
      </c>
      <c r="AH346">
        <v>0</v>
      </c>
      <c r="AI346" t="str">
        <f t="shared" si="101"/>
        <v>Valid</v>
      </c>
      <c r="AJ346">
        <v>31107.42</v>
      </c>
      <c r="AK346">
        <f t="shared" si="102"/>
        <v>31107.420000000002</v>
      </c>
      <c r="AL346">
        <v>20146.66</v>
      </c>
      <c r="AM346">
        <v>10960.76</v>
      </c>
      <c r="AN346">
        <f t="shared" si="103"/>
        <v>10960.760000000002</v>
      </c>
      <c r="AO346">
        <f t="shared" si="104"/>
        <v>-20146.66</v>
      </c>
      <c r="AP346" t="s">
        <v>137</v>
      </c>
      <c r="AQ346" t="str">
        <f t="shared" si="105"/>
        <v>Pending</v>
      </c>
      <c r="AR346" t="s">
        <v>125</v>
      </c>
      <c r="AS346" t="str">
        <f t="shared" si="106"/>
        <v>Returned</v>
      </c>
      <c r="AT346" t="str">
        <f t="shared" si="107"/>
        <v>Clean</v>
      </c>
    </row>
    <row r="347" spans="1:46">
      <c r="A347" t="s">
        <v>1740</v>
      </c>
      <c r="B347">
        <f>COUNTIF($D$2:D347,D347)</f>
        <v>1</v>
      </c>
      <c r="C347" t="str">
        <f>IF(COUNTIF($A:$A,A347)=1,
"Unique",
IF(COUNTIFS($A:$A,A347,$N:$N,N347,$AF:$AF,AF347,$AJ:$AJ,AJ347)&gt;1,
"Exact Duplicate",
"Conflicting Duplicate"))</f>
        <v>Unique</v>
      </c>
      <c r="D347" t="s">
        <v>1741</v>
      </c>
      <c r="E347" t="s">
        <v>1742</v>
      </c>
      <c r="F347" s="3">
        <v>45549</v>
      </c>
      <c r="G347" s="3">
        <v>45557</v>
      </c>
      <c r="H347" s="5" t="str">
        <f t="shared" si="90"/>
        <v>September</v>
      </c>
      <c r="I347" s="5">
        <f t="shared" si="91"/>
        <v>2024</v>
      </c>
      <c r="J347" t="str">
        <f>IF(F347="","Missing Date",
IF(ISNUMBER(F347),"Valid","Invalid Date"))</f>
        <v>Valid</v>
      </c>
      <c r="K347" t="str">
        <f t="shared" si="92"/>
        <v>Valid</v>
      </c>
      <c r="L347">
        <f>G347-F347</f>
        <v>8</v>
      </c>
      <c r="M347" t="s">
        <v>1743</v>
      </c>
      <c r="N347" t="s">
        <v>25</v>
      </c>
      <c r="O347" t="str">
        <f t="shared" si="93"/>
        <v>Karan Malhotra</v>
      </c>
      <c r="P347" t="s">
        <v>26</v>
      </c>
      <c r="Q347" t="str">
        <f t="shared" si="94"/>
        <v>Consumer</v>
      </c>
      <c r="R347" t="s">
        <v>73</v>
      </c>
      <c r="S347" t="str">
        <f t="shared" si="95"/>
        <v>West</v>
      </c>
      <c r="T347" t="s">
        <v>84</v>
      </c>
      <c r="U347" t="str">
        <f t="shared" si="96"/>
        <v>Madhya Pradesh</v>
      </c>
      <c r="V347" t="s">
        <v>85</v>
      </c>
      <c r="W347" t="str">
        <f t="shared" si="97"/>
        <v>Indore</v>
      </c>
      <c r="X347" t="s">
        <v>45</v>
      </c>
      <c r="Y347" t="str">
        <f t="shared" si="98"/>
        <v>Furniture</v>
      </c>
      <c r="Z347" t="s">
        <v>65</v>
      </c>
      <c r="AA347" t="str">
        <f t="shared" si="99"/>
        <v>Furnishings</v>
      </c>
      <c r="AB347" t="s">
        <v>1744</v>
      </c>
      <c r="AC347" t="s">
        <v>33</v>
      </c>
      <c r="AD347" t="str">
        <f t="shared" si="100"/>
        <v>Second Class</v>
      </c>
      <c r="AE347">
        <v>2</v>
      </c>
      <c r="AF347">
        <v>2765.3</v>
      </c>
      <c r="AG347">
        <v>0</v>
      </c>
      <c r="AH347">
        <v>0</v>
      </c>
      <c r="AI347" t="str">
        <f t="shared" si="101"/>
        <v>Valid</v>
      </c>
      <c r="AJ347">
        <v>5530.6</v>
      </c>
      <c r="AK347">
        <f t="shared" si="102"/>
        <v>5530.6</v>
      </c>
      <c r="AL347">
        <v>4453.1099999999997</v>
      </c>
      <c r="AM347">
        <v>1077.49</v>
      </c>
      <c r="AN347">
        <f t="shared" si="103"/>
        <v>1077.4900000000007</v>
      </c>
      <c r="AO347">
        <f t="shared" si="104"/>
        <v>-4453.1099999999997</v>
      </c>
      <c r="AP347" t="s">
        <v>34</v>
      </c>
      <c r="AQ347" t="str">
        <f t="shared" si="105"/>
        <v>Paid</v>
      </c>
      <c r="AR347" t="s">
        <v>35</v>
      </c>
      <c r="AS347" t="str">
        <f t="shared" si="106"/>
        <v>Completed</v>
      </c>
      <c r="AT347" t="str">
        <f t="shared" si="107"/>
        <v>Clean</v>
      </c>
    </row>
    <row r="348" spans="1:46">
      <c r="A348" t="s">
        <v>1745</v>
      </c>
      <c r="B348">
        <f>COUNTIF($D$2:D348,D348)</f>
        <v>3</v>
      </c>
      <c r="C348" t="str">
        <f>IF(COUNTIF($A:$A,A348)=1,
"Unique",
IF(COUNTIFS($A:$A,A348,$N:$N,N348,$AF:$AF,AF348,$AJ:$AJ,AJ348)&gt;1,
"Exact Duplicate",
"Conflicting Duplicate"))</f>
        <v>Unique</v>
      </c>
      <c r="D348" t="s">
        <v>1658</v>
      </c>
      <c r="E348" t="s">
        <v>1746</v>
      </c>
      <c r="F348" s="3">
        <v>45860</v>
      </c>
      <c r="G348" s="3">
        <v>45866</v>
      </c>
      <c r="H348" s="5" t="str">
        <f t="shared" si="90"/>
        <v>July</v>
      </c>
      <c r="I348" s="5">
        <f t="shared" si="91"/>
        <v>2025</v>
      </c>
      <c r="J348" t="str">
        <f>IF(F348="","Missing Date",
IF(ISNUMBER(F348),"Valid","Invalid Date"))</f>
        <v>Valid</v>
      </c>
      <c r="K348" t="str">
        <f t="shared" si="92"/>
        <v>Valid</v>
      </c>
      <c r="L348">
        <f>G348-F348</f>
        <v>6</v>
      </c>
      <c r="M348" t="s">
        <v>1747</v>
      </c>
      <c r="N348" t="s">
        <v>148</v>
      </c>
      <c r="O348" t="str">
        <f t="shared" si="93"/>
        <v>Rahul Verma</v>
      </c>
      <c r="P348" t="s">
        <v>108</v>
      </c>
      <c r="Q348" t="str">
        <f t="shared" si="94"/>
        <v>Corporate</v>
      </c>
      <c r="R348" t="s">
        <v>62</v>
      </c>
      <c r="S348" t="str">
        <f t="shared" si="95"/>
        <v>South</v>
      </c>
      <c r="T348" t="s">
        <v>242</v>
      </c>
      <c r="U348" t="str">
        <f t="shared" si="96"/>
        <v>Kerala</v>
      </c>
      <c r="V348" t="s">
        <v>243</v>
      </c>
      <c r="W348" t="str">
        <f t="shared" si="97"/>
        <v>Kochi</v>
      </c>
      <c r="X348" t="s">
        <v>45</v>
      </c>
      <c r="Y348" t="str">
        <f t="shared" si="98"/>
        <v>Furniture</v>
      </c>
      <c r="Z348" t="s">
        <v>76</v>
      </c>
      <c r="AA348" t="str">
        <f t="shared" si="99"/>
        <v>Chairs</v>
      </c>
      <c r="AB348" t="s">
        <v>1748</v>
      </c>
      <c r="AC348" t="s">
        <v>33</v>
      </c>
      <c r="AD348" t="str">
        <f t="shared" si="100"/>
        <v>Second Class</v>
      </c>
      <c r="AE348">
        <v>6</v>
      </c>
      <c r="AF348">
        <v>1607.46</v>
      </c>
      <c r="AG348">
        <v>0.2</v>
      </c>
      <c r="AH348">
        <v>0.2</v>
      </c>
      <c r="AI348" t="str">
        <f t="shared" si="101"/>
        <v>Valid</v>
      </c>
      <c r="AJ348">
        <v>7715.81</v>
      </c>
      <c r="AK348">
        <f t="shared" si="102"/>
        <v>7715.8080000000009</v>
      </c>
      <c r="AL348">
        <v>4258.42</v>
      </c>
      <c r="AM348">
        <v>3457.39</v>
      </c>
      <c r="AN348">
        <f t="shared" si="103"/>
        <v>3457.3880000000008</v>
      </c>
      <c r="AO348">
        <f t="shared" si="104"/>
        <v>-4258.42</v>
      </c>
      <c r="AP348" t="s">
        <v>34</v>
      </c>
      <c r="AQ348" t="str">
        <f t="shared" si="105"/>
        <v>Paid</v>
      </c>
      <c r="AR348" t="s">
        <v>35</v>
      </c>
      <c r="AS348" t="str">
        <f t="shared" si="106"/>
        <v>Completed</v>
      </c>
      <c r="AT348" t="str">
        <f t="shared" si="107"/>
        <v>Clean</v>
      </c>
    </row>
    <row r="349" spans="1:46">
      <c r="A349" t="s">
        <v>1749</v>
      </c>
      <c r="B349">
        <f>COUNTIF($D$2:D349,D349)</f>
        <v>3</v>
      </c>
      <c r="C349" t="str">
        <f>IF(COUNTIF($A:$A,A349)=1,
"Unique",
IF(COUNTIFS($A:$A,A349,$N:$N,N349,$AF:$AF,AF349,$AJ:$AJ,AJ349)&gt;1,
"Exact Duplicate",
"Conflicting Duplicate"))</f>
        <v>Unique</v>
      </c>
      <c r="D349" t="s">
        <v>1750</v>
      </c>
      <c r="E349" t="s">
        <v>1464</v>
      </c>
      <c r="F349" s="3">
        <v>45303</v>
      </c>
      <c r="G349" s="3">
        <v>45634</v>
      </c>
      <c r="H349" s="5" t="str">
        <f t="shared" si="90"/>
        <v>January</v>
      </c>
      <c r="I349" s="5">
        <f t="shared" si="91"/>
        <v>2024</v>
      </c>
      <c r="J349" t="str">
        <f>IF(F349="","Missing Date",
IF(ISNUMBER(F349),"Valid","Invalid Date"))</f>
        <v>Valid</v>
      </c>
      <c r="K349" t="str">
        <f t="shared" si="92"/>
        <v>Valid</v>
      </c>
      <c r="L349">
        <f>G349-F349</f>
        <v>331</v>
      </c>
      <c r="M349" t="s">
        <v>1751</v>
      </c>
      <c r="N349" t="s">
        <v>162</v>
      </c>
      <c r="O349" t="str">
        <f t="shared" si="93"/>
        <v>Aarav Sharma</v>
      </c>
      <c r="P349" t="s">
        <v>41</v>
      </c>
      <c r="Q349" t="str">
        <f t="shared" si="94"/>
        <v>Small Business</v>
      </c>
      <c r="R349" t="s">
        <v>73</v>
      </c>
      <c r="S349" t="str">
        <f t="shared" si="95"/>
        <v>West</v>
      </c>
      <c r="T349" t="s">
        <v>249</v>
      </c>
      <c r="U349" t="str">
        <f t="shared" si="96"/>
        <v>Goa</v>
      </c>
      <c r="V349" t="s">
        <v>250</v>
      </c>
      <c r="W349" t="str">
        <f t="shared" si="97"/>
        <v>Panaji</v>
      </c>
      <c r="X349" t="s">
        <v>45</v>
      </c>
      <c r="Y349" t="str">
        <f t="shared" si="98"/>
        <v>Furniture</v>
      </c>
      <c r="Z349" t="s">
        <v>76</v>
      </c>
      <c r="AA349" t="str">
        <f t="shared" si="99"/>
        <v>Chairs</v>
      </c>
      <c r="AB349" t="s">
        <v>1752</v>
      </c>
      <c r="AC349" t="s">
        <v>33</v>
      </c>
      <c r="AD349" t="str">
        <f t="shared" si="100"/>
        <v>Second Class</v>
      </c>
      <c r="AE349">
        <v>5</v>
      </c>
      <c r="AF349">
        <v>2981.49</v>
      </c>
      <c r="AG349">
        <v>0.2</v>
      </c>
      <c r="AH349">
        <v>0.2</v>
      </c>
      <c r="AI349" t="str">
        <f t="shared" si="101"/>
        <v>Valid</v>
      </c>
      <c r="AJ349">
        <v>11925.96</v>
      </c>
      <c r="AK349">
        <f t="shared" si="102"/>
        <v>11925.96</v>
      </c>
      <c r="AL349">
        <v>10103.51</v>
      </c>
      <c r="AM349">
        <v>1822.45</v>
      </c>
      <c r="AN349">
        <f t="shared" si="103"/>
        <v>1822.4499999999989</v>
      </c>
      <c r="AO349">
        <f t="shared" si="104"/>
        <v>-10103.51</v>
      </c>
      <c r="AP349" t="s">
        <v>124</v>
      </c>
      <c r="AQ349" t="str">
        <f t="shared" si="105"/>
        <v>Refunded</v>
      </c>
      <c r="AR349" t="s">
        <v>125</v>
      </c>
      <c r="AS349" t="str">
        <f t="shared" si="106"/>
        <v>Returned</v>
      </c>
      <c r="AT349" t="str">
        <f t="shared" si="107"/>
        <v>Clean</v>
      </c>
    </row>
    <row r="350" spans="1:46">
      <c r="A350" t="s">
        <v>1753</v>
      </c>
      <c r="B350">
        <f>COUNTIF($D$2:D350,D350)</f>
        <v>2</v>
      </c>
      <c r="C350" t="str">
        <f>IF(COUNTIF($A:$A,A350)=1,
"Unique",
IF(COUNTIFS($A:$A,A350,$N:$N,N350,$AF:$AF,AF350,$AJ:$AJ,AJ350)&gt;1,
"Exact Duplicate",
"Conflicting Duplicate"))</f>
        <v>Unique</v>
      </c>
      <c r="D350" t="s">
        <v>1303</v>
      </c>
      <c r="E350" t="s">
        <v>1754</v>
      </c>
      <c r="F350" s="3">
        <v>45445</v>
      </c>
      <c r="G350" s="3">
        <v>45450</v>
      </c>
      <c r="H350" s="5" t="str">
        <f t="shared" si="90"/>
        <v>June</v>
      </c>
      <c r="I350" s="5">
        <f t="shared" si="91"/>
        <v>2024</v>
      </c>
      <c r="J350" t="str">
        <f>IF(F350="","Missing Date",
IF(ISNUMBER(F350),"Valid","Invalid Date"))</f>
        <v>Valid</v>
      </c>
      <c r="K350" t="str">
        <f t="shared" si="92"/>
        <v>Valid</v>
      </c>
      <c r="L350">
        <f>G350-F350</f>
        <v>5</v>
      </c>
      <c r="M350" t="s">
        <v>1755</v>
      </c>
      <c r="N350" t="s">
        <v>162</v>
      </c>
      <c r="O350" t="str">
        <f t="shared" si="93"/>
        <v>Aarav Sharma</v>
      </c>
      <c r="P350" t="s">
        <v>108</v>
      </c>
      <c r="Q350" t="str">
        <f t="shared" si="94"/>
        <v>Corporate</v>
      </c>
      <c r="R350" t="s">
        <v>62</v>
      </c>
      <c r="S350" t="str">
        <f t="shared" si="95"/>
        <v>South</v>
      </c>
      <c r="T350" t="s">
        <v>229</v>
      </c>
      <c r="U350" t="str">
        <f t="shared" si="96"/>
        <v>Karnataka</v>
      </c>
      <c r="V350" t="s">
        <v>230</v>
      </c>
      <c r="W350" t="str">
        <f t="shared" si="97"/>
        <v>Bengaluru</v>
      </c>
      <c r="X350" t="s">
        <v>86</v>
      </c>
      <c r="Y350" t="str">
        <f t="shared" si="98"/>
        <v>Technology</v>
      </c>
      <c r="Z350" t="s">
        <v>223</v>
      </c>
      <c r="AA350" t="str">
        <f t="shared" si="99"/>
        <v>Phones</v>
      </c>
      <c r="AB350" t="s">
        <v>1756</v>
      </c>
      <c r="AC350" t="s">
        <v>48</v>
      </c>
      <c r="AD350" t="str">
        <f t="shared" si="100"/>
        <v>Same Day</v>
      </c>
      <c r="AE350">
        <v>9</v>
      </c>
      <c r="AF350">
        <v>2860.26</v>
      </c>
      <c r="AG350">
        <v>0.25</v>
      </c>
      <c r="AH350">
        <v>0.25</v>
      </c>
      <c r="AI350" t="str">
        <f t="shared" si="101"/>
        <v>Valid</v>
      </c>
      <c r="AJ350">
        <v>19306.759999999998</v>
      </c>
      <c r="AK350">
        <f t="shared" si="102"/>
        <v>19306.755000000005</v>
      </c>
      <c r="AL350">
        <v>14442.38</v>
      </c>
      <c r="AM350">
        <v>4864.38</v>
      </c>
      <c r="AN350">
        <f t="shared" si="103"/>
        <v>4864.3750000000055</v>
      </c>
      <c r="AO350">
        <f t="shared" si="104"/>
        <v>-14442.38</v>
      </c>
      <c r="AP350" t="s">
        <v>34</v>
      </c>
      <c r="AQ350" t="str">
        <f t="shared" si="105"/>
        <v>Paid</v>
      </c>
      <c r="AR350" t="s">
        <v>35</v>
      </c>
      <c r="AS350" t="str">
        <f t="shared" si="106"/>
        <v>Completed</v>
      </c>
      <c r="AT350" t="str">
        <f t="shared" si="107"/>
        <v>Clean</v>
      </c>
    </row>
    <row r="351" spans="1:46">
      <c r="A351" t="s">
        <v>1757</v>
      </c>
      <c r="B351">
        <f>COUNTIF($D$2:D351,D351)</f>
        <v>2</v>
      </c>
      <c r="C351" t="str">
        <f>IF(COUNTIF($A:$A,A351)=1,
"Unique",
IF(COUNTIFS($A:$A,A351,$N:$N,N351,$AF:$AF,AF351,$AJ:$AJ,AJ351)&gt;1,
"Exact Duplicate",
"Conflicting Duplicate"))</f>
        <v>Unique</v>
      </c>
      <c r="D351" t="s">
        <v>1758</v>
      </c>
      <c r="E351" t="s">
        <v>747</v>
      </c>
      <c r="F351" s="3">
        <v>45927</v>
      </c>
      <c r="G351" s="3">
        <v>45929</v>
      </c>
      <c r="H351" s="5" t="str">
        <f t="shared" si="90"/>
        <v>September</v>
      </c>
      <c r="I351" s="5">
        <f t="shared" si="91"/>
        <v>2025</v>
      </c>
      <c r="J351" t="str">
        <f>IF(F351="","Missing Date",
IF(ISNUMBER(F351),"Valid","Invalid Date"))</f>
        <v>Valid</v>
      </c>
      <c r="K351" t="str">
        <f t="shared" si="92"/>
        <v>Valid</v>
      </c>
      <c r="L351">
        <f>G351-F351</f>
        <v>2</v>
      </c>
      <c r="M351" t="s">
        <v>1759</v>
      </c>
      <c r="N351" t="s">
        <v>366</v>
      </c>
      <c r="O351" t="str">
        <f t="shared" si="93"/>
        <v>Kabir Singh</v>
      </c>
      <c r="P351" t="s">
        <v>115</v>
      </c>
      <c r="Q351" t="str">
        <f t="shared" si="94"/>
        <v>Home Office</v>
      </c>
      <c r="R351" t="s">
        <v>42</v>
      </c>
      <c r="S351" t="str">
        <f t="shared" si="95"/>
        <v>East</v>
      </c>
      <c r="T351" t="s">
        <v>311</v>
      </c>
      <c r="U351" t="str">
        <f t="shared" si="96"/>
        <v>Jharkhand</v>
      </c>
      <c r="V351" t="s">
        <v>312</v>
      </c>
      <c r="W351" t="str">
        <f t="shared" si="97"/>
        <v>Ranchi</v>
      </c>
      <c r="X351" t="s">
        <v>45</v>
      </c>
      <c r="Y351" t="str">
        <f t="shared" si="98"/>
        <v>Furniture</v>
      </c>
      <c r="Z351" t="s">
        <v>65</v>
      </c>
      <c r="AA351" t="str">
        <f t="shared" si="99"/>
        <v>Furnishings</v>
      </c>
      <c r="AB351" t="s">
        <v>1760</v>
      </c>
      <c r="AC351" t="s">
        <v>33</v>
      </c>
      <c r="AD351" t="str">
        <f t="shared" si="100"/>
        <v>Second Class</v>
      </c>
      <c r="AE351">
        <v>9</v>
      </c>
      <c r="AF351">
        <v>2867.55</v>
      </c>
      <c r="AG351">
        <v>0.25</v>
      </c>
      <c r="AH351">
        <v>0.25</v>
      </c>
      <c r="AI351" t="str">
        <f t="shared" si="101"/>
        <v>Valid</v>
      </c>
      <c r="AJ351">
        <v>19355.96</v>
      </c>
      <c r="AK351">
        <f t="shared" si="102"/>
        <v>19355.962500000001</v>
      </c>
      <c r="AL351">
        <v>15012.45</v>
      </c>
      <c r="AM351">
        <v>4017.4</v>
      </c>
      <c r="AN351">
        <f t="shared" si="103"/>
        <v>4343.5125000000007</v>
      </c>
      <c r="AO351">
        <f t="shared" si="104"/>
        <v>-15012.45</v>
      </c>
      <c r="AP351" t="s">
        <v>34</v>
      </c>
      <c r="AQ351" t="str">
        <f t="shared" si="105"/>
        <v>Paid</v>
      </c>
      <c r="AR351" t="s">
        <v>35</v>
      </c>
      <c r="AS351" t="str">
        <f t="shared" si="106"/>
        <v>Completed</v>
      </c>
      <c r="AT351" t="str">
        <f t="shared" si="107"/>
        <v>Clean</v>
      </c>
    </row>
    <row r="352" spans="1:46">
      <c r="A352" t="s">
        <v>1761</v>
      </c>
      <c r="B352">
        <f>COUNTIF($D$2:D352,D352)</f>
        <v>1</v>
      </c>
      <c r="C352" t="str">
        <f>IF(COUNTIF($A:$A,A352)=1,
"Unique",
IF(COUNTIFS($A:$A,A352,$N:$N,N352,$AF:$AF,AF352,$AJ:$AJ,AJ352)&gt;1,
"Exact Duplicate",
"Conflicting Duplicate"))</f>
        <v>Unique</v>
      </c>
      <c r="D352" t="s">
        <v>1762</v>
      </c>
      <c r="E352" t="s">
        <v>1763</v>
      </c>
      <c r="F352" s="3">
        <v>45474</v>
      </c>
      <c r="G352" s="2">
        <v>45305</v>
      </c>
      <c r="H352" s="5" t="str">
        <f t="shared" si="90"/>
        <v>July</v>
      </c>
      <c r="I352" s="5">
        <f t="shared" si="91"/>
        <v>2024</v>
      </c>
      <c r="J352" t="str">
        <f>IF(F352="","Missing Date",
IF(ISNUMBER(F352),"Valid","Invalid Date"))</f>
        <v>Valid</v>
      </c>
      <c r="K352" t="str">
        <f t="shared" si="92"/>
        <v>Valid</v>
      </c>
      <c r="L352">
        <f>G352-F352</f>
        <v>-169</v>
      </c>
      <c r="M352" t="s">
        <v>1764</v>
      </c>
      <c r="N352" t="s">
        <v>168</v>
      </c>
      <c r="O352" t="str">
        <f t="shared" si="93"/>
        <v>Sneha Kapoor</v>
      </c>
      <c r="P352" t="s">
        <v>41</v>
      </c>
      <c r="Q352" t="str">
        <f t="shared" si="94"/>
        <v>Small Business</v>
      </c>
      <c r="R352" t="s">
        <v>42</v>
      </c>
      <c r="S352" t="str">
        <f t="shared" si="95"/>
        <v>East</v>
      </c>
      <c r="T352" t="s">
        <v>311</v>
      </c>
      <c r="U352" t="str">
        <f t="shared" si="96"/>
        <v>Jharkhand</v>
      </c>
      <c r="V352" t="s">
        <v>312</v>
      </c>
      <c r="W352" t="str">
        <f t="shared" si="97"/>
        <v>Ranchi</v>
      </c>
      <c r="X352" t="s">
        <v>45</v>
      </c>
      <c r="Y352" t="str">
        <f t="shared" si="98"/>
        <v>Furniture</v>
      </c>
      <c r="Z352" t="s">
        <v>65</v>
      </c>
      <c r="AA352" t="str">
        <f t="shared" si="99"/>
        <v>Furnishings</v>
      </c>
      <c r="AB352" t="s">
        <v>1765</v>
      </c>
      <c r="AC352" t="s">
        <v>33</v>
      </c>
      <c r="AD352" t="str">
        <f t="shared" si="100"/>
        <v>Second Class</v>
      </c>
      <c r="AE352">
        <v>4</v>
      </c>
      <c r="AF352">
        <v>3309.54</v>
      </c>
      <c r="AG352">
        <v>0.1</v>
      </c>
      <c r="AH352">
        <v>0.1</v>
      </c>
      <c r="AI352" t="str">
        <f t="shared" si="101"/>
        <v>Valid</v>
      </c>
      <c r="AJ352">
        <v>11914.34</v>
      </c>
      <c r="AK352">
        <f t="shared" si="102"/>
        <v>11914.344000000001</v>
      </c>
      <c r="AL352">
        <v>9771.24</v>
      </c>
      <c r="AM352">
        <v>2143.1</v>
      </c>
      <c r="AN352">
        <f t="shared" si="103"/>
        <v>2143.1040000000012</v>
      </c>
      <c r="AO352">
        <f t="shared" si="104"/>
        <v>-9771.24</v>
      </c>
      <c r="AP352" t="s">
        <v>124</v>
      </c>
      <c r="AQ352" t="str">
        <f t="shared" si="105"/>
        <v>Refunded</v>
      </c>
      <c r="AR352" t="s">
        <v>125</v>
      </c>
      <c r="AS352" t="str">
        <f t="shared" si="106"/>
        <v>Returned</v>
      </c>
      <c r="AT352" t="str">
        <f t="shared" si="107"/>
        <v>Clean</v>
      </c>
    </row>
    <row r="353" spans="1:46">
      <c r="A353" t="s">
        <v>1766</v>
      </c>
      <c r="B353">
        <f>COUNTIF($D$2:D353,D353)</f>
        <v>1</v>
      </c>
      <c r="C353" t="str">
        <f>IF(COUNTIF($A:$A,A353)=1,
"Unique",
IF(COUNTIFS($A:$A,A353,$N:$N,N353,$AF:$AF,AF353,$AJ:$AJ,AJ353)&gt;1,
"Exact Duplicate",
"Conflicting Duplicate"))</f>
        <v>Unique</v>
      </c>
      <c r="D353" t="s">
        <v>1767</v>
      </c>
      <c r="E353" t="s">
        <v>1682</v>
      </c>
      <c r="F353" s="3">
        <v>45800</v>
      </c>
      <c r="G353" s="2">
        <v>45804</v>
      </c>
      <c r="H353" s="5" t="str">
        <f t="shared" si="90"/>
        <v>May</v>
      </c>
      <c r="I353" s="5">
        <f t="shared" si="91"/>
        <v>2025</v>
      </c>
      <c r="J353" t="str">
        <f>IF(F353="","Missing Date",
IF(ISNUMBER(F353),"Valid","Invalid Date"))</f>
        <v>Valid</v>
      </c>
      <c r="K353" t="str">
        <f t="shared" si="92"/>
        <v>Valid</v>
      </c>
      <c r="L353">
        <f>G353-F353</f>
        <v>4</v>
      </c>
      <c r="M353" t="s">
        <v>1768</v>
      </c>
      <c r="N353" t="s">
        <v>83</v>
      </c>
      <c r="O353" t="str">
        <f t="shared" si="93"/>
        <v>Vikram Iyer</v>
      </c>
      <c r="P353" t="s">
        <v>41</v>
      </c>
      <c r="Q353" t="str">
        <f t="shared" si="94"/>
        <v>Small Business</v>
      </c>
      <c r="R353" t="s">
        <v>62</v>
      </c>
      <c r="S353" t="str">
        <f t="shared" si="95"/>
        <v>South</v>
      </c>
      <c r="T353" t="s">
        <v>63</v>
      </c>
      <c r="U353" t="str">
        <f t="shared" si="96"/>
        <v>Telangana</v>
      </c>
      <c r="V353" t="s">
        <v>64</v>
      </c>
      <c r="W353" t="str">
        <f t="shared" si="97"/>
        <v>Hyderabad</v>
      </c>
      <c r="X353" t="s">
        <v>30</v>
      </c>
      <c r="Y353" t="str">
        <f t="shared" si="98"/>
        <v>Office Supplies</v>
      </c>
      <c r="Z353" t="s">
        <v>156</v>
      </c>
      <c r="AA353" t="str">
        <f t="shared" si="99"/>
        <v>Storage</v>
      </c>
      <c r="AB353" t="s">
        <v>1769</v>
      </c>
      <c r="AC353" t="s">
        <v>56</v>
      </c>
      <c r="AD353" t="str">
        <f t="shared" si="100"/>
        <v>First Class</v>
      </c>
      <c r="AE353">
        <v>6</v>
      </c>
      <c r="AF353">
        <v>719.44</v>
      </c>
      <c r="AG353">
        <v>0.25</v>
      </c>
      <c r="AH353">
        <v>0.25</v>
      </c>
      <c r="AI353" t="str">
        <f t="shared" si="101"/>
        <v>Valid</v>
      </c>
      <c r="AJ353">
        <v>3237.48</v>
      </c>
      <c r="AK353">
        <f t="shared" si="102"/>
        <v>3237.4800000000005</v>
      </c>
      <c r="AL353">
        <v>2118.34</v>
      </c>
      <c r="AM353">
        <v>1119.1400000000001</v>
      </c>
      <c r="AN353">
        <f t="shared" si="103"/>
        <v>1119.1400000000003</v>
      </c>
      <c r="AO353">
        <f t="shared" si="104"/>
        <v>-2118.34</v>
      </c>
      <c r="AP353" t="s">
        <v>137</v>
      </c>
      <c r="AQ353" t="str">
        <f t="shared" si="105"/>
        <v>Pending</v>
      </c>
      <c r="AR353" t="s">
        <v>78</v>
      </c>
      <c r="AS353" t="str">
        <f t="shared" si="106"/>
        <v>Cancelled</v>
      </c>
      <c r="AT353" t="str">
        <f t="shared" si="107"/>
        <v>Clean</v>
      </c>
    </row>
    <row r="354" spans="1:46">
      <c r="A354" t="s">
        <v>1770</v>
      </c>
      <c r="B354">
        <f>COUNTIF($D$2:D354,D354)</f>
        <v>2</v>
      </c>
      <c r="C354" t="str">
        <f>IF(COUNTIF($A:$A,A354)=1,
"Unique",
IF(COUNTIFS($A:$A,A354,$N:$N,N354,$AF:$AF,AF354,$AJ:$AJ,AJ354)&gt;1,
"Exact Duplicate",
"Conflicting Duplicate"))</f>
        <v>Unique</v>
      </c>
      <c r="D354" t="s">
        <v>1771</v>
      </c>
      <c r="E354" t="s">
        <v>1393</v>
      </c>
      <c r="F354" s="2">
        <v>45884</v>
      </c>
      <c r="G354" s="3">
        <v>45886</v>
      </c>
      <c r="H354" s="5" t="str">
        <f t="shared" si="90"/>
        <v>August</v>
      </c>
      <c r="I354" s="5">
        <f t="shared" si="91"/>
        <v>2025</v>
      </c>
      <c r="J354" t="str">
        <f>IF(F354="","Missing Date",
IF(ISNUMBER(F354),"Valid","Invalid Date"))</f>
        <v>Valid</v>
      </c>
      <c r="K354" t="str">
        <f t="shared" si="92"/>
        <v>Valid</v>
      </c>
      <c r="L354">
        <f>G354-F354</f>
        <v>2</v>
      </c>
      <c r="M354" t="s">
        <v>1772</v>
      </c>
      <c r="N354" t="s">
        <v>210</v>
      </c>
      <c r="O354" t="str">
        <f t="shared" si="93"/>
        <v>Diya Patel</v>
      </c>
      <c r="P354" t="s">
        <v>41</v>
      </c>
      <c r="Q354" t="str">
        <f t="shared" si="94"/>
        <v>Small Business</v>
      </c>
      <c r="R354" t="s">
        <v>42</v>
      </c>
      <c r="S354" t="str">
        <f t="shared" si="95"/>
        <v>East</v>
      </c>
      <c r="T354" t="s">
        <v>216</v>
      </c>
      <c r="U354" t="str">
        <f t="shared" si="96"/>
        <v>Assam</v>
      </c>
      <c r="V354" t="s">
        <v>217</v>
      </c>
      <c r="W354" t="str">
        <f t="shared" si="97"/>
        <v>Guwahati</v>
      </c>
      <c r="X354" t="s">
        <v>86</v>
      </c>
      <c r="Y354" t="str">
        <f t="shared" si="98"/>
        <v>Technology</v>
      </c>
      <c r="Z354" t="s">
        <v>94</v>
      </c>
      <c r="AA354" t="str">
        <f t="shared" si="99"/>
        <v>Copiers</v>
      </c>
      <c r="AB354" t="s">
        <v>1773</v>
      </c>
      <c r="AC354" t="s">
        <v>56</v>
      </c>
      <c r="AD354" t="str">
        <f t="shared" si="100"/>
        <v>First Class</v>
      </c>
      <c r="AE354">
        <v>5</v>
      </c>
      <c r="AF354">
        <v>2862.6</v>
      </c>
      <c r="AG354">
        <v>0.25</v>
      </c>
      <c r="AH354">
        <v>0.25</v>
      </c>
      <c r="AI354" t="str">
        <f t="shared" si="101"/>
        <v>Valid</v>
      </c>
      <c r="AJ354">
        <v>10734.75</v>
      </c>
      <c r="AK354">
        <f t="shared" si="102"/>
        <v>10734.75</v>
      </c>
      <c r="AL354">
        <v>6475.73</v>
      </c>
      <c r="AM354">
        <v>4259.0200000000004</v>
      </c>
      <c r="AN354">
        <f t="shared" si="103"/>
        <v>4259.0200000000004</v>
      </c>
      <c r="AO354">
        <f t="shared" si="104"/>
        <v>-6475.73</v>
      </c>
      <c r="AP354" t="s">
        <v>34</v>
      </c>
      <c r="AQ354" t="str">
        <f t="shared" si="105"/>
        <v>Paid</v>
      </c>
      <c r="AR354" t="s">
        <v>35</v>
      </c>
      <c r="AS354" t="str">
        <f t="shared" si="106"/>
        <v>Completed</v>
      </c>
      <c r="AT354" t="str">
        <f t="shared" si="107"/>
        <v>Clean</v>
      </c>
    </row>
    <row r="355" spans="1:46">
      <c r="A355" t="s">
        <v>1774</v>
      </c>
      <c r="B355">
        <f>COUNTIF($D$2:D355,D355)</f>
        <v>1</v>
      </c>
      <c r="C355" t="str">
        <f>IF(COUNTIF($A:$A,A355)=1,
"Unique",
IF(COUNTIFS($A:$A,A355,$N:$N,N355,$AF:$AF,AF355,$AJ:$AJ,AJ355)&gt;1,
"Exact Duplicate",
"Conflicting Duplicate"))</f>
        <v>Unique</v>
      </c>
      <c r="D355" t="s">
        <v>1775</v>
      </c>
      <c r="E355" t="s">
        <v>1163</v>
      </c>
      <c r="F355" s="3">
        <v>45709</v>
      </c>
      <c r="G355" s="3">
        <v>45715</v>
      </c>
      <c r="H355" s="5" t="str">
        <f t="shared" si="90"/>
        <v>February</v>
      </c>
      <c r="I355" s="5">
        <f t="shared" si="91"/>
        <v>2025</v>
      </c>
      <c r="J355" t="str">
        <f>IF(F355="","Missing Date",
IF(ISNUMBER(F355),"Valid","Invalid Date"))</f>
        <v>Valid</v>
      </c>
      <c r="K355" t="str">
        <f t="shared" si="92"/>
        <v>Valid</v>
      </c>
      <c r="L355">
        <f>G355-F355</f>
        <v>6</v>
      </c>
      <c r="M355" t="s">
        <v>1776</v>
      </c>
      <c r="N355" t="s">
        <v>72</v>
      </c>
      <c r="O355" t="str">
        <f t="shared" si="93"/>
        <v>Ananya Rao</v>
      </c>
      <c r="P355" t="s">
        <v>26</v>
      </c>
      <c r="Q355" t="str">
        <f t="shared" si="94"/>
        <v>Consumer</v>
      </c>
      <c r="R355" t="s">
        <v>27</v>
      </c>
      <c r="S355" t="str">
        <f t="shared" si="95"/>
        <v>North</v>
      </c>
      <c r="T355" t="s">
        <v>28</v>
      </c>
      <c r="U355" t="str">
        <f t="shared" si="96"/>
        <v>Rajasthan</v>
      </c>
      <c r="V355" t="s">
        <v>29</v>
      </c>
      <c r="W355" t="str">
        <f t="shared" si="97"/>
        <v>Jaipur</v>
      </c>
      <c r="X355" t="s">
        <v>30</v>
      </c>
      <c r="Y355" t="str">
        <f t="shared" si="98"/>
        <v>Office Supplies</v>
      </c>
      <c r="Z355" t="s">
        <v>54</v>
      </c>
      <c r="AA355" t="str">
        <f t="shared" si="99"/>
        <v>Art</v>
      </c>
      <c r="AB355" t="s">
        <v>1777</v>
      </c>
      <c r="AC355" t="s">
        <v>48</v>
      </c>
      <c r="AD355" t="str">
        <f t="shared" si="100"/>
        <v>Same Day</v>
      </c>
      <c r="AE355">
        <v>9</v>
      </c>
      <c r="AF355">
        <v>1431.67</v>
      </c>
      <c r="AG355">
        <v>0.2</v>
      </c>
      <c r="AH355">
        <v>0.2</v>
      </c>
      <c r="AI355" t="str">
        <f t="shared" si="101"/>
        <v>Valid</v>
      </c>
      <c r="AJ355">
        <v>10308.02</v>
      </c>
      <c r="AK355">
        <f t="shared" si="102"/>
        <v>10308.024000000001</v>
      </c>
      <c r="AL355">
        <v>5822.31</v>
      </c>
      <c r="AM355">
        <v>4485.71</v>
      </c>
      <c r="AN355">
        <f t="shared" si="103"/>
        <v>4485.7140000000009</v>
      </c>
      <c r="AO355">
        <f t="shared" si="104"/>
        <v>-5822.31</v>
      </c>
      <c r="AP355" t="s">
        <v>34</v>
      </c>
      <c r="AQ355" t="str">
        <f t="shared" si="105"/>
        <v>Paid</v>
      </c>
      <c r="AR355" t="s">
        <v>35</v>
      </c>
      <c r="AS355" t="str">
        <f t="shared" si="106"/>
        <v>Completed</v>
      </c>
      <c r="AT355" t="str">
        <f t="shared" si="107"/>
        <v>Clean</v>
      </c>
    </row>
    <row r="356" spans="1:46">
      <c r="A356" t="s">
        <v>1778</v>
      </c>
      <c r="B356">
        <f>COUNTIF($D$2:D356,D356)</f>
        <v>3</v>
      </c>
      <c r="C356" t="str">
        <f>IF(COUNTIF($A:$A,A356)=1,
"Unique",
IF(COUNTIFS($A:$A,A356,$N:$N,N356,$AF:$AF,AF356,$AJ:$AJ,AJ356)&gt;1,
"Exact Duplicate",
"Conflicting Duplicate"))</f>
        <v>Unique</v>
      </c>
      <c r="D356" t="s">
        <v>145</v>
      </c>
      <c r="E356" t="s">
        <v>1779</v>
      </c>
      <c r="F356" s="2">
        <v>45653</v>
      </c>
      <c r="G356" s="3">
        <v>45657</v>
      </c>
      <c r="H356" s="5" t="str">
        <f t="shared" si="90"/>
        <v>December</v>
      </c>
      <c r="I356" s="5">
        <f t="shared" si="91"/>
        <v>2024</v>
      </c>
      <c r="J356" t="str">
        <f>IF(F356="","Missing Date",
IF(ISNUMBER(F356),"Valid","Invalid Date"))</f>
        <v>Valid</v>
      </c>
      <c r="K356" t="str">
        <f t="shared" si="92"/>
        <v>Valid</v>
      </c>
      <c r="L356">
        <f>G356-F356</f>
        <v>4</v>
      </c>
      <c r="M356" t="s">
        <v>1780</v>
      </c>
      <c r="N356" t="s">
        <v>366</v>
      </c>
      <c r="O356" t="str">
        <f t="shared" si="93"/>
        <v>Kabir Singh</v>
      </c>
      <c r="P356" t="s">
        <v>1781</v>
      </c>
      <c r="Q356" t="str">
        <f t="shared" si="94"/>
        <v>Corporate</v>
      </c>
      <c r="R356" t="s">
        <v>27</v>
      </c>
      <c r="S356" t="str">
        <f t="shared" si="95"/>
        <v>North</v>
      </c>
      <c r="T356" t="s">
        <v>154</v>
      </c>
      <c r="U356" t="str">
        <f t="shared" si="96"/>
        <v>Punjab</v>
      </c>
      <c r="V356" t="s">
        <v>155</v>
      </c>
      <c r="W356" t="str">
        <f t="shared" si="97"/>
        <v>Ludhiana</v>
      </c>
      <c r="X356" t="s">
        <v>45</v>
      </c>
      <c r="Y356" t="str">
        <f t="shared" si="98"/>
        <v>Furniture</v>
      </c>
      <c r="Z356" t="s">
        <v>65</v>
      </c>
      <c r="AA356" t="str">
        <f t="shared" si="99"/>
        <v>Furnishings</v>
      </c>
      <c r="AB356" t="s">
        <v>1782</v>
      </c>
      <c r="AC356" t="s">
        <v>67</v>
      </c>
      <c r="AD356" t="str">
        <f t="shared" si="100"/>
        <v>Standard Class</v>
      </c>
      <c r="AE356">
        <v>6</v>
      </c>
      <c r="AF356">
        <v>3346.78</v>
      </c>
      <c r="AG356">
        <v>-0.06</v>
      </c>
      <c r="AH356">
        <v>-0.06</v>
      </c>
      <c r="AI356" t="str">
        <f t="shared" si="101"/>
        <v>Invalid - Negative Discount</v>
      </c>
      <c r="AJ356">
        <v>20080.68</v>
      </c>
      <c r="AK356">
        <f t="shared" si="102"/>
        <v>21285.520800000002</v>
      </c>
      <c r="AL356">
        <v>12908.84</v>
      </c>
      <c r="AM356">
        <v>7171.84</v>
      </c>
      <c r="AN356">
        <f t="shared" si="103"/>
        <v>8376.6808000000019</v>
      </c>
      <c r="AO356">
        <f t="shared" si="104"/>
        <v>-12908.84</v>
      </c>
      <c r="AP356" t="s">
        <v>137</v>
      </c>
      <c r="AQ356" t="str">
        <f t="shared" si="105"/>
        <v>Pending</v>
      </c>
      <c r="AR356" t="s">
        <v>78</v>
      </c>
      <c r="AS356" t="str">
        <f t="shared" si="106"/>
        <v>Cancelled</v>
      </c>
      <c r="AT356" t="str">
        <f t="shared" si="107"/>
        <v>Clean</v>
      </c>
    </row>
    <row r="357" spans="1:46">
      <c r="A357" t="s">
        <v>1783</v>
      </c>
      <c r="B357">
        <f>COUNTIF($D$2:D357,D357)</f>
        <v>1</v>
      </c>
      <c r="C357" t="str">
        <f>IF(COUNTIF($A:$A,A357)=1,
"Unique",
IF(COUNTIFS($A:$A,A357,$N:$N,N357,$AF:$AF,AF357,$AJ:$AJ,AJ357)&gt;1,
"Exact Duplicate",
"Conflicting Duplicate"))</f>
        <v>Unique</v>
      </c>
      <c r="D357" t="s">
        <v>1784</v>
      </c>
      <c r="E357" t="s">
        <v>1785</v>
      </c>
      <c r="F357" s="3">
        <v>45631</v>
      </c>
      <c r="G357" s="3">
        <v>45540</v>
      </c>
      <c r="H357" s="5" t="str">
        <f t="shared" si="90"/>
        <v>December</v>
      </c>
      <c r="I357" s="5">
        <f t="shared" si="91"/>
        <v>2024</v>
      </c>
      <c r="J357" t="str">
        <f>IF(F357="","Missing Date",
IF(ISNUMBER(F357),"Valid","Invalid Date"))</f>
        <v>Valid</v>
      </c>
      <c r="K357" t="str">
        <f t="shared" si="92"/>
        <v>Valid</v>
      </c>
      <c r="L357">
        <f>G357-F357</f>
        <v>-91</v>
      </c>
      <c r="M357" t="s">
        <v>1786</v>
      </c>
      <c r="N357" t="s">
        <v>142</v>
      </c>
      <c r="O357" t="str">
        <f t="shared" si="93"/>
        <v>Priya Menon</v>
      </c>
      <c r="P357" t="s">
        <v>108</v>
      </c>
      <c r="Q357" t="str">
        <f t="shared" si="94"/>
        <v>Corporate</v>
      </c>
      <c r="R357" t="s">
        <v>73</v>
      </c>
      <c r="S357" t="str">
        <f t="shared" si="95"/>
        <v>West</v>
      </c>
      <c r="T357" t="s">
        <v>28</v>
      </c>
      <c r="U357" t="str">
        <f t="shared" si="96"/>
        <v>Rajasthan</v>
      </c>
      <c r="V357" t="s">
        <v>135</v>
      </c>
      <c r="W357" t="str">
        <f t="shared" si="97"/>
        <v>Udaipur</v>
      </c>
      <c r="X357" t="s">
        <v>45</v>
      </c>
      <c r="Y357" t="str">
        <f t="shared" si="98"/>
        <v>Furniture</v>
      </c>
      <c r="Z357" t="s">
        <v>46</v>
      </c>
      <c r="AA357" t="str">
        <f t="shared" si="99"/>
        <v>Tables</v>
      </c>
      <c r="AB357" t="s">
        <v>1787</v>
      </c>
      <c r="AC357" t="s">
        <v>67</v>
      </c>
      <c r="AD357" t="str">
        <f t="shared" si="100"/>
        <v>Standard Class</v>
      </c>
      <c r="AE357">
        <v>5</v>
      </c>
      <c r="AF357">
        <v>3203.48</v>
      </c>
      <c r="AG357">
        <v>0</v>
      </c>
      <c r="AH357">
        <v>0</v>
      </c>
      <c r="AI357" t="str">
        <f t="shared" si="101"/>
        <v>Valid</v>
      </c>
      <c r="AJ357">
        <v>16017.4</v>
      </c>
      <c r="AK357">
        <f t="shared" si="102"/>
        <v>16017.4</v>
      </c>
      <c r="AL357">
        <v>9557.7999999999993</v>
      </c>
      <c r="AM357">
        <v>6459.6</v>
      </c>
      <c r="AN357">
        <f t="shared" si="103"/>
        <v>6459.6</v>
      </c>
      <c r="AO357">
        <f t="shared" si="104"/>
        <v>-9557.7999999999993</v>
      </c>
      <c r="AP357" t="s">
        <v>137</v>
      </c>
      <c r="AQ357" t="str">
        <f t="shared" si="105"/>
        <v>Pending</v>
      </c>
      <c r="AR357" t="s">
        <v>78</v>
      </c>
      <c r="AS357" t="str">
        <f t="shared" si="106"/>
        <v>Cancelled</v>
      </c>
      <c r="AT357" t="str">
        <f t="shared" si="107"/>
        <v>Clean</v>
      </c>
    </row>
    <row r="358" spans="1:46">
      <c r="A358" t="s">
        <v>1788</v>
      </c>
      <c r="B358">
        <f>COUNTIF($D$2:D358,D358)</f>
        <v>2</v>
      </c>
      <c r="C358" t="str">
        <f>IF(COUNTIF($A:$A,A358)=1,
"Unique",
IF(COUNTIFS($A:$A,A358,$N:$N,N358,$AF:$AF,AF358,$AJ:$AJ,AJ358)&gt;1,
"Exact Duplicate",
"Conflicting Duplicate"))</f>
        <v>Unique</v>
      </c>
      <c r="D358" t="s">
        <v>1789</v>
      </c>
      <c r="E358" t="s">
        <v>1790</v>
      </c>
      <c r="F358" s="2">
        <v>45835</v>
      </c>
      <c r="G358" s="2">
        <v>45837</v>
      </c>
      <c r="H358" s="5" t="str">
        <f t="shared" si="90"/>
        <v>June</v>
      </c>
      <c r="I358" s="5">
        <f t="shared" si="91"/>
        <v>2025</v>
      </c>
      <c r="J358" t="str">
        <f>IF(F358="","Missing Date",
IF(ISNUMBER(F358),"Valid","Invalid Date"))</f>
        <v>Valid</v>
      </c>
      <c r="K358" t="str">
        <f t="shared" si="92"/>
        <v>Valid</v>
      </c>
      <c r="L358">
        <f>G358-F358</f>
        <v>2</v>
      </c>
      <c r="M358" t="s">
        <v>1791</v>
      </c>
      <c r="N358" t="s">
        <v>180</v>
      </c>
      <c r="O358" t="str">
        <f t="shared" si="93"/>
        <v>Rohan Mehta</v>
      </c>
      <c r="P358" t="s">
        <v>115</v>
      </c>
      <c r="Q358" t="str">
        <f t="shared" si="94"/>
        <v>Home Office</v>
      </c>
      <c r="R358" t="s">
        <v>62</v>
      </c>
      <c r="S358" t="str">
        <f t="shared" si="95"/>
        <v>South</v>
      </c>
      <c r="T358" t="s">
        <v>63</v>
      </c>
      <c r="U358" t="str">
        <f t="shared" si="96"/>
        <v>Telangana</v>
      </c>
      <c r="V358" t="s">
        <v>64</v>
      </c>
      <c r="W358" t="str">
        <f t="shared" si="97"/>
        <v>Hyderabad</v>
      </c>
      <c r="X358" t="s">
        <v>45</v>
      </c>
      <c r="Y358" t="str">
        <f t="shared" si="98"/>
        <v>Furniture</v>
      </c>
      <c r="Z358" t="s">
        <v>76</v>
      </c>
      <c r="AA358" t="str">
        <f t="shared" si="99"/>
        <v>Chairs</v>
      </c>
      <c r="AB358" t="s">
        <v>1792</v>
      </c>
      <c r="AC358" t="s">
        <v>56</v>
      </c>
      <c r="AD358" t="str">
        <f t="shared" si="100"/>
        <v>First Class</v>
      </c>
      <c r="AE358">
        <v>5</v>
      </c>
      <c r="AF358">
        <v>621.70000000000005</v>
      </c>
      <c r="AG358">
        <v>0.2</v>
      </c>
      <c r="AH358">
        <v>0.2</v>
      </c>
      <c r="AI358" t="str">
        <f t="shared" si="101"/>
        <v>Valid</v>
      </c>
      <c r="AJ358">
        <v>2486.8000000000002</v>
      </c>
      <c r="AK358">
        <f t="shared" si="102"/>
        <v>2486.8000000000002</v>
      </c>
      <c r="AL358">
        <v>2131.73</v>
      </c>
      <c r="AM358">
        <v>355.07</v>
      </c>
      <c r="AN358">
        <f t="shared" si="103"/>
        <v>355.07000000000016</v>
      </c>
      <c r="AO358">
        <f t="shared" si="104"/>
        <v>-2131.73</v>
      </c>
      <c r="AP358" t="s">
        <v>137</v>
      </c>
      <c r="AQ358" t="str">
        <f t="shared" si="105"/>
        <v>Pending</v>
      </c>
      <c r="AR358" t="s">
        <v>125</v>
      </c>
      <c r="AS358" t="str">
        <f t="shared" si="106"/>
        <v>Returned</v>
      </c>
      <c r="AT358" t="str">
        <f t="shared" si="107"/>
        <v>Clean</v>
      </c>
    </row>
    <row r="359" spans="1:46">
      <c r="A359" t="s">
        <v>1793</v>
      </c>
      <c r="B359">
        <f>COUNTIF($D$2:D359,D359)</f>
        <v>2</v>
      </c>
      <c r="C359" t="str">
        <f>IF(COUNTIF($A:$A,A359)=1,
"Unique",
IF(COUNTIFS($A:$A,A359,$N:$N,N359,$AF:$AF,AF359,$AJ:$AJ,AJ359)&gt;1,
"Exact Duplicate",
"Conflicting Duplicate"))</f>
        <v>Unique</v>
      </c>
      <c r="D359" t="s">
        <v>196</v>
      </c>
      <c r="E359" t="s">
        <v>1794</v>
      </c>
      <c r="F359" s="3">
        <v>45678</v>
      </c>
      <c r="G359" s="3">
        <v>45686</v>
      </c>
      <c r="H359" s="5" t="str">
        <f t="shared" si="90"/>
        <v>January</v>
      </c>
      <c r="I359" s="5">
        <f t="shared" si="91"/>
        <v>2025</v>
      </c>
      <c r="J359" t="str">
        <f>IF(F359="","Missing Date",
IF(ISNUMBER(F359),"Valid","Invalid Date"))</f>
        <v>Valid</v>
      </c>
      <c r="K359" t="str">
        <f t="shared" si="92"/>
        <v>Valid</v>
      </c>
      <c r="L359">
        <f>G359-F359</f>
        <v>8</v>
      </c>
      <c r="M359" t="s">
        <v>1795</v>
      </c>
      <c r="N359" t="s">
        <v>40</v>
      </c>
      <c r="O359" t="str">
        <f t="shared" si="93"/>
        <v>Mira Das</v>
      </c>
      <c r="P359" t="s">
        <v>115</v>
      </c>
      <c r="Q359" t="str">
        <f t="shared" si="94"/>
        <v>Home Office</v>
      </c>
      <c r="R359" t="s">
        <v>62</v>
      </c>
      <c r="S359" t="str">
        <f t="shared" si="95"/>
        <v>South</v>
      </c>
      <c r="T359" t="s">
        <v>100</v>
      </c>
      <c r="U359" t="str">
        <f t="shared" si="96"/>
        <v>Andhra Pradesh</v>
      </c>
      <c r="V359" t="s">
        <v>101</v>
      </c>
      <c r="W359" t="str">
        <f t="shared" si="97"/>
        <v>Vijayawada</v>
      </c>
      <c r="X359" t="s">
        <v>86</v>
      </c>
      <c r="Y359" t="str">
        <f t="shared" si="98"/>
        <v>Technology</v>
      </c>
      <c r="Z359" t="s">
        <v>382</v>
      </c>
      <c r="AA359" t="str">
        <f t="shared" si="99"/>
        <v>Machines</v>
      </c>
      <c r="AB359" t="s">
        <v>1796</v>
      </c>
      <c r="AC359" t="s">
        <v>33</v>
      </c>
      <c r="AD359" t="str">
        <f t="shared" si="100"/>
        <v>Second Class</v>
      </c>
      <c r="AE359">
        <v>8</v>
      </c>
      <c r="AF359">
        <v>546.13</v>
      </c>
      <c r="AG359">
        <v>0</v>
      </c>
      <c r="AH359">
        <v>0</v>
      </c>
      <c r="AI359" t="str">
        <f t="shared" si="101"/>
        <v>Valid</v>
      </c>
      <c r="AJ359">
        <v>4369.04</v>
      </c>
      <c r="AK359">
        <f t="shared" si="102"/>
        <v>4369.04</v>
      </c>
      <c r="AL359">
        <v>3716.88</v>
      </c>
      <c r="AM359">
        <v>652.16</v>
      </c>
      <c r="AN359">
        <f t="shared" si="103"/>
        <v>652.15999999999985</v>
      </c>
      <c r="AO359">
        <f t="shared" si="104"/>
        <v>-3716.88</v>
      </c>
      <c r="AP359" t="s">
        <v>34</v>
      </c>
      <c r="AQ359" t="str">
        <f t="shared" si="105"/>
        <v>Paid</v>
      </c>
      <c r="AR359" t="s">
        <v>78</v>
      </c>
      <c r="AS359" t="str">
        <f t="shared" si="106"/>
        <v>Cancelled</v>
      </c>
      <c r="AT359" t="str">
        <f t="shared" si="107"/>
        <v>Clean</v>
      </c>
    </row>
    <row r="360" spans="1:46">
      <c r="A360" t="s">
        <v>1797</v>
      </c>
      <c r="B360">
        <f>COUNTIF($D$2:D360,D360)</f>
        <v>2</v>
      </c>
      <c r="C360" t="str">
        <f>IF(COUNTIF($A:$A,A360)=1,
"Unique",
IF(COUNTIFS($A:$A,A360,$N:$N,N360,$AF:$AF,AF360,$AJ:$AJ,AJ360)&gt;1,
"Exact Duplicate",
"Conflicting Duplicate"))</f>
        <v>Unique</v>
      </c>
      <c r="D360" t="s">
        <v>1798</v>
      </c>
      <c r="E360" t="s">
        <v>1799</v>
      </c>
      <c r="F360" s="3">
        <v>45878</v>
      </c>
      <c r="G360" s="3">
        <v>45846</v>
      </c>
      <c r="H360" s="5" t="str">
        <f t="shared" si="90"/>
        <v>August</v>
      </c>
      <c r="I360" s="5">
        <f t="shared" si="91"/>
        <v>2025</v>
      </c>
      <c r="J360" t="str">
        <f>IF(F360="","Missing Date",
IF(ISNUMBER(F360),"Valid","Invalid Date"))</f>
        <v>Valid</v>
      </c>
      <c r="K360" t="str">
        <f t="shared" si="92"/>
        <v>Valid</v>
      </c>
      <c r="L360">
        <f>G360-F360</f>
        <v>-32</v>
      </c>
      <c r="M360" t="s">
        <v>1800</v>
      </c>
      <c r="N360" t="s">
        <v>83</v>
      </c>
      <c r="O360" t="str">
        <f t="shared" si="93"/>
        <v>Vikram Iyer</v>
      </c>
      <c r="P360" t="s">
        <v>115</v>
      </c>
      <c r="Q360" t="str">
        <f t="shared" si="94"/>
        <v>Home Office</v>
      </c>
      <c r="R360" t="s">
        <v>73</v>
      </c>
      <c r="S360" t="str">
        <f t="shared" si="95"/>
        <v>West</v>
      </c>
      <c r="T360" t="s">
        <v>235</v>
      </c>
      <c r="U360" t="str">
        <f t="shared" si="96"/>
        <v>Gujarat</v>
      </c>
      <c r="V360" t="s">
        <v>236</v>
      </c>
      <c r="W360" t="str">
        <f t="shared" si="97"/>
        <v>Ahmedabad</v>
      </c>
      <c r="X360" t="s">
        <v>45</v>
      </c>
      <c r="Y360" t="str">
        <f t="shared" si="98"/>
        <v>Furniture</v>
      </c>
      <c r="Z360" t="s">
        <v>204</v>
      </c>
      <c r="AA360" t="str">
        <f t="shared" si="99"/>
        <v>Bookcases</v>
      </c>
      <c r="AB360" t="s">
        <v>1801</v>
      </c>
      <c r="AC360" t="s">
        <v>33</v>
      </c>
      <c r="AD360" t="str">
        <f t="shared" si="100"/>
        <v>Second Class</v>
      </c>
      <c r="AE360">
        <v>5</v>
      </c>
      <c r="AF360">
        <v>1253.92</v>
      </c>
      <c r="AG360">
        <v>0.05</v>
      </c>
      <c r="AH360">
        <v>0.05</v>
      </c>
      <c r="AI360" t="str">
        <f t="shared" si="101"/>
        <v>Valid</v>
      </c>
      <c r="AJ360">
        <v>5956.12</v>
      </c>
      <c r="AK360">
        <f t="shared" si="102"/>
        <v>5956.12</v>
      </c>
      <c r="AL360">
        <v>4379.18</v>
      </c>
      <c r="AM360">
        <v>1576.94</v>
      </c>
      <c r="AN360">
        <f t="shared" si="103"/>
        <v>1576.9399999999996</v>
      </c>
      <c r="AO360">
        <f t="shared" si="104"/>
        <v>-4379.18</v>
      </c>
      <c r="AP360" t="s">
        <v>137</v>
      </c>
      <c r="AQ360" t="str">
        <f t="shared" si="105"/>
        <v>Pending</v>
      </c>
      <c r="AR360" t="s">
        <v>125</v>
      </c>
      <c r="AS360" t="str">
        <f t="shared" si="106"/>
        <v>Returned</v>
      </c>
      <c r="AT360" t="str">
        <f t="shared" si="107"/>
        <v>Clean</v>
      </c>
    </row>
    <row r="361" spans="1:46">
      <c r="A361" t="s">
        <v>1802</v>
      </c>
      <c r="B361">
        <f>COUNTIF($D$2:D361,D361)</f>
        <v>2</v>
      </c>
      <c r="C361" t="str">
        <f>IF(COUNTIF($A:$A,A361)=1,
"Unique",
IF(COUNTIFS($A:$A,A361,$N:$N,N361,$AF:$AF,AF361,$AJ:$AJ,AJ361)&gt;1,
"Exact Duplicate",
"Conflicting Duplicate"))</f>
        <v>Unique</v>
      </c>
      <c r="D361" t="s">
        <v>1626</v>
      </c>
      <c r="E361" t="s">
        <v>1803</v>
      </c>
      <c r="F361" s="2">
        <v>45525</v>
      </c>
      <c r="G361" s="3">
        <v>45526</v>
      </c>
      <c r="H361" s="5" t="str">
        <f t="shared" si="90"/>
        <v>August</v>
      </c>
      <c r="I361" s="5">
        <f t="shared" si="91"/>
        <v>2024</v>
      </c>
      <c r="J361" t="str">
        <f>IF(F361="","Missing Date",
IF(ISNUMBER(F361),"Valid","Invalid Date"))</f>
        <v>Valid</v>
      </c>
      <c r="K361" t="str">
        <f t="shared" si="92"/>
        <v>Valid</v>
      </c>
      <c r="L361">
        <f>G361-F361</f>
        <v>1</v>
      </c>
      <c r="M361" t="s">
        <v>1804</v>
      </c>
      <c r="N361" t="s">
        <v>53</v>
      </c>
      <c r="O361" t="str">
        <f t="shared" si="93"/>
        <v>Isha Nair</v>
      </c>
      <c r="P361" t="s">
        <v>26</v>
      </c>
      <c r="Q361" t="str">
        <f t="shared" si="94"/>
        <v>Consumer</v>
      </c>
      <c r="R361" t="s">
        <v>62</v>
      </c>
      <c r="S361" t="str">
        <f t="shared" si="95"/>
        <v>South</v>
      </c>
      <c r="T361" t="s">
        <v>339</v>
      </c>
      <c r="U361" t="str">
        <f t="shared" si="96"/>
        <v>Tamil Nadu</v>
      </c>
      <c r="V361" t="s">
        <v>340</v>
      </c>
      <c r="W361" t="str">
        <f t="shared" si="97"/>
        <v>Chennai</v>
      </c>
      <c r="X361" t="s">
        <v>86</v>
      </c>
      <c r="Y361" t="str">
        <f t="shared" si="98"/>
        <v>Technology</v>
      </c>
      <c r="Z361" t="s">
        <v>223</v>
      </c>
      <c r="AA361" t="str">
        <f t="shared" si="99"/>
        <v>Phones</v>
      </c>
      <c r="AB361" t="s">
        <v>1805</v>
      </c>
      <c r="AC361" t="s">
        <v>48</v>
      </c>
      <c r="AD361" t="str">
        <f t="shared" si="100"/>
        <v>Same Day</v>
      </c>
      <c r="AE361">
        <v>9</v>
      </c>
      <c r="AF361">
        <v>616.96</v>
      </c>
      <c r="AG361">
        <v>0.1</v>
      </c>
      <c r="AH361">
        <v>0.1</v>
      </c>
      <c r="AI361" t="str">
        <f t="shared" si="101"/>
        <v>Valid</v>
      </c>
      <c r="AJ361">
        <v>4997.38</v>
      </c>
      <c r="AK361">
        <f t="shared" si="102"/>
        <v>4997.3760000000002</v>
      </c>
      <c r="AL361">
        <v>2971.39</v>
      </c>
      <c r="AM361">
        <v>2025.99</v>
      </c>
      <c r="AN361">
        <f t="shared" si="103"/>
        <v>2025.9860000000003</v>
      </c>
      <c r="AO361">
        <f t="shared" si="104"/>
        <v>-2971.39</v>
      </c>
      <c r="AP361" t="s">
        <v>34</v>
      </c>
      <c r="AQ361" t="str">
        <f t="shared" si="105"/>
        <v>Paid</v>
      </c>
      <c r="AR361" t="s">
        <v>35</v>
      </c>
      <c r="AS361" t="str">
        <f t="shared" si="106"/>
        <v>Completed</v>
      </c>
      <c r="AT361" t="str">
        <f t="shared" si="107"/>
        <v>Clean</v>
      </c>
    </row>
    <row r="362" spans="1:46">
      <c r="A362" t="s">
        <v>1806</v>
      </c>
      <c r="B362">
        <f>COUNTIF($D$2:D362,D362)</f>
        <v>2</v>
      </c>
      <c r="C362" t="str">
        <f>IF(COUNTIF($A:$A,A362)=1,
"Unique",
IF(COUNTIFS($A:$A,A362,$N:$N,N362,$AF:$AF,AF362,$AJ:$AJ,AJ362)&gt;1,
"Exact Duplicate",
"Conflicting Duplicate"))</f>
        <v>Unique</v>
      </c>
      <c r="D362" t="s">
        <v>1807</v>
      </c>
      <c r="E362" t="s">
        <v>1808</v>
      </c>
      <c r="F362" s="2">
        <v>45460</v>
      </c>
      <c r="G362" s="3">
        <v>45463</v>
      </c>
      <c r="H362" s="5" t="str">
        <f t="shared" si="90"/>
        <v>June</v>
      </c>
      <c r="I362" s="5">
        <f t="shared" si="91"/>
        <v>2024</v>
      </c>
      <c r="J362" t="str">
        <f>IF(F362="","Missing Date",
IF(ISNUMBER(F362),"Valid","Invalid Date"))</f>
        <v>Valid</v>
      </c>
      <c r="K362" t="str">
        <f t="shared" si="92"/>
        <v>Valid</v>
      </c>
      <c r="L362">
        <f>G362-F362</f>
        <v>3</v>
      </c>
      <c r="M362" t="s">
        <v>1809</v>
      </c>
      <c r="N362" t="s">
        <v>168</v>
      </c>
      <c r="O362" t="str">
        <f t="shared" si="93"/>
        <v>Sneha Kapoor</v>
      </c>
      <c r="P362" t="s">
        <v>41</v>
      </c>
      <c r="Q362" t="str">
        <f t="shared" si="94"/>
        <v>Small Business</v>
      </c>
      <c r="R362" t="s">
        <v>73</v>
      </c>
      <c r="S362" t="str">
        <f t="shared" si="95"/>
        <v>West</v>
      </c>
      <c r="T362" t="s">
        <v>235</v>
      </c>
      <c r="U362" t="str">
        <f t="shared" si="96"/>
        <v>Gujarat</v>
      </c>
      <c r="V362" t="s">
        <v>236</v>
      </c>
      <c r="W362" t="str">
        <f t="shared" si="97"/>
        <v>Ahmedabad</v>
      </c>
      <c r="X362" t="s">
        <v>45</v>
      </c>
      <c r="Y362" t="str">
        <f t="shared" si="98"/>
        <v>Furniture</v>
      </c>
      <c r="Z362" t="s">
        <v>65</v>
      </c>
      <c r="AA362" t="str">
        <f t="shared" si="99"/>
        <v>Furnishings</v>
      </c>
      <c r="AB362" t="s">
        <v>1810</v>
      </c>
      <c r="AC362" t="s">
        <v>67</v>
      </c>
      <c r="AD362" t="str">
        <f t="shared" si="100"/>
        <v>Standard Class</v>
      </c>
      <c r="AE362">
        <v>7</v>
      </c>
      <c r="AF362">
        <v>3155.25</v>
      </c>
      <c r="AG362">
        <v>0.2</v>
      </c>
      <c r="AH362">
        <v>0.2</v>
      </c>
      <c r="AI362" t="str">
        <f t="shared" si="101"/>
        <v>Valid</v>
      </c>
      <c r="AJ362">
        <v>17669.400000000001</v>
      </c>
      <c r="AK362">
        <f t="shared" si="102"/>
        <v>17669.400000000001</v>
      </c>
      <c r="AL362">
        <v>13718.77</v>
      </c>
      <c r="AM362">
        <v>3950.63</v>
      </c>
      <c r="AN362">
        <f t="shared" si="103"/>
        <v>3950.630000000001</v>
      </c>
      <c r="AO362">
        <f t="shared" si="104"/>
        <v>-13718.77</v>
      </c>
      <c r="AP362" t="s">
        <v>124</v>
      </c>
      <c r="AQ362" t="str">
        <f t="shared" si="105"/>
        <v>Refunded</v>
      </c>
      <c r="AR362" t="s">
        <v>78</v>
      </c>
      <c r="AS362" t="str">
        <f t="shared" si="106"/>
        <v>Cancelled</v>
      </c>
      <c r="AT362" t="str">
        <f t="shared" si="107"/>
        <v>Clean</v>
      </c>
    </row>
    <row r="363" spans="1:46">
      <c r="A363" t="s">
        <v>1811</v>
      </c>
      <c r="B363">
        <f>COUNTIF($D$2:D363,D363)</f>
        <v>2</v>
      </c>
      <c r="C363" t="str">
        <f>IF(COUNTIF($A:$A,A363)=1,
"Unique",
IF(COUNTIFS($A:$A,A363,$N:$N,N363,$AF:$AF,AF363,$AJ:$AJ,AJ363)&gt;1,
"Exact Duplicate",
"Conflicting Duplicate"))</f>
        <v>Unique</v>
      </c>
      <c r="D363" t="s">
        <v>1157</v>
      </c>
      <c r="E363" t="s">
        <v>1812</v>
      </c>
      <c r="F363" s="3">
        <v>45661</v>
      </c>
      <c r="G363" s="3">
        <v>45692</v>
      </c>
      <c r="H363" s="5" t="str">
        <f t="shared" si="90"/>
        <v>January</v>
      </c>
      <c r="I363" s="5">
        <f t="shared" si="91"/>
        <v>2025</v>
      </c>
      <c r="J363" t="str">
        <f>IF(F363="","Missing Date",
IF(ISNUMBER(F363),"Valid","Invalid Date"))</f>
        <v>Valid</v>
      </c>
      <c r="K363" t="str">
        <f t="shared" si="92"/>
        <v>Valid</v>
      </c>
      <c r="L363">
        <f>G363-F363</f>
        <v>31</v>
      </c>
      <c r="M363" t="s">
        <v>1813</v>
      </c>
      <c r="N363" t="s">
        <v>180</v>
      </c>
      <c r="O363" t="str">
        <f t="shared" si="93"/>
        <v>Rohan Mehta</v>
      </c>
      <c r="P363" t="s">
        <v>108</v>
      </c>
      <c r="Q363" t="str">
        <f t="shared" si="94"/>
        <v>Corporate</v>
      </c>
      <c r="R363" t="s">
        <v>42</v>
      </c>
      <c r="S363" t="str">
        <f t="shared" si="95"/>
        <v>East</v>
      </c>
      <c r="T363" t="s">
        <v>43</v>
      </c>
      <c r="U363" t="str">
        <f t="shared" si="96"/>
        <v>Odisha</v>
      </c>
      <c r="V363" t="s">
        <v>44</v>
      </c>
      <c r="W363" t="str">
        <f t="shared" si="97"/>
        <v>Bhubaneswar</v>
      </c>
      <c r="X363" t="s">
        <v>45</v>
      </c>
      <c r="Y363" t="str">
        <f t="shared" si="98"/>
        <v>Furniture</v>
      </c>
      <c r="Z363" t="s">
        <v>76</v>
      </c>
      <c r="AA363" t="str">
        <f t="shared" si="99"/>
        <v>Chairs</v>
      </c>
      <c r="AB363" t="s">
        <v>1814</v>
      </c>
      <c r="AC363" t="s">
        <v>33</v>
      </c>
      <c r="AD363" t="str">
        <f t="shared" si="100"/>
        <v>Second Class</v>
      </c>
      <c r="AE363">
        <v>9</v>
      </c>
      <c r="AF363">
        <v>4165.58</v>
      </c>
      <c r="AG363">
        <v>0.05</v>
      </c>
      <c r="AH363">
        <v>0.05</v>
      </c>
      <c r="AI363" t="str">
        <f t="shared" si="101"/>
        <v>Valid</v>
      </c>
      <c r="AJ363">
        <v>35615.71</v>
      </c>
      <c r="AK363">
        <f t="shared" si="102"/>
        <v>35615.709000000003</v>
      </c>
      <c r="AL363">
        <v>20389.71</v>
      </c>
      <c r="AM363">
        <v>15226</v>
      </c>
      <c r="AN363">
        <f t="shared" si="103"/>
        <v>15225.999000000003</v>
      </c>
      <c r="AO363">
        <f t="shared" si="104"/>
        <v>-20389.71</v>
      </c>
      <c r="AP363" t="s">
        <v>137</v>
      </c>
      <c r="AQ363" t="str">
        <f t="shared" si="105"/>
        <v>Pending</v>
      </c>
      <c r="AR363" t="s">
        <v>125</v>
      </c>
      <c r="AS363" t="str">
        <f t="shared" si="106"/>
        <v>Returned</v>
      </c>
      <c r="AT363" t="str">
        <f t="shared" si="107"/>
        <v>Clean</v>
      </c>
    </row>
    <row r="364" spans="1:46">
      <c r="A364" t="s">
        <v>1815</v>
      </c>
      <c r="B364">
        <f>COUNTIF($D$2:D364,D364)</f>
        <v>1</v>
      </c>
      <c r="C364" t="str">
        <f>IF(COUNTIF($A:$A,A364)=1,
"Unique",
IF(COUNTIFS($A:$A,A364,$N:$N,N364,$AF:$AF,AF364,$AJ:$AJ,AJ364)&gt;1,
"Exact Duplicate",
"Conflicting Duplicate"))</f>
        <v>Unique</v>
      </c>
      <c r="D364" t="s">
        <v>1816</v>
      </c>
      <c r="E364" t="s">
        <v>1817</v>
      </c>
      <c r="F364" s="2">
        <v>45527</v>
      </c>
      <c r="G364" s="3">
        <v>45529</v>
      </c>
      <c r="H364" s="5" t="str">
        <f t="shared" si="90"/>
        <v>August</v>
      </c>
      <c r="I364" s="5">
        <f t="shared" si="91"/>
        <v>2024</v>
      </c>
      <c r="J364" t="str">
        <f>IF(F364="","Missing Date",
IF(ISNUMBER(F364),"Valid","Invalid Date"))</f>
        <v>Valid</v>
      </c>
      <c r="K364" t="str">
        <f t="shared" si="92"/>
        <v>Valid</v>
      </c>
      <c r="L364">
        <f>G364-F364</f>
        <v>2</v>
      </c>
      <c r="M364" t="s">
        <v>1818</v>
      </c>
      <c r="N364" t="s">
        <v>83</v>
      </c>
      <c r="O364" t="str">
        <f t="shared" si="93"/>
        <v>Vikram Iyer</v>
      </c>
      <c r="P364" t="s">
        <v>26</v>
      </c>
      <c r="Q364" t="str">
        <f t="shared" si="94"/>
        <v>Consumer</v>
      </c>
      <c r="R364" t="s">
        <v>73</v>
      </c>
      <c r="S364" t="str">
        <f t="shared" si="95"/>
        <v>West</v>
      </c>
      <c r="T364" t="s">
        <v>249</v>
      </c>
      <c r="U364" t="str">
        <f t="shared" si="96"/>
        <v>Goa</v>
      </c>
      <c r="V364" t="s">
        <v>250</v>
      </c>
      <c r="W364" t="str">
        <f t="shared" si="97"/>
        <v>Panaji</v>
      </c>
      <c r="X364" t="s">
        <v>86</v>
      </c>
      <c r="Y364" t="str">
        <f t="shared" si="98"/>
        <v>Technology</v>
      </c>
      <c r="Z364" t="s">
        <v>382</v>
      </c>
      <c r="AA364" t="str">
        <f t="shared" si="99"/>
        <v>Machines</v>
      </c>
      <c r="AB364" t="s">
        <v>1819</v>
      </c>
      <c r="AC364" t="s">
        <v>48</v>
      </c>
      <c r="AD364" t="str">
        <f t="shared" si="100"/>
        <v>Same Day</v>
      </c>
      <c r="AE364">
        <v>4</v>
      </c>
      <c r="AF364">
        <v>491.16</v>
      </c>
      <c r="AG364">
        <v>0.05</v>
      </c>
      <c r="AH364">
        <v>0.05</v>
      </c>
      <c r="AI364" t="str">
        <f t="shared" si="101"/>
        <v>Valid</v>
      </c>
      <c r="AJ364">
        <v>1866.41</v>
      </c>
      <c r="AK364">
        <f t="shared" si="102"/>
        <v>1866.4079999999999</v>
      </c>
      <c r="AL364">
        <v>1576.49</v>
      </c>
      <c r="AM364">
        <v>289.92</v>
      </c>
      <c r="AN364">
        <f t="shared" si="103"/>
        <v>289.91799999999989</v>
      </c>
      <c r="AO364">
        <f t="shared" si="104"/>
        <v>-1576.49</v>
      </c>
      <c r="AP364" t="s">
        <v>34</v>
      </c>
      <c r="AQ364" t="str">
        <f t="shared" si="105"/>
        <v>Paid</v>
      </c>
      <c r="AR364" t="s">
        <v>35</v>
      </c>
      <c r="AS364" t="str">
        <f t="shared" si="106"/>
        <v>Completed</v>
      </c>
      <c r="AT364" t="str">
        <f t="shared" si="107"/>
        <v>Clean</v>
      </c>
    </row>
    <row r="365" spans="1:46">
      <c r="A365" t="s">
        <v>1820</v>
      </c>
      <c r="B365">
        <f>COUNTIF($D$2:D365,D365)</f>
        <v>1</v>
      </c>
      <c r="C365" t="str">
        <f>IF(COUNTIF($A:$A,A365)=1,
"Unique",
IF(COUNTIFS($A:$A,A365,$N:$N,N365,$AF:$AF,AF365,$AJ:$AJ,AJ365)&gt;1,
"Exact Duplicate",
"Conflicting Duplicate"))</f>
        <v>Unique</v>
      </c>
      <c r="D365" t="s">
        <v>1821</v>
      </c>
      <c r="E365" t="s">
        <v>1822</v>
      </c>
      <c r="F365" s="3">
        <v>45845</v>
      </c>
      <c r="G365" s="3">
        <v>45850</v>
      </c>
      <c r="H365" s="5" t="str">
        <f t="shared" si="90"/>
        <v>July</v>
      </c>
      <c r="I365" s="5">
        <f t="shared" si="91"/>
        <v>2025</v>
      </c>
      <c r="J365" t="str">
        <f>IF(F365="","Missing Date",
IF(ISNUMBER(F365),"Valid","Invalid Date"))</f>
        <v>Valid</v>
      </c>
      <c r="K365" t="str">
        <f t="shared" si="92"/>
        <v>Valid</v>
      </c>
      <c r="L365">
        <f>G365-F365</f>
        <v>5</v>
      </c>
      <c r="M365" t="s">
        <v>1823</v>
      </c>
      <c r="N365" t="s">
        <v>210</v>
      </c>
      <c r="O365" t="str">
        <f t="shared" si="93"/>
        <v>Diya Patel</v>
      </c>
      <c r="P365" t="s">
        <v>108</v>
      </c>
      <c r="Q365" t="str">
        <f t="shared" si="94"/>
        <v>Corporate</v>
      </c>
      <c r="R365" t="s">
        <v>42</v>
      </c>
      <c r="S365" t="str">
        <f t="shared" si="95"/>
        <v>East</v>
      </c>
      <c r="T365" t="s">
        <v>121</v>
      </c>
      <c r="U365" t="str">
        <f t="shared" si="96"/>
        <v>West Bengal</v>
      </c>
      <c r="V365" t="s">
        <v>122</v>
      </c>
      <c r="W365" t="str">
        <f t="shared" si="97"/>
        <v>Kolkata</v>
      </c>
      <c r="X365" t="s">
        <v>45</v>
      </c>
      <c r="Y365" t="str">
        <f t="shared" si="98"/>
        <v>Furniture</v>
      </c>
      <c r="Z365" t="s">
        <v>46</v>
      </c>
      <c r="AA365" t="str">
        <f t="shared" si="99"/>
        <v>Tables</v>
      </c>
      <c r="AB365" t="s">
        <v>1824</v>
      </c>
      <c r="AC365" t="s">
        <v>33</v>
      </c>
      <c r="AD365" t="str">
        <f t="shared" si="100"/>
        <v>Second Class</v>
      </c>
      <c r="AE365">
        <v>5</v>
      </c>
      <c r="AF365">
        <v>1831.37</v>
      </c>
      <c r="AG365">
        <v>0.25</v>
      </c>
      <c r="AH365">
        <v>0.25</v>
      </c>
      <c r="AI365" t="str">
        <f t="shared" si="101"/>
        <v>Valid</v>
      </c>
      <c r="AJ365">
        <v>6867.64</v>
      </c>
      <c r="AK365">
        <f t="shared" si="102"/>
        <v>6867.6374999999989</v>
      </c>
      <c r="AL365">
        <v>5205.3599999999997</v>
      </c>
      <c r="AM365">
        <v>1662.28</v>
      </c>
      <c r="AN365">
        <f t="shared" si="103"/>
        <v>1662.2774999999992</v>
      </c>
      <c r="AO365">
        <f t="shared" si="104"/>
        <v>-5205.3599999999997</v>
      </c>
      <c r="AP365" t="s">
        <v>34</v>
      </c>
      <c r="AQ365" t="str">
        <f t="shared" si="105"/>
        <v>Paid</v>
      </c>
      <c r="AR365" t="s">
        <v>35</v>
      </c>
      <c r="AS365" t="str">
        <f t="shared" si="106"/>
        <v>Completed</v>
      </c>
      <c r="AT365" t="str">
        <f t="shared" si="107"/>
        <v>Clean</v>
      </c>
    </row>
    <row r="366" spans="1:46">
      <c r="A366" t="s">
        <v>1825</v>
      </c>
      <c r="B366">
        <f>COUNTIF($D$2:D366,D366)</f>
        <v>1</v>
      </c>
      <c r="C366" t="str">
        <f>IF(COUNTIF($A:$A,A366)=1,
"Unique",
IF(COUNTIFS($A:$A,A366,$N:$N,N366,$AF:$AF,AF366,$AJ:$AJ,AJ366)&gt;1,
"Exact Duplicate",
"Conflicting Duplicate"))</f>
        <v>Unique</v>
      </c>
      <c r="D366" t="s">
        <v>1826</v>
      </c>
      <c r="E366" t="s">
        <v>1827</v>
      </c>
      <c r="F366" s="3">
        <v>45737</v>
      </c>
      <c r="G366" s="3">
        <v>45740</v>
      </c>
      <c r="H366" s="5" t="str">
        <f t="shared" si="90"/>
        <v>March</v>
      </c>
      <c r="I366" s="5">
        <f t="shared" si="91"/>
        <v>2025</v>
      </c>
      <c r="J366" t="str">
        <f>IF(F366="","Missing Date",
IF(ISNUMBER(F366),"Valid","Invalid Date"))</f>
        <v>Valid</v>
      </c>
      <c r="K366" t="str">
        <f t="shared" si="92"/>
        <v>Valid</v>
      </c>
      <c r="L366">
        <f>G366-F366</f>
        <v>3</v>
      </c>
      <c r="M366" t="s">
        <v>1828</v>
      </c>
      <c r="N366" t="s">
        <v>162</v>
      </c>
      <c r="O366" t="str">
        <f t="shared" si="93"/>
        <v>Aarav Sharma</v>
      </c>
      <c r="P366" t="s">
        <v>41</v>
      </c>
      <c r="Q366" t="str">
        <f t="shared" si="94"/>
        <v>Small Business</v>
      </c>
      <c r="R366" t="s">
        <v>62</v>
      </c>
      <c r="S366" t="str">
        <f t="shared" si="95"/>
        <v>South</v>
      </c>
      <c r="T366" t="s">
        <v>100</v>
      </c>
      <c r="U366" t="str">
        <f t="shared" si="96"/>
        <v>Andhra Pradesh</v>
      </c>
      <c r="V366" t="s">
        <v>101</v>
      </c>
      <c r="W366" t="str">
        <f t="shared" si="97"/>
        <v>Vijayawada</v>
      </c>
      <c r="X366" t="s">
        <v>45</v>
      </c>
      <c r="Y366" t="str">
        <f t="shared" si="98"/>
        <v>Furniture</v>
      </c>
      <c r="Z366" t="s">
        <v>76</v>
      </c>
      <c r="AA366" t="str">
        <f t="shared" si="99"/>
        <v>Chairs</v>
      </c>
      <c r="AB366" t="s">
        <v>1829</v>
      </c>
      <c r="AC366" t="s">
        <v>33</v>
      </c>
      <c r="AD366" t="str">
        <f t="shared" si="100"/>
        <v>Second Class</v>
      </c>
      <c r="AE366">
        <v>5</v>
      </c>
      <c r="AF366">
        <v>1239.1500000000001</v>
      </c>
      <c r="AG366">
        <v>0</v>
      </c>
      <c r="AH366">
        <v>0</v>
      </c>
      <c r="AI366" t="str">
        <f t="shared" si="101"/>
        <v>Valid</v>
      </c>
      <c r="AJ366">
        <v>6195.75</v>
      </c>
      <c r="AK366">
        <f t="shared" si="102"/>
        <v>6195.75</v>
      </c>
      <c r="AL366">
        <v>3967.02</v>
      </c>
      <c r="AM366">
        <v>2228.73</v>
      </c>
      <c r="AN366">
        <f t="shared" si="103"/>
        <v>2228.73</v>
      </c>
      <c r="AO366">
        <f t="shared" si="104"/>
        <v>-3967.02</v>
      </c>
      <c r="AP366" t="s">
        <v>34</v>
      </c>
      <c r="AQ366" t="str">
        <f t="shared" si="105"/>
        <v>Paid</v>
      </c>
      <c r="AR366" t="s">
        <v>35</v>
      </c>
      <c r="AS366" t="str">
        <f t="shared" si="106"/>
        <v>Completed</v>
      </c>
      <c r="AT366" t="str">
        <f t="shared" si="107"/>
        <v>Clean</v>
      </c>
    </row>
    <row r="367" spans="1:46">
      <c r="A367" t="s">
        <v>1830</v>
      </c>
      <c r="B367">
        <f>COUNTIF($D$2:D367,D367)</f>
        <v>1</v>
      </c>
      <c r="C367" t="str">
        <f>IF(COUNTIF($A:$A,A367)=1,
"Unique",
IF(COUNTIFS($A:$A,A367,$N:$N,N367,$AF:$AF,AF367,$AJ:$AJ,AJ367)&gt;1,
"Exact Duplicate",
"Conflicting Duplicate"))</f>
        <v>Unique</v>
      </c>
      <c r="D367" t="s">
        <v>1831</v>
      </c>
      <c r="E367" t="s">
        <v>1832</v>
      </c>
      <c r="F367" s="3">
        <v>45458</v>
      </c>
      <c r="G367" s="3">
        <v>45464</v>
      </c>
      <c r="H367" s="5" t="str">
        <f t="shared" si="90"/>
        <v>June</v>
      </c>
      <c r="I367" s="5">
        <f t="shared" si="91"/>
        <v>2024</v>
      </c>
      <c r="J367" t="str">
        <f>IF(F367="","Missing Date",
IF(ISNUMBER(F367),"Valid","Invalid Date"))</f>
        <v>Valid</v>
      </c>
      <c r="K367" t="str">
        <f t="shared" si="92"/>
        <v>Valid</v>
      </c>
      <c r="L367">
        <f>G367-F367</f>
        <v>6</v>
      </c>
      <c r="M367" t="s">
        <v>1833</v>
      </c>
      <c r="N367" t="s">
        <v>107</v>
      </c>
      <c r="O367" t="str">
        <f t="shared" si="93"/>
        <v>Aditi Sen</v>
      </c>
      <c r="P367" t="s">
        <v>108</v>
      </c>
      <c r="Q367" t="str">
        <f t="shared" si="94"/>
        <v>Corporate</v>
      </c>
      <c r="R367" t="s">
        <v>73</v>
      </c>
      <c r="S367" t="str">
        <f t="shared" si="95"/>
        <v>West</v>
      </c>
      <c r="T367" t="s">
        <v>249</v>
      </c>
      <c r="U367" t="str">
        <f t="shared" si="96"/>
        <v>Goa</v>
      </c>
      <c r="V367" t="s">
        <v>250</v>
      </c>
      <c r="W367" t="str">
        <f t="shared" si="97"/>
        <v>Panaji</v>
      </c>
      <c r="X367" t="s">
        <v>86</v>
      </c>
      <c r="Y367" t="str">
        <f t="shared" si="98"/>
        <v>Technology</v>
      </c>
      <c r="Z367" t="s">
        <v>87</v>
      </c>
      <c r="AA367" t="str">
        <f t="shared" si="99"/>
        <v>Accessories</v>
      </c>
      <c r="AB367" t="s">
        <v>1834</v>
      </c>
      <c r="AC367" t="s">
        <v>56</v>
      </c>
      <c r="AD367" t="str">
        <f t="shared" si="100"/>
        <v>First Class</v>
      </c>
      <c r="AE367">
        <v>8</v>
      </c>
      <c r="AF367">
        <v>1706.4</v>
      </c>
      <c r="AG367" t="s">
        <v>4104</v>
      </c>
      <c r="AH367" t="s">
        <v>4104</v>
      </c>
      <c r="AI367" t="str">
        <f t="shared" si="101"/>
        <v>Invalid - Above Range</v>
      </c>
      <c r="AJ367">
        <v>12968.64</v>
      </c>
      <c r="AK367" t="s">
        <v>4104</v>
      </c>
      <c r="AL367">
        <v>10119.61</v>
      </c>
      <c r="AM367">
        <v>2849.03</v>
      </c>
      <c r="AN367" t="s">
        <v>4104</v>
      </c>
      <c r="AO367" t="s">
        <v>4104</v>
      </c>
      <c r="AP367" t="s">
        <v>34</v>
      </c>
      <c r="AQ367" t="str">
        <f t="shared" si="105"/>
        <v>Paid</v>
      </c>
      <c r="AR367" t="s">
        <v>35</v>
      </c>
      <c r="AS367" t="str">
        <f t="shared" si="106"/>
        <v>Completed</v>
      </c>
      <c r="AT367" t="str">
        <f t="shared" si="107"/>
        <v>Needs Review</v>
      </c>
    </row>
    <row r="368" spans="1:46">
      <c r="A368" t="s">
        <v>1835</v>
      </c>
      <c r="B368">
        <f>COUNTIF($D$2:D368,D368)</f>
        <v>1</v>
      </c>
      <c r="C368" t="str">
        <f>IF(COUNTIF($A:$A,A368)=1,
"Unique",
IF(COUNTIFS($A:$A,A368,$N:$N,N368,$AF:$AF,AF368,$AJ:$AJ,AJ368)&gt;1,
"Exact Duplicate",
"Conflicting Duplicate"))</f>
        <v>Unique</v>
      </c>
      <c r="D368" t="s">
        <v>1836</v>
      </c>
      <c r="E368" t="s">
        <v>1837</v>
      </c>
      <c r="F368" s="3">
        <v>45673</v>
      </c>
      <c r="G368" s="3">
        <v>45679</v>
      </c>
      <c r="H368" s="5" t="str">
        <f t="shared" si="90"/>
        <v>January</v>
      </c>
      <c r="I368" s="5">
        <f t="shared" si="91"/>
        <v>2025</v>
      </c>
      <c r="J368" t="str">
        <f>IF(F368="","Missing Date",
IF(ISNUMBER(F368),"Valid","Invalid Date"))</f>
        <v>Valid</v>
      </c>
      <c r="K368" t="str">
        <f t="shared" si="92"/>
        <v>Valid</v>
      </c>
      <c r="L368">
        <f>G368-F368</f>
        <v>6</v>
      </c>
      <c r="M368" t="s">
        <v>1838</v>
      </c>
      <c r="N368" t="s">
        <v>168</v>
      </c>
      <c r="O368" t="str">
        <f t="shared" si="93"/>
        <v>Sneha Kapoor</v>
      </c>
      <c r="P368" t="s">
        <v>108</v>
      </c>
      <c r="Q368" t="str">
        <f t="shared" si="94"/>
        <v>Corporate</v>
      </c>
      <c r="R368" t="s">
        <v>27</v>
      </c>
      <c r="S368" t="str">
        <f t="shared" si="95"/>
        <v>North</v>
      </c>
      <c r="T368" t="s">
        <v>28</v>
      </c>
      <c r="U368" t="str">
        <f t="shared" si="96"/>
        <v>Rajasthan</v>
      </c>
      <c r="V368" t="s">
        <v>29</v>
      </c>
      <c r="W368" t="str">
        <f t="shared" si="97"/>
        <v>Jaipur</v>
      </c>
      <c r="X368" t="s">
        <v>45</v>
      </c>
      <c r="Y368" t="str">
        <f t="shared" si="98"/>
        <v>Furniture</v>
      </c>
      <c r="Z368" t="s">
        <v>46</v>
      </c>
      <c r="AA368" t="str">
        <f t="shared" si="99"/>
        <v>Tables</v>
      </c>
      <c r="AB368" t="s">
        <v>1839</v>
      </c>
      <c r="AC368" t="s">
        <v>48</v>
      </c>
      <c r="AD368" t="str">
        <f t="shared" si="100"/>
        <v>Same Day</v>
      </c>
      <c r="AE368">
        <v>2</v>
      </c>
      <c r="AF368">
        <v>4418.28</v>
      </c>
      <c r="AG368">
        <v>0</v>
      </c>
      <c r="AH368">
        <v>0</v>
      </c>
      <c r="AI368" t="str">
        <f t="shared" si="101"/>
        <v>Valid</v>
      </c>
      <c r="AJ368">
        <v>8836.56</v>
      </c>
      <c r="AK368">
        <f t="shared" si="102"/>
        <v>8836.56</v>
      </c>
      <c r="AL368">
        <v>5867.75</v>
      </c>
      <c r="AM368">
        <v>2968.81</v>
      </c>
      <c r="AN368">
        <f t="shared" si="103"/>
        <v>2968.8099999999995</v>
      </c>
      <c r="AO368">
        <f t="shared" si="104"/>
        <v>-5867.75</v>
      </c>
      <c r="AP368" t="s">
        <v>34</v>
      </c>
      <c r="AQ368" t="str">
        <f t="shared" si="105"/>
        <v>Paid</v>
      </c>
      <c r="AR368" t="s">
        <v>35</v>
      </c>
      <c r="AS368" t="str">
        <f t="shared" si="106"/>
        <v>Completed</v>
      </c>
      <c r="AT368" t="str">
        <f t="shared" si="107"/>
        <v>Clean</v>
      </c>
    </row>
    <row r="369" spans="1:46">
      <c r="A369" t="s">
        <v>1840</v>
      </c>
      <c r="B369">
        <f>COUNTIF($D$2:D369,D369)</f>
        <v>2</v>
      </c>
      <c r="C369" t="str">
        <f>IF(COUNTIF($A:$A,A369)=1,
"Unique",
IF(COUNTIFS($A:$A,A369,$N:$N,N369,$AF:$AF,AF369,$AJ:$AJ,AJ369)&gt;1,
"Exact Duplicate",
"Conflicting Duplicate"))</f>
        <v>Unique</v>
      </c>
      <c r="D369" t="s">
        <v>978</v>
      </c>
      <c r="E369" t="s">
        <v>1841</v>
      </c>
      <c r="F369" s="3">
        <v>45366</v>
      </c>
      <c r="G369" s="3">
        <v>45367</v>
      </c>
      <c r="H369" s="5" t="str">
        <f t="shared" si="90"/>
        <v>March</v>
      </c>
      <c r="I369" s="5">
        <f t="shared" si="91"/>
        <v>2024</v>
      </c>
      <c r="J369" t="str">
        <f>IF(F369="","Missing Date",
IF(ISNUMBER(F369),"Valid","Invalid Date"))</f>
        <v>Valid</v>
      </c>
      <c r="K369" t="str">
        <f t="shared" si="92"/>
        <v>Valid</v>
      </c>
      <c r="L369">
        <f>G369-F369</f>
        <v>1</v>
      </c>
      <c r="M369" t="s">
        <v>1842</v>
      </c>
      <c r="N369" t="s">
        <v>180</v>
      </c>
      <c r="O369" t="str">
        <f t="shared" si="93"/>
        <v>Rohan Mehta</v>
      </c>
      <c r="P369" t="s">
        <v>26</v>
      </c>
      <c r="Q369" t="str">
        <f t="shared" si="94"/>
        <v>Consumer</v>
      </c>
      <c r="R369" t="s">
        <v>27</v>
      </c>
      <c r="S369" t="str">
        <f t="shared" si="95"/>
        <v>North</v>
      </c>
      <c r="T369" t="s">
        <v>506</v>
      </c>
      <c r="U369" t="str">
        <f t="shared" si="96"/>
        <v>Delhi</v>
      </c>
      <c r="V369" t="s">
        <v>507</v>
      </c>
      <c r="W369" t="str">
        <f t="shared" si="97"/>
        <v>New Delhi</v>
      </c>
      <c r="X369" t="s">
        <v>30</v>
      </c>
      <c r="Y369" t="str">
        <f t="shared" si="98"/>
        <v>Office Supplies</v>
      </c>
      <c r="Z369" t="s">
        <v>54</v>
      </c>
      <c r="AA369" t="str">
        <f t="shared" si="99"/>
        <v>Art</v>
      </c>
      <c r="AB369" t="s">
        <v>1843</v>
      </c>
      <c r="AC369" t="s">
        <v>67</v>
      </c>
      <c r="AD369" t="str">
        <f t="shared" si="100"/>
        <v>Standard Class</v>
      </c>
      <c r="AE369">
        <v>6</v>
      </c>
      <c r="AF369">
        <v>3815.09</v>
      </c>
      <c r="AG369">
        <v>0.15</v>
      </c>
      <c r="AH369">
        <v>0.15</v>
      </c>
      <c r="AI369" t="str">
        <f t="shared" si="101"/>
        <v>Valid</v>
      </c>
      <c r="AJ369">
        <v>19456.96</v>
      </c>
      <c r="AK369">
        <f t="shared" si="102"/>
        <v>19456.958999999999</v>
      </c>
      <c r="AL369">
        <v>14520.06</v>
      </c>
      <c r="AM369">
        <v>4936.8999999999996</v>
      </c>
      <c r="AN369">
        <f t="shared" si="103"/>
        <v>4936.8989999999994</v>
      </c>
      <c r="AO369">
        <f t="shared" si="104"/>
        <v>-14520.06</v>
      </c>
      <c r="AP369" t="s">
        <v>200</v>
      </c>
      <c r="AQ369" t="str">
        <f t="shared" si="105"/>
        <v>Failed</v>
      </c>
      <c r="AR369" t="s">
        <v>78</v>
      </c>
      <c r="AS369" t="str">
        <f t="shared" si="106"/>
        <v>Cancelled</v>
      </c>
      <c r="AT369" t="str">
        <f t="shared" si="107"/>
        <v>Clean</v>
      </c>
    </row>
    <row r="370" spans="1:46">
      <c r="A370" t="s">
        <v>1844</v>
      </c>
      <c r="B370">
        <f>COUNTIF($D$2:D370,D370)</f>
        <v>1</v>
      </c>
      <c r="C370" t="str">
        <f>IF(COUNTIF($A:$A,A370)=1,
"Unique",
IF(COUNTIFS($A:$A,A370,$N:$N,N370,$AF:$AF,AF370,$AJ:$AJ,AJ370)&gt;1,
"Exact Duplicate",
"Conflicting Duplicate"))</f>
        <v>Unique</v>
      </c>
      <c r="D370" t="s">
        <v>1272</v>
      </c>
      <c r="E370" t="s">
        <v>1272</v>
      </c>
      <c r="F370" s="3">
        <v>45815</v>
      </c>
      <c r="G370" s="3">
        <v>45815</v>
      </c>
      <c r="H370" s="5" t="str">
        <f t="shared" si="90"/>
        <v>June</v>
      </c>
      <c r="I370" s="5">
        <f t="shared" si="91"/>
        <v>2025</v>
      </c>
      <c r="J370" t="str">
        <f>IF(F370="","Missing Date",
IF(ISNUMBER(F370),"Valid","Invalid Date"))</f>
        <v>Valid</v>
      </c>
      <c r="K370" t="str">
        <f t="shared" si="92"/>
        <v>Valid</v>
      </c>
      <c r="L370">
        <f>G370-F370</f>
        <v>0</v>
      </c>
      <c r="M370" t="s">
        <v>1845</v>
      </c>
      <c r="N370" t="s">
        <v>162</v>
      </c>
      <c r="O370" t="str">
        <f t="shared" si="93"/>
        <v>Aarav Sharma</v>
      </c>
      <c r="P370" t="s">
        <v>115</v>
      </c>
      <c r="Q370" t="str">
        <f t="shared" si="94"/>
        <v>Home Office</v>
      </c>
      <c r="R370" t="s">
        <v>27</v>
      </c>
      <c r="S370" t="str">
        <f t="shared" si="95"/>
        <v>North</v>
      </c>
      <c r="T370" t="s">
        <v>28</v>
      </c>
      <c r="U370" t="str">
        <f t="shared" si="96"/>
        <v>Rajasthan</v>
      </c>
      <c r="V370" t="s">
        <v>29</v>
      </c>
      <c r="W370" t="str">
        <f t="shared" si="97"/>
        <v>Jaipur</v>
      </c>
      <c r="X370" t="s">
        <v>86</v>
      </c>
      <c r="Y370" t="str">
        <f t="shared" si="98"/>
        <v>Technology</v>
      </c>
      <c r="Z370" t="s">
        <v>87</v>
      </c>
      <c r="AA370" t="str">
        <f t="shared" si="99"/>
        <v>Accessories</v>
      </c>
      <c r="AB370" t="s">
        <v>1846</v>
      </c>
      <c r="AC370" t="s">
        <v>48</v>
      </c>
      <c r="AD370" t="str">
        <f t="shared" si="100"/>
        <v>Same Day</v>
      </c>
      <c r="AE370">
        <v>9</v>
      </c>
      <c r="AF370">
        <v>243.19</v>
      </c>
      <c r="AG370">
        <v>0.05</v>
      </c>
      <c r="AH370">
        <v>0.05</v>
      </c>
      <c r="AI370" t="str">
        <f t="shared" si="101"/>
        <v>Valid</v>
      </c>
      <c r="AJ370">
        <v>2079.27</v>
      </c>
      <c r="AK370">
        <f t="shared" si="102"/>
        <v>2079.2745</v>
      </c>
      <c r="AL370">
        <v>1512.17</v>
      </c>
      <c r="AM370">
        <v>567.1</v>
      </c>
      <c r="AN370">
        <f t="shared" si="103"/>
        <v>567.10449999999992</v>
      </c>
      <c r="AO370">
        <f t="shared" si="104"/>
        <v>-1512.17</v>
      </c>
      <c r="AP370" t="s">
        <v>124</v>
      </c>
      <c r="AQ370" t="str">
        <f t="shared" si="105"/>
        <v>Refunded</v>
      </c>
      <c r="AR370" t="s">
        <v>125</v>
      </c>
      <c r="AS370" t="str">
        <f t="shared" si="106"/>
        <v>Returned</v>
      </c>
      <c r="AT370" t="str">
        <f t="shared" si="107"/>
        <v>Clean</v>
      </c>
    </row>
    <row r="371" spans="1:46">
      <c r="A371" t="s">
        <v>1847</v>
      </c>
      <c r="B371">
        <f>COUNTIF($D$2:D371,D371)</f>
        <v>3</v>
      </c>
      <c r="C371" t="str">
        <f>IF(COUNTIF($A:$A,A371)=1,
"Unique",
IF(COUNTIFS($A:$A,A371,$N:$N,N371,$AF:$AF,AF371,$AJ:$AJ,AJ371)&gt;1,
"Exact Duplicate",
"Conflicting Duplicate"))</f>
        <v>Unique</v>
      </c>
      <c r="D371" t="s">
        <v>1531</v>
      </c>
      <c r="E371" t="s">
        <v>191</v>
      </c>
      <c r="F371" s="3">
        <v>45680</v>
      </c>
      <c r="G371" s="3">
        <v>45687</v>
      </c>
      <c r="H371" s="5" t="str">
        <f t="shared" si="90"/>
        <v>January</v>
      </c>
      <c r="I371" s="5">
        <f t="shared" si="91"/>
        <v>2025</v>
      </c>
      <c r="J371" t="str">
        <f>IF(F371="","Missing Date",
IF(ISNUMBER(F371),"Valid","Invalid Date"))</f>
        <v>Valid</v>
      </c>
      <c r="K371" t="str">
        <f t="shared" si="92"/>
        <v>Valid</v>
      </c>
      <c r="L371">
        <f>G371-F371</f>
        <v>7</v>
      </c>
      <c r="M371" t="s">
        <v>1848</v>
      </c>
      <c r="N371" t="s">
        <v>142</v>
      </c>
      <c r="O371" t="str">
        <f t="shared" si="93"/>
        <v>Priya Menon</v>
      </c>
      <c r="P371" t="s">
        <v>26</v>
      </c>
      <c r="Q371" t="str">
        <f t="shared" si="94"/>
        <v>Consumer</v>
      </c>
      <c r="R371" t="s">
        <v>27</v>
      </c>
      <c r="S371" t="str">
        <f t="shared" si="95"/>
        <v>North</v>
      </c>
      <c r="T371" t="s">
        <v>506</v>
      </c>
      <c r="U371" t="str">
        <f t="shared" si="96"/>
        <v>Delhi</v>
      </c>
      <c r="V371" t="s">
        <v>507</v>
      </c>
      <c r="W371" t="str">
        <f t="shared" si="97"/>
        <v>New Delhi</v>
      </c>
      <c r="X371" t="s">
        <v>30</v>
      </c>
      <c r="Y371" t="str">
        <f t="shared" si="98"/>
        <v>Office Supplies</v>
      </c>
      <c r="Z371" t="s">
        <v>109</v>
      </c>
      <c r="AA371" t="str">
        <f t="shared" si="99"/>
        <v>Labels</v>
      </c>
      <c r="AB371" t="s">
        <v>1849</v>
      </c>
      <c r="AC371" t="s">
        <v>67</v>
      </c>
      <c r="AD371" t="str">
        <f t="shared" si="100"/>
        <v>Standard Class</v>
      </c>
      <c r="AE371">
        <v>9</v>
      </c>
      <c r="AF371">
        <v>1169.3699999999999</v>
      </c>
      <c r="AG371">
        <v>0.15</v>
      </c>
      <c r="AH371">
        <v>0.15</v>
      </c>
      <c r="AI371" t="str">
        <f t="shared" si="101"/>
        <v>Valid</v>
      </c>
      <c r="AJ371">
        <v>8945.68</v>
      </c>
      <c r="AK371">
        <f t="shared" si="102"/>
        <v>8945.6804999999986</v>
      </c>
      <c r="AL371">
        <v>6740.35</v>
      </c>
      <c r="AM371">
        <v>2205.33</v>
      </c>
      <c r="AN371">
        <f t="shared" si="103"/>
        <v>2205.3304999999982</v>
      </c>
      <c r="AO371">
        <f t="shared" si="104"/>
        <v>-6740.35</v>
      </c>
      <c r="AP371" t="s">
        <v>34</v>
      </c>
      <c r="AQ371" t="str">
        <f t="shared" si="105"/>
        <v>Paid</v>
      </c>
      <c r="AR371" t="s">
        <v>35</v>
      </c>
      <c r="AS371" t="str">
        <f t="shared" si="106"/>
        <v>Completed</v>
      </c>
      <c r="AT371" t="str">
        <f t="shared" si="107"/>
        <v>Clean</v>
      </c>
    </row>
    <row r="372" spans="1:46">
      <c r="A372" t="s">
        <v>1850</v>
      </c>
      <c r="B372">
        <f>COUNTIF($D$2:D372,D372)</f>
        <v>1</v>
      </c>
      <c r="C372" t="str">
        <f>IF(COUNTIF($A:$A,A372)=1,
"Unique",
IF(COUNTIFS($A:$A,A372,$N:$N,N372,$AF:$AF,AF372,$AJ:$AJ,AJ372)&gt;1,
"Exact Duplicate",
"Conflicting Duplicate"))</f>
        <v>Unique</v>
      </c>
      <c r="D372" t="s">
        <v>1851</v>
      </c>
      <c r="E372" t="s">
        <v>1626</v>
      </c>
      <c r="F372" s="3">
        <v>45519</v>
      </c>
      <c r="G372" s="2">
        <v>45525</v>
      </c>
      <c r="H372" s="5" t="str">
        <f t="shared" si="90"/>
        <v>August</v>
      </c>
      <c r="I372" s="5">
        <f t="shared" si="91"/>
        <v>2024</v>
      </c>
      <c r="J372" t="str">
        <f>IF(F372="","Missing Date",
IF(ISNUMBER(F372),"Valid","Invalid Date"))</f>
        <v>Valid</v>
      </c>
      <c r="K372" t="str">
        <f t="shared" si="92"/>
        <v>Valid</v>
      </c>
      <c r="L372">
        <f>G372-F372</f>
        <v>6</v>
      </c>
      <c r="M372" t="s">
        <v>1852</v>
      </c>
      <c r="N372" t="s">
        <v>72</v>
      </c>
      <c r="O372" t="str">
        <f t="shared" si="93"/>
        <v>Ananya Rao</v>
      </c>
      <c r="P372" t="s">
        <v>41</v>
      </c>
      <c r="Q372" t="str">
        <f t="shared" si="94"/>
        <v>Small Business</v>
      </c>
      <c r="R372" t="s">
        <v>73</v>
      </c>
      <c r="S372" t="str">
        <f t="shared" si="95"/>
        <v>West</v>
      </c>
      <c r="T372" t="s">
        <v>28</v>
      </c>
      <c r="U372" t="str">
        <f t="shared" si="96"/>
        <v>Rajasthan</v>
      </c>
      <c r="V372" t="s">
        <v>135</v>
      </c>
      <c r="W372" t="str">
        <f t="shared" si="97"/>
        <v>Udaipur</v>
      </c>
      <c r="X372" t="s">
        <v>86</v>
      </c>
      <c r="Y372" t="str">
        <f t="shared" si="98"/>
        <v>Technology</v>
      </c>
      <c r="Z372" t="s">
        <v>94</v>
      </c>
      <c r="AA372" t="str">
        <f t="shared" si="99"/>
        <v>Copiers</v>
      </c>
      <c r="AB372" t="s">
        <v>1853</v>
      </c>
      <c r="AC372" t="s">
        <v>56</v>
      </c>
      <c r="AD372" t="str">
        <f t="shared" si="100"/>
        <v>First Class</v>
      </c>
      <c r="AE372">
        <v>7</v>
      </c>
      <c r="AF372">
        <v>2333.81</v>
      </c>
      <c r="AG372">
        <v>0.2</v>
      </c>
      <c r="AH372">
        <v>0.2</v>
      </c>
      <c r="AI372" t="str">
        <f t="shared" si="101"/>
        <v>Valid</v>
      </c>
      <c r="AJ372">
        <v>13069.34</v>
      </c>
      <c r="AK372">
        <f t="shared" si="102"/>
        <v>13069.336000000001</v>
      </c>
      <c r="AL372">
        <v>8768.59</v>
      </c>
      <c r="AM372">
        <v>4300.75</v>
      </c>
      <c r="AN372">
        <f t="shared" si="103"/>
        <v>4300.746000000001</v>
      </c>
      <c r="AO372">
        <f t="shared" si="104"/>
        <v>-8768.59</v>
      </c>
      <c r="AP372" t="s">
        <v>34</v>
      </c>
      <c r="AQ372" t="str">
        <f t="shared" si="105"/>
        <v>Paid</v>
      </c>
      <c r="AR372" t="s">
        <v>35</v>
      </c>
      <c r="AS372" t="str">
        <f t="shared" si="106"/>
        <v>Completed</v>
      </c>
      <c r="AT372" t="str">
        <f t="shared" si="107"/>
        <v>Clean</v>
      </c>
    </row>
    <row r="373" spans="1:46">
      <c r="A373" t="s">
        <v>1854</v>
      </c>
      <c r="B373">
        <f>COUNTIF($D$2:D373,D373)</f>
        <v>3</v>
      </c>
      <c r="C373" t="str">
        <f>IF(COUNTIF($A:$A,A373)=1,
"Unique",
IF(COUNTIFS($A:$A,A373,$N:$N,N373,$AF:$AF,AF373,$AJ:$AJ,AJ373)&gt;1,
"Exact Duplicate",
"Conflicting Duplicate"))</f>
        <v>Unique</v>
      </c>
      <c r="D373" t="s">
        <v>1058</v>
      </c>
      <c r="E373" t="s">
        <v>1855</v>
      </c>
      <c r="F373" s="3">
        <v>45313</v>
      </c>
      <c r="G373" s="3">
        <v>45315</v>
      </c>
      <c r="H373" s="5" t="str">
        <f t="shared" si="90"/>
        <v>January</v>
      </c>
      <c r="I373" s="5">
        <f t="shared" si="91"/>
        <v>2024</v>
      </c>
      <c r="J373" t="str">
        <f>IF(F373="","Missing Date",
IF(ISNUMBER(F373),"Valid","Invalid Date"))</f>
        <v>Valid</v>
      </c>
      <c r="K373" t="str">
        <f t="shared" si="92"/>
        <v>Valid</v>
      </c>
      <c r="L373">
        <f>G373-F373</f>
        <v>2</v>
      </c>
      <c r="M373" t="s">
        <v>1856</v>
      </c>
      <c r="N373" t="s">
        <v>210</v>
      </c>
      <c r="O373" t="str">
        <f t="shared" si="93"/>
        <v>Diya Patel</v>
      </c>
      <c r="P373" t="s">
        <v>115</v>
      </c>
      <c r="Q373" t="str">
        <f t="shared" si="94"/>
        <v>Home Office</v>
      </c>
      <c r="R373" t="s">
        <v>73</v>
      </c>
      <c r="S373" t="str">
        <f t="shared" si="95"/>
        <v>West</v>
      </c>
      <c r="T373" t="s">
        <v>74</v>
      </c>
      <c r="U373" t="str">
        <f t="shared" si="96"/>
        <v>Maharashtra</v>
      </c>
      <c r="V373" t="s">
        <v>75</v>
      </c>
      <c r="W373" t="str">
        <f t="shared" si="97"/>
        <v>Mumbai</v>
      </c>
      <c r="X373" t="s">
        <v>30</v>
      </c>
      <c r="Y373" t="str">
        <f t="shared" si="98"/>
        <v>Office Supplies</v>
      </c>
      <c r="Z373" t="s">
        <v>54</v>
      </c>
      <c r="AA373" t="str">
        <f t="shared" si="99"/>
        <v>Art</v>
      </c>
      <c r="AB373" t="s">
        <v>1857</v>
      </c>
      <c r="AC373" t="s">
        <v>67</v>
      </c>
      <c r="AD373" t="str">
        <f t="shared" si="100"/>
        <v>Standard Class</v>
      </c>
      <c r="AE373">
        <v>6</v>
      </c>
      <c r="AF373">
        <v>1026.06</v>
      </c>
      <c r="AG373" t="s">
        <v>4104</v>
      </c>
      <c r="AH373" t="s">
        <v>4104</v>
      </c>
      <c r="AI373" t="str">
        <f t="shared" si="101"/>
        <v>Invalid - Above Range</v>
      </c>
      <c r="AJ373">
        <v>4617.2700000000004</v>
      </c>
      <c r="AK373" t="s">
        <v>4104</v>
      </c>
      <c r="AL373">
        <v>2981.94</v>
      </c>
      <c r="AM373">
        <v>1635.33</v>
      </c>
      <c r="AN373" t="s">
        <v>4104</v>
      </c>
      <c r="AO373" t="s">
        <v>4104</v>
      </c>
      <c r="AP373" t="s">
        <v>124</v>
      </c>
      <c r="AQ373" t="str">
        <f t="shared" si="105"/>
        <v>Refunded</v>
      </c>
      <c r="AR373" t="s">
        <v>78</v>
      </c>
      <c r="AS373" t="str">
        <f t="shared" si="106"/>
        <v>Cancelled</v>
      </c>
      <c r="AT373" t="str">
        <f t="shared" si="107"/>
        <v>Needs Review</v>
      </c>
    </row>
    <row r="374" spans="1:46">
      <c r="A374" t="s">
        <v>1858</v>
      </c>
      <c r="B374">
        <f>COUNTIF($D$2:D374,D374)</f>
        <v>1</v>
      </c>
      <c r="C374" t="str">
        <f>IF(COUNTIF($A:$A,A374)=1,
"Unique",
IF(COUNTIFS($A:$A,A374,$N:$N,N374,$AF:$AF,AF374,$AJ:$AJ,AJ374)&gt;1,
"Exact Duplicate",
"Conflicting Duplicate"))</f>
        <v>Unique</v>
      </c>
      <c r="D374" t="s">
        <v>1859</v>
      </c>
      <c r="E374" t="s">
        <v>921</v>
      </c>
      <c r="F374" s="3">
        <v>45885</v>
      </c>
      <c r="G374" s="3">
        <v>45887</v>
      </c>
      <c r="H374" s="5" t="str">
        <f t="shared" si="90"/>
        <v>August</v>
      </c>
      <c r="I374" s="5">
        <f t="shared" si="91"/>
        <v>2025</v>
      </c>
      <c r="J374" t="str">
        <f>IF(F374="","Missing Date",
IF(ISNUMBER(F374),"Valid","Invalid Date"))</f>
        <v>Valid</v>
      </c>
      <c r="K374" t="str">
        <f t="shared" si="92"/>
        <v>Valid</v>
      </c>
      <c r="L374">
        <f>G374-F374</f>
        <v>2</v>
      </c>
      <c r="M374" t="s">
        <v>970</v>
      </c>
      <c r="N374" t="s">
        <v>366</v>
      </c>
      <c r="O374" t="str">
        <f t="shared" si="93"/>
        <v>Kabir Singh</v>
      </c>
      <c r="P374" t="s">
        <v>26</v>
      </c>
      <c r="Q374" t="str">
        <f t="shared" si="94"/>
        <v>Consumer</v>
      </c>
      <c r="R374" t="s">
        <v>42</v>
      </c>
      <c r="S374" t="str">
        <f t="shared" si="95"/>
        <v>East</v>
      </c>
      <c r="T374" t="s">
        <v>311</v>
      </c>
      <c r="U374" t="str">
        <f t="shared" si="96"/>
        <v>Jharkhand</v>
      </c>
      <c r="V374" t="s">
        <v>312</v>
      </c>
      <c r="W374" t="str">
        <f t="shared" si="97"/>
        <v>Ranchi</v>
      </c>
      <c r="X374" t="s">
        <v>45</v>
      </c>
      <c r="Y374" t="str">
        <f t="shared" si="98"/>
        <v>Furniture</v>
      </c>
      <c r="Z374" t="s">
        <v>76</v>
      </c>
      <c r="AA374" t="str">
        <f t="shared" si="99"/>
        <v>Chairs</v>
      </c>
      <c r="AB374" t="s">
        <v>1860</v>
      </c>
      <c r="AC374" t="s">
        <v>48</v>
      </c>
      <c r="AD374" t="str">
        <f t="shared" si="100"/>
        <v>Same Day</v>
      </c>
      <c r="AE374">
        <v>5</v>
      </c>
      <c r="AF374">
        <v>1530.36</v>
      </c>
      <c r="AG374">
        <v>0</v>
      </c>
      <c r="AH374">
        <v>0</v>
      </c>
      <c r="AI374" t="str">
        <f t="shared" si="101"/>
        <v>Valid</v>
      </c>
      <c r="AJ374">
        <v>7651.8</v>
      </c>
      <c r="AK374">
        <f t="shared" si="102"/>
        <v>7651.7999999999993</v>
      </c>
      <c r="AL374">
        <v>5171.78</v>
      </c>
      <c r="AM374">
        <v>2480.02</v>
      </c>
      <c r="AN374">
        <f t="shared" si="103"/>
        <v>2480.0199999999995</v>
      </c>
      <c r="AO374">
        <f t="shared" si="104"/>
        <v>-5171.78</v>
      </c>
      <c r="AP374" t="s">
        <v>34</v>
      </c>
      <c r="AQ374" t="str">
        <f t="shared" si="105"/>
        <v>Paid</v>
      </c>
      <c r="AR374" t="s">
        <v>35</v>
      </c>
      <c r="AS374" t="str">
        <f t="shared" si="106"/>
        <v>Completed</v>
      </c>
      <c r="AT374" t="str">
        <f t="shared" si="107"/>
        <v>Clean</v>
      </c>
    </row>
    <row r="375" spans="1:46">
      <c r="A375" t="s">
        <v>1861</v>
      </c>
      <c r="B375">
        <f>COUNTIF($D$2:D375,D375)</f>
        <v>1</v>
      </c>
      <c r="C375" t="str">
        <f>IF(COUNTIF($A:$A,A375)=1,
"Unique",
IF(COUNTIFS($A:$A,A375,$N:$N,N375,$AF:$AF,AF375,$AJ:$AJ,AJ375)&gt;1,
"Exact Duplicate",
"Conflicting Duplicate"))</f>
        <v>Conflicting Duplicate</v>
      </c>
      <c r="D375" t="s">
        <v>1862</v>
      </c>
      <c r="E375" t="s">
        <v>1862</v>
      </c>
      <c r="F375" s="3">
        <v>45760</v>
      </c>
      <c r="G375" s="3">
        <v>45760</v>
      </c>
      <c r="H375" s="5" t="str">
        <f t="shared" si="90"/>
        <v>April</v>
      </c>
      <c r="I375" s="5">
        <f t="shared" si="91"/>
        <v>2025</v>
      </c>
      <c r="J375" t="str">
        <f>IF(F375="","Missing Date",
IF(ISNUMBER(F375),"Valid","Invalid Date"))</f>
        <v>Valid</v>
      </c>
      <c r="K375" t="str">
        <f t="shared" si="92"/>
        <v>Valid</v>
      </c>
      <c r="L375">
        <f>G375-F375</f>
        <v>0</v>
      </c>
      <c r="M375" t="s">
        <v>1863</v>
      </c>
      <c r="N375" t="s">
        <v>168</v>
      </c>
      <c r="O375" t="str">
        <f t="shared" si="93"/>
        <v>Sneha Kapoor</v>
      </c>
      <c r="P375" t="s">
        <v>41</v>
      </c>
      <c r="Q375" t="str">
        <f t="shared" si="94"/>
        <v>Small Business</v>
      </c>
      <c r="R375" t="s">
        <v>27</v>
      </c>
      <c r="S375" t="str">
        <f t="shared" si="95"/>
        <v>North</v>
      </c>
      <c r="T375" t="s">
        <v>174</v>
      </c>
      <c r="U375" t="str">
        <f t="shared" si="96"/>
        <v>Uttar Pradesh</v>
      </c>
      <c r="V375" t="s">
        <v>175</v>
      </c>
      <c r="W375" t="str">
        <f t="shared" si="97"/>
        <v>Noida</v>
      </c>
      <c r="X375" t="s">
        <v>30</v>
      </c>
      <c r="Y375" t="str">
        <f t="shared" si="98"/>
        <v>Office Supplies</v>
      </c>
      <c r="Z375" t="s">
        <v>156</v>
      </c>
      <c r="AA375" t="str">
        <f t="shared" si="99"/>
        <v>Storage</v>
      </c>
      <c r="AB375" t="s">
        <v>1864</v>
      </c>
      <c r="AC375" t="s">
        <v>33</v>
      </c>
      <c r="AD375" t="str">
        <f t="shared" si="100"/>
        <v>Second Class</v>
      </c>
      <c r="AE375">
        <v>9</v>
      </c>
      <c r="AF375">
        <v>1118.68</v>
      </c>
      <c r="AG375">
        <v>0</v>
      </c>
      <c r="AH375">
        <v>0</v>
      </c>
      <c r="AI375" t="str">
        <f t="shared" si="101"/>
        <v>Valid</v>
      </c>
      <c r="AJ375">
        <v>10068.120000000001</v>
      </c>
      <c r="AK375">
        <f t="shared" si="102"/>
        <v>10068.120000000001</v>
      </c>
      <c r="AL375">
        <v>8595.3700000000008</v>
      </c>
      <c r="AM375">
        <v>1472.75</v>
      </c>
      <c r="AN375">
        <f t="shared" si="103"/>
        <v>1472.75</v>
      </c>
      <c r="AO375">
        <f t="shared" si="104"/>
        <v>-8595.3700000000008</v>
      </c>
      <c r="AP375" t="s">
        <v>34</v>
      </c>
      <c r="AQ375" t="str">
        <f t="shared" si="105"/>
        <v>Paid</v>
      </c>
      <c r="AR375" t="s">
        <v>35</v>
      </c>
      <c r="AS375" t="str">
        <f t="shared" si="106"/>
        <v>Completed</v>
      </c>
      <c r="AT375" t="str">
        <f t="shared" si="107"/>
        <v>Clean</v>
      </c>
    </row>
    <row r="376" spans="1:46">
      <c r="A376" t="s">
        <v>1865</v>
      </c>
      <c r="B376">
        <f>COUNTIF($D$2:D376,D376)</f>
        <v>1</v>
      </c>
      <c r="C376" t="str">
        <f>IF(COUNTIF($A:$A,A376)=1,
"Unique",
IF(COUNTIFS($A:$A,A376,$N:$N,N376,$AF:$AF,AF376,$AJ:$AJ,AJ376)&gt;1,
"Exact Duplicate",
"Conflicting Duplicate"))</f>
        <v>Unique</v>
      </c>
      <c r="D376" t="s">
        <v>1866</v>
      </c>
      <c r="E376" t="s">
        <v>1867</v>
      </c>
      <c r="F376" s="3">
        <v>45715</v>
      </c>
      <c r="G376" s="3">
        <v>45716</v>
      </c>
      <c r="H376" s="5" t="str">
        <f t="shared" si="90"/>
        <v>February</v>
      </c>
      <c r="I376" s="5">
        <f t="shared" si="91"/>
        <v>2025</v>
      </c>
      <c r="J376" t="str">
        <f>IF(F376="","Missing Date",
IF(ISNUMBER(F376),"Valid","Invalid Date"))</f>
        <v>Valid</v>
      </c>
      <c r="K376" t="str">
        <f t="shared" si="92"/>
        <v>Valid</v>
      </c>
      <c r="L376">
        <f>G376-F376</f>
        <v>1</v>
      </c>
      <c r="M376" t="s">
        <v>1868</v>
      </c>
      <c r="N376" t="s">
        <v>107</v>
      </c>
      <c r="O376" t="str">
        <f t="shared" si="93"/>
        <v>Aditi Sen</v>
      </c>
      <c r="P376" t="s">
        <v>41</v>
      </c>
      <c r="Q376" t="str">
        <f t="shared" si="94"/>
        <v>Small Business</v>
      </c>
      <c r="R376" t="s">
        <v>27</v>
      </c>
      <c r="S376" t="str">
        <f t="shared" si="95"/>
        <v>North</v>
      </c>
      <c r="T376" t="s">
        <v>174</v>
      </c>
      <c r="U376" t="str">
        <f t="shared" si="96"/>
        <v>Uttar Pradesh</v>
      </c>
      <c r="V376" t="s">
        <v>175</v>
      </c>
      <c r="W376" t="str">
        <f t="shared" si="97"/>
        <v>Noida</v>
      </c>
      <c r="X376" t="s">
        <v>30</v>
      </c>
      <c r="Y376" t="str">
        <f t="shared" si="98"/>
        <v>Office Supplies</v>
      </c>
      <c r="Z376" t="s">
        <v>109</v>
      </c>
      <c r="AA376" t="str">
        <f t="shared" si="99"/>
        <v>Labels</v>
      </c>
      <c r="AB376" t="s">
        <v>1869</v>
      </c>
      <c r="AC376" t="s">
        <v>67</v>
      </c>
      <c r="AD376" t="str">
        <f t="shared" si="100"/>
        <v>Standard Class</v>
      </c>
      <c r="AE376">
        <v>6</v>
      </c>
      <c r="AF376">
        <v>2393.25</v>
      </c>
      <c r="AG376">
        <v>0</v>
      </c>
      <c r="AH376">
        <v>0</v>
      </c>
      <c r="AI376" t="str">
        <f t="shared" si="101"/>
        <v>Valid</v>
      </c>
      <c r="AJ376">
        <v>14359.5</v>
      </c>
      <c r="AK376">
        <f t="shared" si="102"/>
        <v>14359.5</v>
      </c>
      <c r="AL376">
        <v>8117.71</v>
      </c>
      <c r="AM376">
        <v>6241.79</v>
      </c>
      <c r="AN376">
        <f t="shared" si="103"/>
        <v>6241.79</v>
      </c>
      <c r="AO376">
        <f t="shared" si="104"/>
        <v>-8117.71</v>
      </c>
      <c r="AP376" t="s">
        <v>34</v>
      </c>
      <c r="AQ376" t="str">
        <f t="shared" si="105"/>
        <v>Paid</v>
      </c>
      <c r="AR376" t="s">
        <v>35</v>
      </c>
      <c r="AS376" t="str">
        <f t="shared" si="106"/>
        <v>Completed</v>
      </c>
      <c r="AT376" t="str">
        <f t="shared" si="107"/>
        <v>Clean</v>
      </c>
    </row>
    <row r="377" spans="1:46">
      <c r="A377" t="s">
        <v>1870</v>
      </c>
      <c r="B377">
        <f>COUNTIF($D$2:D377,D377)</f>
        <v>1</v>
      </c>
      <c r="C377" t="str">
        <f>IF(COUNTIF($A:$A,A377)=1,
"Unique",
IF(COUNTIFS($A:$A,A377,$N:$N,N377,$AF:$AF,AF377,$AJ:$AJ,AJ377)&gt;1,
"Exact Duplicate",
"Conflicting Duplicate"))</f>
        <v>Unique</v>
      </c>
      <c r="D377" t="s">
        <v>1871</v>
      </c>
      <c r="E377" t="s">
        <v>1872</v>
      </c>
      <c r="F377" s="3">
        <v>45657</v>
      </c>
      <c r="G377" s="2">
        <v>45748</v>
      </c>
      <c r="H377" s="5" t="str">
        <f t="shared" si="90"/>
        <v>December</v>
      </c>
      <c r="I377" s="5">
        <f t="shared" si="91"/>
        <v>2024</v>
      </c>
      <c r="J377" t="str">
        <f>IF(F377="","Missing Date",
IF(ISNUMBER(F377),"Valid","Invalid Date"))</f>
        <v>Valid</v>
      </c>
      <c r="K377" t="str">
        <f t="shared" si="92"/>
        <v>Valid</v>
      </c>
      <c r="L377">
        <f>G377-F377</f>
        <v>91</v>
      </c>
      <c r="M377" t="s">
        <v>1873</v>
      </c>
      <c r="N377" t="s">
        <v>83</v>
      </c>
      <c r="O377" t="str">
        <f t="shared" si="93"/>
        <v>Vikram Iyer</v>
      </c>
      <c r="P377" t="s">
        <v>26</v>
      </c>
      <c r="Q377" t="str">
        <f t="shared" si="94"/>
        <v>Consumer</v>
      </c>
      <c r="R377" t="s">
        <v>27</v>
      </c>
      <c r="S377" t="str">
        <f t="shared" si="95"/>
        <v>North</v>
      </c>
      <c r="T377" t="s">
        <v>506</v>
      </c>
      <c r="U377" t="str">
        <f t="shared" si="96"/>
        <v>Delhi</v>
      </c>
      <c r="V377" t="s">
        <v>507</v>
      </c>
      <c r="W377" t="str">
        <f t="shared" si="97"/>
        <v>New Delhi</v>
      </c>
      <c r="X377" t="s">
        <v>45</v>
      </c>
      <c r="Y377" t="str">
        <f t="shared" si="98"/>
        <v>Furniture</v>
      </c>
      <c r="Z377" t="s">
        <v>76</v>
      </c>
      <c r="AA377" t="str">
        <f t="shared" si="99"/>
        <v>Chairs</v>
      </c>
      <c r="AB377" t="s">
        <v>1874</v>
      </c>
      <c r="AC377" t="s">
        <v>48</v>
      </c>
      <c r="AD377" t="str">
        <f t="shared" si="100"/>
        <v>Same Day</v>
      </c>
      <c r="AE377">
        <v>3</v>
      </c>
      <c r="AF377">
        <v>1166.6099999999999</v>
      </c>
      <c r="AG377">
        <v>0.25</v>
      </c>
      <c r="AH377">
        <v>0.25</v>
      </c>
      <c r="AI377" t="str">
        <f t="shared" si="101"/>
        <v>Valid</v>
      </c>
      <c r="AJ377">
        <v>2624.87</v>
      </c>
      <c r="AK377">
        <f t="shared" si="102"/>
        <v>2624.8724999999999</v>
      </c>
      <c r="AL377">
        <v>2253.88</v>
      </c>
      <c r="AM377">
        <v>370.99</v>
      </c>
      <c r="AN377">
        <f t="shared" si="103"/>
        <v>370.99249999999984</v>
      </c>
      <c r="AO377">
        <f t="shared" si="104"/>
        <v>-2253.88</v>
      </c>
      <c r="AP377" t="s">
        <v>34</v>
      </c>
      <c r="AQ377" t="str">
        <f t="shared" si="105"/>
        <v>Paid</v>
      </c>
      <c r="AR377" t="s">
        <v>35</v>
      </c>
      <c r="AS377" t="str">
        <f t="shared" si="106"/>
        <v>Completed</v>
      </c>
      <c r="AT377" t="str">
        <f t="shared" si="107"/>
        <v>Clean</v>
      </c>
    </row>
    <row r="378" spans="1:46">
      <c r="A378" t="s">
        <v>1875</v>
      </c>
      <c r="B378">
        <f>COUNTIF($D$2:D378,D378)</f>
        <v>1</v>
      </c>
      <c r="C378" t="str">
        <f>IF(COUNTIF($A:$A,A378)=1,
"Unique",
IF(COUNTIFS($A:$A,A378,$N:$N,N378,$AF:$AF,AF378,$AJ:$AJ,AJ378)&gt;1,
"Exact Duplicate",
"Conflicting Duplicate"))</f>
        <v>Unique</v>
      </c>
      <c r="D378" t="s">
        <v>1876</v>
      </c>
      <c r="E378" t="s">
        <v>1779</v>
      </c>
      <c r="F378" s="3">
        <v>45655</v>
      </c>
      <c r="G378" s="3">
        <v>45657</v>
      </c>
      <c r="H378" s="5" t="str">
        <f t="shared" si="90"/>
        <v>December</v>
      </c>
      <c r="I378" s="5">
        <f t="shared" si="91"/>
        <v>2024</v>
      </c>
      <c r="J378" t="str">
        <f>IF(F378="","Missing Date",
IF(ISNUMBER(F378),"Valid","Invalid Date"))</f>
        <v>Valid</v>
      </c>
      <c r="K378" t="str">
        <f t="shared" si="92"/>
        <v>Valid</v>
      </c>
      <c r="L378">
        <f>G378-F378</f>
        <v>2</v>
      </c>
      <c r="M378" t="s">
        <v>1877</v>
      </c>
      <c r="N378" t="s">
        <v>53</v>
      </c>
      <c r="O378" t="str">
        <f t="shared" si="93"/>
        <v>Isha Nair</v>
      </c>
      <c r="P378" t="s">
        <v>41</v>
      </c>
      <c r="Q378" t="str">
        <f t="shared" si="94"/>
        <v>Small Business</v>
      </c>
      <c r="R378" t="s">
        <v>42</v>
      </c>
      <c r="S378" t="str">
        <f t="shared" si="95"/>
        <v>East</v>
      </c>
      <c r="T378" t="s">
        <v>186</v>
      </c>
      <c r="U378" t="str">
        <f t="shared" si="96"/>
        <v>Bihar</v>
      </c>
      <c r="V378" t="s">
        <v>187</v>
      </c>
      <c r="W378" t="str">
        <f t="shared" si="97"/>
        <v>Patna</v>
      </c>
      <c r="X378" t="s">
        <v>45</v>
      </c>
      <c r="Y378" t="str">
        <f t="shared" si="98"/>
        <v>Furniture</v>
      </c>
      <c r="Z378" t="s">
        <v>76</v>
      </c>
      <c r="AA378" t="str">
        <f t="shared" si="99"/>
        <v>Chairs</v>
      </c>
      <c r="AB378" t="s">
        <v>1878</v>
      </c>
      <c r="AC378" t="s">
        <v>56</v>
      </c>
      <c r="AD378" t="str">
        <f t="shared" si="100"/>
        <v>First Class</v>
      </c>
      <c r="AE378">
        <v>6</v>
      </c>
      <c r="AF378">
        <v>1844.78</v>
      </c>
      <c r="AG378">
        <v>0.2</v>
      </c>
      <c r="AH378">
        <v>0.2</v>
      </c>
      <c r="AI378" t="str">
        <f t="shared" si="101"/>
        <v>Valid</v>
      </c>
      <c r="AJ378">
        <v>8854.94</v>
      </c>
      <c r="AK378">
        <f t="shared" si="102"/>
        <v>8854.9440000000013</v>
      </c>
      <c r="AL378">
        <v>7433.95</v>
      </c>
      <c r="AM378">
        <v>1420.99</v>
      </c>
      <c r="AN378">
        <f t="shared" si="103"/>
        <v>1420.9940000000015</v>
      </c>
      <c r="AO378">
        <f t="shared" si="104"/>
        <v>-7433.95</v>
      </c>
      <c r="AP378" t="s">
        <v>34</v>
      </c>
      <c r="AQ378" t="str">
        <f t="shared" si="105"/>
        <v>Paid</v>
      </c>
      <c r="AR378" t="s">
        <v>35</v>
      </c>
      <c r="AS378" t="str">
        <f t="shared" si="106"/>
        <v>Completed</v>
      </c>
      <c r="AT378" t="str">
        <f t="shared" si="107"/>
        <v>Clean</v>
      </c>
    </row>
    <row r="379" spans="1:46">
      <c r="A379" t="s">
        <v>1879</v>
      </c>
      <c r="B379">
        <f>COUNTIF($D$2:D379,D379)</f>
        <v>2</v>
      </c>
      <c r="C379" t="str">
        <f>IF(COUNTIF($A:$A,A379)=1,
"Unique",
IF(COUNTIFS($A:$A,A379,$N:$N,N379,$AF:$AF,AF379,$AJ:$AJ,AJ379)&gt;1,
"Exact Duplicate",
"Conflicting Duplicate"))</f>
        <v>Exact Duplicate</v>
      </c>
      <c r="D379" t="s">
        <v>1521</v>
      </c>
      <c r="E379" t="s">
        <v>1880</v>
      </c>
      <c r="F379" s="2">
        <v>45801</v>
      </c>
      <c r="G379" s="3">
        <v>45807</v>
      </c>
      <c r="H379" s="5" t="str">
        <f t="shared" si="90"/>
        <v>May</v>
      </c>
      <c r="I379" s="5">
        <f t="shared" si="91"/>
        <v>2025</v>
      </c>
      <c r="J379" t="str">
        <f>IF(F379="","Missing Date",
IF(ISNUMBER(F379),"Valid","Invalid Date"))</f>
        <v>Valid</v>
      </c>
      <c r="K379" t="str">
        <f t="shared" si="92"/>
        <v>Valid</v>
      </c>
      <c r="L379">
        <f>G379-F379</f>
        <v>6</v>
      </c>
      <c r="M379" t="s">
        <v>1881</v>
      </c>
      <c r="N379" t="s">
        <v>366</v>
      </c>
      <c r="O379" t="str">
        <f t="shared" si="93"/>
        <v>Kabir Singh</v>
      </c>
      <c r="P379" t="s">
        <v>41</v>
      </c>
      <c r="Q379" t="str">
        <f t="shared" si="94"/>
        <v>Small Business</v>
      </c>
      <c r="R379" t="s">
        <v>42</v>
      </c>
      <c r="S379" t="str">
        <f t="shared" si="95"/>
        <v>East</v>
      </c>
      <c r="T379" t="s">
        <v>43</v>
      </c>
      <c r="U379" t="str">
        <f t="shared" si="96"/>
        <v>Odisha</v>
      </c>
      <c r="V379" t="s">
        <v>44</v>
      </c>
      <c r="W379" t="str">
        <f t="shared" si="97"/>
        <v>Bhubaneswar</v>
      </c>
      <c r="X379" t="s">
        <v>30</v>
      </c>
      <c r="Y379" t="str">
        <f t="shared" si="98"/>
        <v>Office Supplies</v>
      </c>
      <c r="Z379" t="s">
        <v>1882</v>
      </c>
      <c r="AA379" t="str">
        <f t="shared" si="99"/>
        <v>Storage</v>
      </c>
      <c r="AB379" t="s">
        <v>1883</v>
      </c>
      <c r="AC379" t="s">
        <v>48</v>
      </c>
      <c r="AD379" t="str">
        <f t="shared" si="100"/>
        <v>Same Day</v>
      </c>
      <c r="AE379">
        <v>1</v>
      </c>
      <c r="AF379">
        <v>2564.7399999999998</v>
      </c>
      <c r="AG379">
        <v>0</v>
      </c>
      <c r="AH379">
        <v>0</v>
      </c>
      <c r="AI379" t="str">
        <f t="shared" si="101"/>
        <v>Valid</v>
      </c>
      <c r="AJ379">
        <v>2564.7399999999998</v>
      </c>
      <c r="AK379">
        <f t="shared" si="102"/>
        <v>2564.7399999999998</v>
      </c>
      <c r="AL379">
        <v>1754.58</v>
      </c>
      <c r="AM379">
        <v>810.16</v>
      </c>
      <c r="AN379">
        <f t="shared" si="103"/>
        <v>810.15999999999985</v>
      </c>
      <c r="AO379">
        <f t="shared" si="104"/>
        <v>-1754.58</v>
      </c>
      <c r="AP379" t="s">
        <v>34</v>
      </c>
      <c r="AQ379" t="str">
        <f t="shared" si="105"/>
        <v>Paid</v>
      </c>
      <c r="AR379" t="s">
        <v>35</v>
      </c>
      <c r="AS379" t="str">
        <f t="shared" si="106"/>
        <v>Completed</v>
      </c>
      <c r="AT379" t="str">
        <f t="shared" si="107"/>
        <v>Clean</v>
      </c>
    </row>
    <row r="380" spans="1:46">
      <c r="A380" t="s">
        <v>1884</v>
      </c>
      <c r="B380">
        <f>COUNTIF($D$2:D380,D380)</f>
        <v>1</v>
      </c>
      <c r="C380" t="str">
        <f>IF(COUNTIF($A:$A,A380)=1,
"Unique",
IF(COUNTIFS($A:$A,A380,$N:$N,N380,$AF:$AF,AF380,$AJ:$AJ,AJ380)&gt;1,
"Exact Duplicate",
"Conflicting Duplicate"))</f>
        <v>Unique</v>
      </c>
      <c r="D380" t="s">
        <v>1885</v>
      </c>
      <c r="E380" t="s">
        <v>1885</v>
      </c>
      <c r="F380" s="3">
        <v>45799</v>
      </c>
      <c r="G380" s="3">
        <v>45799</v>
      </c>
      <c r="H380" s="5" t="str">
        <f t="shared" si="90"/>
        <v>May</v>
      </c>
      <c r="I380" s="5">
        <f t="shared" si="91"/>
        <v>2025</v>
      </c>
      <c r="J380" t="str">
        <f>IF(F380="","Missing Date",
IF(ISNUMBER(F380),"Valid","Invalid Date"))</f>
        <v>Valid</v>
      </c>
      <c r="K380" t="str">
        <f t="shared" si="92"/>
        <v>Valid</v>
      </c>
      <c r="L380">
        <f>G380-F380</f>
        <v>0</v>
      </c>
      <c r="M380" t="s">
        <v>1886</v>
      </c>
      <c r="N380" t="s">
        <v>40</v>
      </c>
      <c r="O380" t="str">
        <f t="shared" si="93"/>
        <v>Mira Das</v>
      </c>
      <c r="P380" t="s">
        <v>26</v>
      </c>
      <c r="Q380" t="str">
        <f t="shared" si="94"/>
        <v>Consumer</v>
      </c>
      <c r="R380" t="s">
        <v>73</v>
      </c>
      <c r="S380" t="str">
        <f t="shared" si="95"/>
        <v>West</v>
      </c>
      <c r="T380" t="s">
        <v>249</v>
      </c>
      <c r="U380" t="str">
        <f t="shared" si="96"/>
        <v>Goa</v>
      </c>
      <c r="V380" t="s">
        <v>250</v>
      </c>
      <c r="W380" t="str">
        <f t="shared" si="97"/>
        <v>Panaji</v>
      </c>
      <c r="X380" t="s">
        <v>86</v>
      </c>
      <c r="Y380" t="str">
        <f t="shared" si="98"/>
        <v>Technology</v>
      </c>
      <c r="Z380" t="s">
        <v>87</v>
      </c>
      <c r="AA380" t="str">
        <f t="shared" si="99"/>
        <v>Accessories</v>
      </c>
      <c r="AB380" t="s">
        <v>1887</v>
      </c>
      <c r="AC380" t="s">
        <v>67</v>
      </c>
      <c r="AD380" t="str">
        <f t="shared" si="100"/>
        <v>Standard Class</v>
      </c>
      <c r="AE380">
        <v>2</v>
      </c>
      <c r="AF380">
        <v>3910.61</v>
      </c>
      <c r="AG380">
        <v>0</v>
      </c>
      <c r="AH380">
        <v>0</v>
      </c>
      <c r="AI380" t="str">
        <f t="shared" si="101"/>
        <v>Valid</v>
      </c>
      <c r="AJ380">
        <v>7821.22</v>
      </c>
      <c r="AK380">
        <f t="shared" si="102"/>
        <v>7821.22</v>
      </c>
      <c r="AL380">
        <v>4994.46</v>
      </c>
      <c r="AM380">
        <v>2826.76</v>
      </c>
      <c r="AN380">
        <f t="shared" si="103"/>
        <v>2826.76</v>
      </c>
      <c r="AO380">
        <f t="shared" si="104"/>
        <v>-4994.46</v>
      </c>
      <c r="AP380" t="s">
        <v>34</v>
      </c>
      <c r="AQ380" t="str">
        <f t="shared" si="105"/>
        <v>Paid</v>
      </c>
      <c r="AR380" t="s">
        <v>35</v>
      </c>
      <c r="AS380" t="str">
        <f t="shared" si="106"/>
        <v>Completed</v>
      </c>
      <c r="AT380" t="str">
        <f t="shared" si="107"/>
        <v>Clean</v>
      </c>
    </row>
    <row r="381" spans="1:46">
      <c r="A381" t="s">
        <v>1888</v>
      </c>
      <c r="B381">
        <f>COUNTIF($D$2:D381,D381)</f>
        <v>1</v>
      </c>
      <c r="C381" t="str">
        <f>IF(COUNTIF($A:$A,A381)=1,
"Unique",
IF(COUNTIFS($A:$A,A381,$N:$N,N381,$AF:$AF,AF381,$AJ:$AJ,AJ381)&gt;1,
"Exact Duplicate",
"Conflicting Duplicate"))</f>
        <v>Unique</v>
      </c>
      <c r="D381" t="s">
        <v>1889</v>
      </c>
      <c r="E381" t="s">
        <v>1890</v>
      </c>
      <c r="F381" s="3">
        <v>45554</v>
      </c>
      <c r="G381" s="2">
        <v>45558</v>
      </c>
      <c r="H381" s="5" t="str">
        <f t="shared" si="90"/>
        <v>September</v>
      </c>
      <c r="I381" s="5">
        <f t="shared" si="91"/>
        <v>2024</v>
      </c>
      <c r="J381" t="str">
        <f>IF(F381="","Missing Date",
IF(ISNUMBER(F381),"Valid","Invalid Date"))</f>
        <v>Valid</v>
      </c>
      <c r="K381" t="str">
        <f t="shared" si="92"/>
        <v>Valid</v>
      </c>
      <c r="L381">
        <f>G381-F381</f>
        <v>4</v>
      </c>
      <c r="M381" t="s">
        <v>1891</v>
      </c>
      <c r="N381" t="s">
        <v>40</v>
      </c>
      <c r="O381" t="str">
        <f t="shared" si="93"/>
        <v>Mira Das</v>
      </c>
      <c r="P381" t="s">
        <v>41</v>
      </c>
      <c r="Q381" t="str">
        <f t="shared" si="94"/>
        <v>Small Business</v>
      </c>
      <c r="R381" t="s">
        <v>62</v>
      </c>
      <c r="S381" t="str">
        <f t="shared" si="95"/>
        <v>South</v>
      </c>
      <c r="T381" t="s">
        <v>242</v>
      </c>
      <c r="U381" t="str">
        <f t="shared" si="96"/>
        <v>Kerala</v>
      </c>
      <c r="V381" t="s">
        <v>243</v>
      </c>
      <c r="W381" t="str">
        <f t="shared" si="97"/>
        <v>Kochi</v>
      </c>
      <c r="X381" t="s">
        <v>30</v>
      </c>
      <c r="Y381" t="str">
        <f t="shared" si="98"/>
        <v>Office Supplies</v>
      </c>
      <c r="Z381" t="s">
        <v>31</v>
      </c>
      <c r="AA381" t="str">
        <f t="shared" si="99"/>
        <v>Paper</v>
      </c>
      <c r="AB381" t="s">
        <v>1892</v>
      </c>
      <c r="AC381" t="s">
        <v>67</v>
      </c>
      <c r="AD381" t="str">
        <f t="shared" si="100"/>
        <v>Standard Class</v>
      </c>
      <c r="AE381">
        <v>7</v>
      </c>
      <c r="AF381">
        <v>1136.68</v>
      </c>
      <c r="AG381" t="s">
        <v>4104</v>
      </c>
      <c r="AH381" t="s">
        <v>4104</v>
      </c>
      <c r="AI381" t="str">
        <f t="shared" si="101"/>
        <v>Invalid - Above Range</v>
      </c>
      <c r="AJ381">
        <v>7956.76</v>
      </c>
      <c r="AK381" t="s">
        <v>4104</v>
      </c>
      <c r="AL381">
        <v>4799.54</v>
      </c>
      <c r="AM381">
        <v>3157.22</v>
      </c>
      <c r="AN381" t="s">
        <v>4104</v>
      </c>
      <c r="AO381" t="s">
        <v>4104</v>
      </c>
      <c r="AP381" t="s">
        <v>34</v>
      </c>
      <c r="AQ381" t="str">
        <f t="shared" si="105"/>
        <v>Paid</v>
      </c>
      <c r="AR381" t="s">
        <v>35</v>
      </c>
      <c r="AS381" t="str">
        <f t="shared" si="106"/>
        <v>Completed</v>
      </c>
      <c r="AT381" t="str">
        <f t="shared" si="107"/>
        <v>Needs Review</v>
      </c>
    </row>
    <row r="382" spans="1:46">
      <c r="A382" t="s">
        <v>1893</v>
      </c>
      <c r="B382">
        <f>COUNTIF($D$2:D382,D382)</f>
        <v>2</v>
      </c>
      <c r="C382" t="str">
        <f>IF(COUNTIF($A:$A,A382)=1,
"Unique",
IF(COUNTIFS($A:$A,A382,$N:$N,N382,$AF:$AF,AF382,$AJ:$AJ,AJ382)&gt;1,
"Exact Duplicate",
"Conflicting Duplicate"))</f>
        <v>Unique</v>
      </c>
      <c r="D382" t="s">
        <v>1894</v>
      </c>
      <c r="E382" t="s">
        <v>1420</v>
      </c>
      <c r="F382" s="2">
        <v>45477</v>
      </c>
      <c r="G382" s="3">
        <v>45396</v>
      </c>
      <c r="H382" s="5" t="str">
        <f t="shared" si="90"/>
        <v>July</v>
      </c>
      <c r="I382" s="5">
        <f t="shared" si="91"/>
        <v>2024</v>
      </c>
      <c r="J382" t="str">
        <f>IF(F382="","Missing Date",
IF(ISNUMBER(F382),"Valid","Invalid Date"))</f>
        <v>Valid</v>
      </c>
      <c r="K382" t="str">
        <f t="shared" si="92"/>
        <v>Valid</v>
      </c>
      <c r="L382">
        <f>G382-F382</f>
        <v>-81</v>
      </c>
      <c r="M382" t="s">
        <v>1895</v>
      </c>
      <c r="N382" t="s">
        <v>83</v>
      </c>
      <c r="O382" t="str">
        <f t="shared" si="93"/>
        <v>Vikram Iyer</v>
      </c>
      <c r="P382" t="s">
        <v>26</v>
      </c>
      <c r="Q382" t="str">
        <f t="shared" si="94"/>
        <v>Consumer</v>
      </c>
      <c r="R382" t="s">
        <v>73</v>
      </c>
      <c r="S382" t="str">
        <f t="shared" si="95"/>
        <v>West</v>
      </c>
      <c r="T382" t="s">
        <v>74</v>
      </c>
      <c r="U382" t="str">
        <f t="shared" si="96"/>
        <v>Maharashtra</v>
      </c>
      <c r="V382" t="s">
        <v>75</v>
      </c>
      <c r="W382" t="str">
        <f t="shared" si="97"/>
        <v>Mumbai</v>
      </c>
      <c r="X382" t="s">
        <v>45</v>
      </c>
      <c r="Y382" t="str">
        <f t="shared" si="98"/>
        <v>Furniture</v>
      </c>
      <c r="Z382" t="s">
        <v>204</v>
      </c>
      <c r="AA382" t="str">
        <f t="shared" si="99"/>
        <v>Bookcases</v>
      </c>
      <c r="AB382" t="s">
        <v>1896</v>
      </c>
      <c r="AC382" t="s">
        <v>48</v>
      </c>
      <c r="AD382" t="str">
        <f t="shared" si="100"/>
        <v>Same Day</v>
      </c>
      <c r="AE382">
        <v>5</v>
      </c>
      <c r="AF382">
        <v>2235.85</v>
      </c>
      <c r="AG382">
        <v>0.25</v>
      </c>
      <c r="AH382">
        <v>0.25</v>
      </c>
      <c r="AI382" t="str">
        <f t="shared" si="101"/>
        <v>Valid</v>
      </c>
      <c r="AJ382">
        <v>8384.44</v>
      </c>
      <c r="AK382">
        <f t="shared" si="102"/>
        <v>8384.4375</v>
      </c>
      <c r="AL382">
        <v>4765.96</v>
      </c>
      <c r="AM382">
        <v>3618.48</v>
      </c>
      <c r="AN382">
        <f t="shared" si="103"/>
        <v>3618.4775</v>
      </c>
      <c r="AO382">
        <f t="shared" si="104"/>
        <v>-4765.96</v>
      </c>
      <c r="AP382" t="s">
        <v>34</v>
      </c>
      <c r="AQ382" t="str">
        <f t="shared" si="105"/>
        <v>Paid</v>
      </c>
      <c r="AR382" t="s">
        <v>125</v>
      </c>
      <c r="AS382" t="str">
        <f t="shared" si="106"/>
        <v>Returned</v>
      </c>
      <c r="AT382" t="str">
        <f t="shared" si="107"/>
        <v>Clean</v>
      </c>
    </row>
    <row r="383" spans="1:46">
      <c r="A383" t="s">
        <v>1897</v>
      </c>
      <c r="B383">
        <f>COUNTIF($D$2:D383,D383)</f>
        <v>1</v>
      </c>
      <c r="C383" t="str">
        <f>IF(COUNTIF($A:$A,A383)=1,
"Unique",
IF(COUNTIFS($A:$A,A383,$N:$N,N383,$AF:$AF,AF383,$AJ:$AJ,AJ383)&gt;1,
"Exact Duplicate",
"Conflicting Duplicate"))</f>
        <v>Unique</v>
      </c>
      <c r="D383" t="s">
        <v>1898</v>
      </c>
      <c r="E383" t="s">
        <v>1899</v>
      </c>
      <c r="F383" s="3">
        <v>45919</v>
      </c>
      <c r="G383" s="3">
        <v>45923</v>
      </c>
      <c r="H383" s="5" t="str">
        <f t="shared" si="90"/>
        <v>September</v>
      </c>
      <c r="I383" s="5">
        <f t="shared" si="91"/>
        <v>2025</v>
      </c>
      <c r="J383" t="str">
        <f>IF(F383="","Missing Date",
IF(ISNUMBER(F383),"Valid","Invalid Date"))</f>
        <v>Valid</v>
      </c>
      <c r="K383" t="str">
        <f t="shared" si="92"/>
        <v>Valid</v>
      </c>
      <c r="L383">
        <f>G383-F383</f>
        <v>4</v>
      </c>
      <c r="M383" t="s">
        <v>1900</v>
      </c>
      <c r="N383" t="s">
        <v>61</v>
      </c>
      <c r="O383" t="str">
        <f t="shared" si="93"/>
        <v>Arjun Bose</v>
      </c>
      <c r="P383" t="s">
        <v>1901</v>
      </c>
      <c r="Q383" t="str">
        <f t="shared" si="94"/>
        <v>Home Office</v>
      </c>
      <c r="R383" t="s">
        <v>27</v>
      </c>
      <c r="S383" t="str">
        <f t="shared" si="95"/>
        <v>North</v>
      </c>
      <c r="T383" t="s">
        <v>506</v>
      </c>
      <c r="U383" t="str">
        <f t="shared" si="96"/>
        <v>Delhi</v>
      </c>
      <c r="V383" t="s">
        <v>507</v>
      </c>
      <c r="W383" t="str">
        <f t="shared" si="97"/>
        <v>New Delhi</v>
      </c>
      <c r="X383" t="s">
        <v>30</v>
      </c>
      <c r="Y383" t="str">
        <f t="shared" si="98"/>
        <v>Office Supplies</v>
      </c>
      <c r="Z383" t="s">
        <v>198</v>
      </c>
      <c r="AA383" t="str">
        <f t="shared" si="99"/>
        <v>Binders</v>
      </c>
      <c r="AB383" t="s">
        <v>1902</v>
      </c>
      <c r="AC383" t="s">
        <v>67</v>
      </c>
      <c r="AD383" t="str">
        <f t="shared" si="100"/>
        <v>Standard Class</v>
      </c>
      <c r="AE383">
        <v>4</v>
      </c>
      <c r="AF383">
        <v>4387.1499999999996</v>
      </c>
      <c r="AG383">
        <v>0.05</v>
      </c>
      <c r="AH383">
        <v>0.05</v>
      </c>
      <c r="AI383" t="str">
        <f t="shared" si="101"/>
        <v>Valid</v>
      </c>
      <c r="AJ383">
        <v>16671.169999999998</v>
      </c>
      <c r="AK383">
        <f t="shared" si="102"/>
        <v>16671.169999999998</v>
      </c>
      <c r="AL383">
        <v>10833.19</v>
      </c>
      <c r="AM383">
        <v>5837.98</v>
      </c>
      <c r="AN383">
        <f t="shared" si="103"/>
        <v>5837.9799999999977</v>
      </c>
      <c r="AO383">
        <f t="shared" si="104"/>
        <v>-10833.19</v>
      </c>
      <c r="AP383" t="s">
        <v>200</v>
      </c>
      <c r="AQ383" t="str">
        <f t="shared" si="105"/>
        <v>Failed</v>
      </c>
      <c r="AR383" t="s">
        <v>78</v>
      </c>
      <c r="AS383" t="str">
        <f t="shared" si="106"/>
        <v>Cancelled</v>
      </c>
      <c r="AT383" t="str">
        <f t="shared" si="107"/>
        <v>Clean</v>
      </c>
    </row>
    <row r="384" spans="1:46">
      <c r="A384" t="s">
        <v>1903</v>
      </c>
      <c r="B384">
        <f>COUNTIF($D$2:D384,D384)</f>
        <v>1</v>
      </c>
      <c r="C384" t="str">
        <f>IF(COUNTIF($A:$A,A384)=1,
"Unique",
IF(COUNTIFS($A:$A,A384,$N:$N,N384,$AF:$AF,AF384,$AJ:$AJ,AJ384)&gt;1,
"Exact Duplicate",
"Conflicting Duplicate"))</f>
        <v>Unique</v>
      </c>
      <c r="D384" t="s">
        <v>1904</v>
      </c>
      <c r="E384" t="s">
        <v>555</v>
      </c>
      <c r="F384" s="2">
        <v>45750</v>
      </c>
      <c r="G384" s="3">
        <v>45724</v>
      </c>
      <c r="H384" s="5" t="str">
        <f t="shared" si="90"/>
        <v>April</v>
      </c>
      <c r="I384" s="5">
        <f t="shared" si="91"/>
        <v>2025</v>
      </c>
      <c r="J384" t="str">
        <f>IF(F384="","Missing Date",
IF(ISNUMBER(F384),"Valid","Invalid Date"))</f>
        <v>Valid</v>
      </c>
      <c r="K384" t="str">
        <f t="shared" si="92"/>
        <v>Valid</v>
      </c>
      <c r="L384">
        <f>G384-F384</f>
        <v>-26</v>
      </c>
      <c r="M384" t="s">
        <v>203</v>
      </c>
      <c r="N384" t="s">
        <v>61</v>
      </c>
      <c r="O384" t="str">
        <f t="shared" si="93"/>
        <v>Arjun Bose</v>
      </c>
      <c r="P384" t="s">
        <v>41</v>
      </c>
      <c r="Q384" t="str">
        <f t="shared" si="94"/>
        <v>Small Business</v>
      </c>
      <c r="R384" t="s">
        <v>42</v>
      </c>
      <c r="S384" t="str">
        <f t="shared" si="95"/>
        <v>East</v>
      </c>
      <c r="T384" t="s">
        <v>186</v>
      </c>
      <c r="U384" t="str">
        <f t="shared" si="96"/>
        <v>Bihar</v>
      </c>
      <c r="V384" t="s">
        <v>187</v>
      </c>
      <c r="W384" t="str">
        <f t="shared" si="97"/>
        <v>Patna</v>
      </c>
      <c r="X384" t="s">
        <v>1905</v>
      </c>
      <c r="Y384" t="str">
        <f t="shared" si="98"/>
        <v>Technology</v>
      </c>
      <c r="Z384" t="s">
        <v>223</v>
      </c>
      <c r="AA384" t="str">
        <f t="shared" si="99"/>
        <v>Phones</v>
      </c>
      <c r="AB384" t="s">
        <v>1906</v>
      </c>
      <c r="AC384" t="s">
        <v>56</v>
      </c>
      <c r="AD384" t="str">
        <f t="shared" si="100"/>
        <v>First Class</v>
      </c>
      <c r="AE384">
        <v>3</v>
      </c>
      <c r="AF384">
        <v>4361.8500000000004</v>
      </c>
      <c r="AG384">
        <v>0.2</v>
      </c>
      <c r="AH384">
        <v>0.2</v>
      </c>
      <c r="AI384" t="str">
        <f t="shared" si="101"/>
        <v>Valid</v>
      </c>
      <c r="AJ384">
        <v>10468.44</v>
      </c>
      <c r="AK384">
        <f t="shared" si="102"/>
        <v>10468.440000000002</v>
      </c>
      <c r="AL384">
        <v>8399.8700000000008</v>
      </c>
      <c r="AM384">
        <v>2068.5700000000002</v>
      </c>
      <c r="AN384">
        <f t="shared" si="103"/>
        <v>2068.5700000000015</v>
      </c>
      <c r="AO384">
        <f t="shared" si="104"/>
        <v>-8399.8700000000008</v>
      </c>
      <c r="AP384" t="s">
        <v>34</v>
      </c>
      <c r="AQ384" t="str">
        <f t="shared" si="105"/>
        <v>Paid</v>
      </c>
      <c r="AR384" t="s">
        <v>35</v>
      </c>
      <c r="AS384" t="str">
        <f t="shared" si="106"/>
        <v>Completed</v>
      </c>
      <c r="AT384" t="str">
        <f t="shared" si="107"/>
        <v>Clean</v>
      </c>
    </row>
    <row r="385" spans="1:46">
      <c r="A385" t="s">
        <v>1907</v>
      </c>
      <c r="B385">
        <f>COUNTIF($D$2:D385,D385)</f>
        <v>2</v>
      </c>
      <c r="C385" t="str">
        <f>IF(COUNTIF($A:$A,A385)=1,
"Unique",
IF(COUNTIFS($A:$A,A385,$N:$N,N385,$AF:$AF,AF385,$AJ:$AJ,AJ385)&gt;1,
"Exact Duplicate",
"Conflicting Duplicate"))</f>
        <v>Unique</v>
      </c>
      <c r="D385" t="s">
        <v>1517</v>
      </c>
      <c r="E385" t="s">
        <v>1075</v>
      </c>
      <c r="F385" s="2">
        <v>45836</v>
      </c>
      <c r="G385" s="2">
        <v>45784</v>
      </c>
      <c r="H385" s="5" t="str">
        <f t="shared" si="90"/>
        <v>June</v>
      </c>
      <c r="I385" s="5">
        <f t="shared" si="91"/>
        <v>2025</v>
      </c>
      <c r="J385" t="str">
        <f>IF(F385="","Missing Date",
IF(ISNUMBER(F385),"Valid","Invalid Date"))</f>
        <v>Valid</v>
      </c>
      <c r="K385" t="str">
        <f t="shared" si="92"/>
        <v>Valid</v>
      </c>
      <c r="L385">
        <f>G385-F385</f>
        <v>-52</v>
      </c>
      <c r="M385" t="s">
        <v>1908</v>
      </c>
      <c r="N385" t="s">
        <v>83</v>
      </c>
      <c r="O385" t="str">
        <f t="shared" si="93"/>
        <v>Vikram Iyer</v>
      </c>
      <c r="P385" t="s">
        <v>108</v>
      </c>
      <c r="Q385" t="str">
        <f t="shared" si="94"/>
        <v>Corporate</v>
      </c>
      <c r="R385" t="s">
        <v>42</v>
      </c>
      <c r="S385" t="str">
        <f t="shared" si="95"/>
        <v>East</v>
      </c>
      <c r="T385" t="s">
        <v>121</v>
      </c>
      <c r="U385" t="str">
        <f t="shared" si="96"/>
        <v>West Bengal</v>
      </c>
      <c r="V385" t="s">
        <v>122</v>
      </c>
      <c r="W385" t="str">
        <f t="shared" si="97"/>
        <v>Kolkata</v>
      </c>
      <c r="X385" t="s">
        <v>30</v>
      </c>
      <c r="Y385" t="str">
        <f t="shared" si="98"/>
        <v>Office Supplies</v>
      </c>
      <c r="Z385" t="s">
        <v>54</v>
      </c>
      <c r="AA385" t="str">
        <f t="shared" si="99"/>
        <v>Art</v>
      </c>
      <c r="AB385" t="s">
        <v>1909</v>
      </c>
      <c r="AC385" t="s">
        <v>56</v>
      </c>
      <c r="AD385" t="str">
        <f t="shared" si="100"/>
        <v>First Class</v>
      </c>
      <c r="AE385">
        <v>2</v>
      </c>
      <c r="AF385">
        <v>2242.75</v>
      </c>
      <c r="AG385">
        <v>0</v>
      </c>
      <c r="AH385">
        <v>0</v>
      </c>
      <c r="AI385" t="str">
        <f t="shared" si="101"/>
        <v>Valid</v>
      </c>
      <c r="AJ385">
        <v>4485.5</v>
      </c>
      <c r="AK385">
        <f t="shared" si="102"/>
        <v>4485.5</v>
      </c>
      <c r="AL385">
        <v>3131.86</v>
      </c>
      <c r="AM385">
        <v>1353.64</v>
      </c>
      <c r="AN385">
        <f t="shared" si="103"/>
        <v>1353.6399999999999</v>
      </c>
      <c r="AO385">
        <f t="shared" si="104"/>
        <v>-3131.86</v>
      </c>
      <c r="AP385" t="s">
        <v>34</v>
      </c>
      <c r="AQ385" t="str">
        <f t="shared" si="105"/>
        <v>Paid</v>
      </c>
      <c r="AR385" t="s">
        <v>78</v>
      </c>
      <c r="AS385" t="str">
        <f t="shared" si="106"/>
        <v>Cancelled</v>
      </c>
      <c r="AT385" t="str">
        <f t="shared" si="107"/>
        <v>Clean</v>
      </c>
    </row>
    <row r="386" spans="1:46">
      <c r="A386" t="s">
        <v>1910</v>
      </c>
      <c r="B386">
        <f>COUNTIF($D$2:D386,D386)</f>
        <v>3</v>
      </c>
      <c r="C386" t="str">
        <f>IF(COUNTIF($A:$A,A386)=1,
"Unique",
IF(COUNTIFS($A:$A,A386,$N:$N,N386,$AF:$AF,AF386,$AJ:$AJ,AJ386)&gt;1,
"Exact Duplicate",
"Conflicting Duplicate"))</f>
        <v>Unique</v>
      </c>
      <c r="D386" t="s">
        <v>1911</v>
      </c>
      <c r="E386" t="s">
        <v>1912</v>
      </c>
      <c r="F386" s="3">
        <v>45366</v>
      </c>
      <c r="G386" s="3">
        <v>45371</v>
      </c>
      <c r="H386" s="5" t="str">
        <f t="shared" si="90"/>
        <v>March</v>
      </c>
      <c r="I386" s="5">
        <f t="shared" si="91"/>
        <v>2024</v>
      </c>
      <c r="J386" t="str">
        <f>IF(F386="","Missing Date",
IF(ISNUMBER(F386),"Valid","Invalid Date"))</f>
        <v>Valid</v>
      </c>
      <c r="K386" t="str">
        <f t="shared" si="92"/>
        <v>Valid</v>
      </c>
      <c r="L386">
        <f>G386-F386</f>
        <v>5</v>
      </c>
      <c r="M386" t="s">
        <v>1913</v>
      </c>
      <c r="N386" t="s">
        <v>180</v>
      </c>
      <c r="O386" t="str">
        <f t="shared" si="93"/>
        <v>Rohan Mehta</v>
      </c>
      <c r="P386" t="s">
        <v>26</v>
      </c>
      <c r="Q386" t="str">
        <f t="shared" si="94"/>
        <v>Consumer</v>
      </c>
      <c r="R386" t="s">
        <v>42</v>
      </c>
      <c r="S386" t="str">
        <f t="shared" si="95"/>
        <v>East</v>
      </c>
      <c r="T386" t="s">
        <v>311</v>
      </c>
      <c r="U386" t="str">
        <f t="shared" si="96"/>
        <v>Jharkhand</v>
      </c>
      <c r="V386" t="s">
        <v>312</v>
      </c>
      <c r="W386" t="str">
        <f t="shared" si="97"/>
        <v>Ranchi</v>
      </c>
      <c r="X386" t="s">
        <v>86</v>
      </c>
      <c r="Y386" t="str">
        <f t="shared" si="98"/>
        <v>Technology</v>
      </c>
      <c r="Z386" t="s">
        <v>94</v>
      </c>
      <c r="AA386" t="str">
        <f t="shared" si="99"/>
        <v>Copiers</v>
      </c>
      <c r="AB386" t="s">
        <v>1914</v>
      </c>
      <c r="AC386" t="s">
        <v>67</v>
      </c>
      <c r="AD386" t="str">
        <f t="shared" si="100"/>
        <v>Standard Class</v>
      </c>
      <c r="AE386">
        <v>2</v>
      </c>
      <c r="AF386">
        <v>1881.4</v>
      </c>
      <c r="AG386">
        <v>0.25</v>
      </c>
      <c r="AH386">
        <v>0.25</v>
      </c>
      <c r="AI386" t="str">
        <f t="shared" si="101"/>
        <v>Valid</v>
      </c>
      <c r="AJ386">
        <v>2822.1</v>
      </c>
      <c r="AK386">
        <f t="shared" si="102"/>
        <v>2822.1000000000004</v>
      </c>
      <c r="AL386">
        <v>1624.57</v>
      </c>
      <c r="AM386">
        <v>1197.53</v>
      </c>
      <c r="AN386">
        <f t="shared" si="103"/>
        <v>1197.5300000000004</v>
      </c>
      <c r="AO386">
        <f t="shared" si="104"/>
        <v>-1624.57</v>
      </c>
      <c r="AP386" t="s">
        <v>34</v>
      </c>
      <c r="AQ386" t="str">
        <f t="shared" si="105"/>
        <v>Paid</v>
      </c>
      <c r="AR386" t="s">
        <v>125</v>
      </c>
      <c r="AS386" t="str">
        <f t="shared" si="106"/>
        <v>Returned</v>
      </c>
      <c r="AT386" t="str">
        <f t="shared" si="107"/>
        <v>Clean</v>
      </c>
    </row>
    <row r="387" spans="1:46">
      <c r="A387" t="s">
        <v>1915</v>
      </c>
      <c r="B387">
        <f>COUNTIF($D$2:D387,D387)</f>
        <v>2</v>
      </c>
      <c r="C387" t="str">
        <f>IF(COUNTIF($A:$A,A387)=1,
"Unique",
IF(COUNTIFS($A:$A,A387,$N:$N,N387,$AF:$AF,AF387,$AJ:$AJ,AJ387)&gt;1,
"Exact Duplicate",
"Conflicting Duplicate"))</f>
        <v>Unique</v>
      </c>
      <c r="D387" t="s">
        <v>996</v>
      </c>
      <c r="E387" t="s">
        <v>1916</v>
      </c>
      <c r="F387" s="3">
        <v>45832</v>
      </c>
      <c r="G387" s="2">
        <v>45838</v>
      </c>
      <c r="H387" s="5" t="str">
        <f t="shared" ref="H387:H450" si="108">TEXT(DATE(2024,MONTH(F387),1),"MMMM")</f>
        <v>June</v>
      </c>
      <c r="I387" s="5">
        <f t="shared" ref="I387:I450" si="109">YEAR(F387)</f>
        <v>2025</v>
      </c>
      <c r="J387" t="str">
        <f>IF(F387="","Missing Date",
IF(ISNUMBER(F387),"Valid","Invalid Date"))</f>
        <v>Valid</v>
      </c>
      <c r="K387" t="str">
        <f t="shared" ref="K387:K450" si="110">IF(G387="","Missing Date",
IF(ISNUMBER(G387),"Valid","Invalid Date"))</f>
        <v>Valid</v>
      </c>
      <c r="L387">
        <f>G387-F387</f>
        <v>6</v>
      </c>
      <c r="M387" t="s">
        <v>1917</v>
      </c>
      <c r="N387" t="s">
        <v>61</v>
      </c>
      <c r="O387" t="str">
        <f t="shared" ref="O387:O450" si="111">TRIM(PROPER(CLEAN(N387)))</f>
        <v>Arjun Bose</v>
      </c>
      <c r="P387" t="s">
        <v>26</v>
      </c>
      <c r="Q387" t="str">
        <f t="shared" ref="Q387:Q450" si="112">TRIM(PROPER(CLEAN(P387)))</f>
        <v>Consumer</v>
      </c>
      <c r="R387" t="s">
        <v>27</v>
      </c>
      <c r="S387" t="str">
        <f t="shared" ref="S387:S450" si="113">TRIM(PROPER(CLEAN(R387)))</f>
        <v>North</v>
      </c>
      <c r="T387" t="s">
        <v>323</v>
      </c>
      <c r="U387" t="str">
        <f t="shared" ref="U387:U450" si="114">TRIM(PROPER(CLEAN(T387)))</f>
        <v>Haryana</v>
      </c>
      <c r="V387" t="s">
        <v>324</v>
      </c>
      <c r="W387" t="str">
        <f t="shared" ref="W387:W450" si="115">TRIM(PROPER(CLEAN(V387)))</f>
        <v>Gurugram</v>
      </c>
      <c r="X387" t="s">
        <v>30</v>
      </c>
      <c r="Y387" t="str">
        <f t="shared" ref="Y387:Y450" si="116">TRIM(PROPER(CLEAN(X387)))</f>
        <v>Office Supplies</v>
      </c>
      <c r="Z387" t="s">
        <v>109</v>
      </c>
      <c r="AA387" t="str">
        <f t="shared" ref="AA387:AA450" si="117">TRIM(PROPER(CLEAN(Z387)))</f>
        <v>Labels</v>
      </c>
      <c r="AB387" t="s">
        <v>1918</v>
      </c>
      <c r="AC387" t="s">
        <v>67</v>
      </c>
      <c r="AD387" t="str">
        <f t="shared" ref="AD387:AD450" si="118">TRIM(PROPER(CLEAN(AC387)))</f>
        <v>Standard Class</v>
      </c>
      <c r="AE387">
        <v>6</v>
      </c>
      <c r="AF387">
        <v>365.76</v>
      </c>
      <c r="AG387">
        <v>0.1</v>
      </c>
      <c r="AH387">
        <v>0.1</v>
      </c>
      <c r="AI387" t="str">
        <f t="shared" ref="AI387:AI450" si="119">IF(AG387="","Missing Discount",IF(AG387&lt;0,"Invalid - Negative Discount",IF(AG387&gt;1,"Invalid - Above Range","Valid")))</f>
        <v>Valid</v>
      </c>
      <c r="AJ387">
        <v>1975.1</v>
      </c>
      <c r="AK387">
        <f t="shared" ref="AK387:AK450" si="120">AE387*AF387*(1-AH387)</f>
        <v>1975.104</v>
      </c>
      <c r="AL387">
        <v>1115.3499999999999</v>
      </c>
      <c r="AM387">
        <v>859.75</v>
      </c>
      <c r="AN387">
        <f t="shared" ref="AN387:AN450" si="121">AK387-AL387</f>
        <v>859.75400000000013</v>
      </c>
      <c r="AO387">
        <f t="shared" ref="AO387:AO450" si="122">AN387-AK387</f>
        <v>-1115.3499999999999</v>
      </c>
      <c r="AP387" t="s">
        <v>34</v>
      </c>
      <c r="AQ387" t="str">
        <f t="shared" ref="AQ387:AQ450" si="123">TRIM(PROPER(CLEAN(AP387)))</f>
        <v>Paid</v>
      </c>
      <c r="AR387" t="s">
        <v>35</v>
      </c>
      <c r="AS387" t="str">
        <f t="shared" ref="AS387:AS450" si="124">TRIM(PROPER(CLEAN(AR387)))</f>
        <v>Completed</v>
      </c>
      <c r="AT387" t="str">
        <f t="shared" ref="AT387:AT450" si="125">IF(OR(AH387="Unknown",AJ387="Unknown",AM387="Unknown",A387="Unknown"),"Needs Review","Clean")</f>
        <v>Clean</v>
      </c>
    </row>
    <row r="388" spans="1:46">
      <c r="A388" t="s">
        <v>1919</v>
      </c>
      <c r="B388">
        <f>COUNTIF($D$2:D388,D388)</f>
        <v>1</v>
      </c>
      <c r="C388" t="str">
        <f>IF(COUNTIF($A:$A,A388)=1,
"Unique",
IF(COUNTIFS($A:$A,A388,$N:$N,N388,$AF:$AF,AF388,$AJ:$AJ,AJ388)&gt;1,
"Exact Duplicate",
"Conflicting Duplicate"))</f>
        <v>Unique</v>
      </c>
      <c r="D388" t="s">
        <v>1397</v>
      </c>
      <c r="E388" t="s">
        <v>1920</v>
      </c>
      <c r="F388" s="3">
        <v>45700</v>
      </c>
      <c r="G388" s="3">
        <v>45702</v>
      </c>
      <c r="H388" s="5" t="str">
        <f t="shared" si="108"/>
        <v>February</v>
      </c>
      <c r="I388" s="5">
        <f t="shared" si="109"/>
        <v>2025</v>
      </c>
      <c r="J388" t="str">
        <f>IF(F388="","Missing Date",
IF(ISNUMBER(F388),"Valid","Invalid Date"))</f>
        <v>Valid</v>
      </c>
      <c r="K388" t="str">
        <f t="shared" si="110"/>
        <v>Valid</v>
      </c>
      <c r="L388">
        <f>G388-F388</f>
        <v>2</v>
      </c>
      <c r="M388" t="s">
        <v>1921</v>
      </c>
      <c r="N388" t="s">
        <v>168</v>
      </c>
      <c r="O388" t="str">
        <f t="shared" si="111"/>
        <v>Sneha Kapoor</v>
      </c>
      <c r="P388" t="s">
        <v>26</v>
      </c>
      <c r="Q388" t="str">
        <f t="shared" si="112"/>
        <v>Consumer</v>
      </c>
      <c r="R388" t="s">
        <v>73</v>
      </c>
      <c r="S388" t="str">
        <f t="shared" si="113"/>
        <v>West</v>
      </c>
      <c r="T388" t="s">
        <v>74</v>
      </c>
      <c r="U388" t="str">
        <f t="shared" si="114"/>
        <v>Maharashtra</v>
      </c>
      <c r="V388" t="s">
        <v>75</v>
      </c>
      <c r="W388" t="str">
        <f t="shared" si="115"/>
        <v>Mumbai</v>
      </c>
      <c r="X388" t="s">
        <v>45</v>
      </c>
      <c r="Y388" t="str">
        <f t="shared" si="116"/>
        <v>Furniture</v>
      </c>
      <c r="Z388" t="s">
        <v>65</v>
      </c>
      <c r="AA388" t="str">
        <f t="shared" si="117"/>
        <v>Furnishings</v>
      </c>
      <c r="AB388" t="s">
        <v>1922</v>
      </c>
      <c r="AC388" t="s">
        <v>33</v>
      </c>
      <c r="AD388" t="str">
        <f t="shared" si="118"/>
        <v>Second Class</v>
      </c>
      <c r="AE388">
        <v>8</v>
      </c>
      <c r="AF388">
        <v>2786.66</v>
      </c>
      <c r="AG388">
        <v>0.1</v>
      </c>
      <c r="AH388">
        <v>0.1</v>
      </c>
      <c r="AI388" t="str">
        <f t="shared" si="119"/>
        <v>Valid</v>
      </c>
      <c r="AJ388">
        <v>20063.95</v>
      </c>
      <c r="AK388">
        <f t="shared" si="120"/>
        <v>20063.952000000001</v>
      </c>
      <c r="AL388">
        <v>14363.38</v>
      </c>
      <c r="AM388">
        <v>5700.57</v>
      </c>
      <c r="AN388">
        <f t="shared" si="121"/>
        <v>5700.5720000000019</v>
      </c>
      <c r="AO388">
        <f t="shared" si="122"/>
        <v>-14363.38</v>
      </c>
      <c r="AP388" t="s">
        <v>34</v>
      </c>
      <c r="AQ388" t="str">
        <f t="shared" si="123"/>
        <v>Paid</v>
      </c>
      <c r="AR388" t="s">
        <v>35</v>
      </c>
      <c r="AS388" t="str">
        <f t="shared" si="124"/>
        <v>Completed</v>
      </c>
      <c r="AT388" t="str">
        <f t="shared" si="125"/>
        <v>Clean</v>
      </c>
    </row>
    <row r="389" spans="1:46">
      <c r="A389" t="s">
        <v>1923</v>
      </c>
      <c r="B389">
        <f>COUNTIF($D$2:D389,D389)</f>
        <v>1</v>
      </c>
      <c r="C389" t="str">
        <f>IF(COUNTIF($A:$A,A389)=1,
"Unique",
IF(COUNTIFS($A:$A,A389,$N:$N,N389,$AF:$AF,AF389,$AJ:$AJ,AJ389)&gt;1,
"Exact Duplicate",
"Conflicting Duplicate"))</f>
        <v>Unique</v>
      </c>
      <c r="D389" t="s">
        <v>944</v>
      </c>
      <c r="E389" t="s">
        <v>1118</v>
      </c>
      <c r="F389" s="3">
        <v>45938</v>
      </c>
      <c r="G389" s="3">
        <v>45882</v>
      </c>
      <c r="H389" s="5" t="str">
        <f t="shared" si="108"/>
        <v>October</v>
      </c>
      <c r="I389" s="5">
        <f t="shared" si="109"/>
        <v>2025</v>
      </c>
      <c r="J389" t="str">
        <f>IF(F389="","Missing Date",
IF(ISNUMBER(F389),"Valid","Invalid Date"))</f>
        <v>Valid</v>
      </c>
      <c r="K389" t="str">
        <f t="shared" si="110"/>
        <v>Valid</v>
      </c>
      <c r="L389">
        <f>G389-F389</f>
        <v>-56</v>
      </c>
      <c r="M389" t="s">
        <v>1924</v>
      </c>
      <c r="N389" t="s">
        <v>142</v>
      </c>
      <c r="O389" t="str">
        <f t="shared" si="111"/>
        <v>Priya Menon</v>
      </c>
      <c r="P389" t="s">
        <v>41</v>
      </c>
      <c r="Q389" t="str">
        <f t="shared" si="112"/>
        <v>Small Business</v>
      </c>
      <c r="R389" t="s">
        <v>73</v>
      </c>
      <c r="S389" t="str">
        <f t="shared" si="113"/>
        <v>West</v>
      </c>
      <c r="T389" t="s">
        <v>84</v>
      </c>
      <c r="U389" t="str">
        <f t="shared" si="114"/>
        <v>Madhya Pradesh</v>
      </c>
      <c r="V389" t="s">
        <v>85</v>
      </c>
      <c r="W389" t="str">
        <f t="shared" si="115"/>
        <v>Indore</v>
      </c>
      <c r="X389" t="s">
        <v>45</v>
      </c>
      <c r="Y389" t="str">
        <f t="shared" si="116"/>
        <v>Furniture</v>
      </c>
      <c r="Z389" t="s">
        <v>76</v>
      </c>
      <c r="AA389" t="str">
        <f t="shared" si="117"/>
        <v>Chairs</v>
      </c>
      <c r="AB389" t="s">
        <v>1925</v>
      </c>
      <c r="AC389" t="s">
        <v>67</v>
      </c>
      <c r="AD389" t="str">
        <f t="shared" si="118"/>
        <v>Standard Class</v>
      </c>
      <c r="AE389">
        <v>5</v>
      </c>
      <c r="AF389">
        <v>352.86</v>
      </c>
      <c r="AG389">
        <v>0</v>
      </c>
      <c r="AH389">
        <v>0</v>
      </c>
      <c r="AI389" t="str">
        <f t="shared" si="119"/>
        <v>Valid</v>
      </c>
      <c r="AJ389">
        <v>1764.3</v>
      </c>
      <c r="AK389">
        <f t="shared" si="120"/>
        <v>1764.3000000000002</v>
      </c>
      <c r="AL389">
        <v>1332.49</v>
      </c>
      <c r="AM389">
        <v>431.81</v>
      </c>
      <c r="AN389">
        <f t="shared" si="121"/>
        <v>431.81000000000017</v>
      </c>
      <c r="AO389">
        <f t="shared" si="122"/>
        <v>-1332.49</v>
      </c>
      <c r="AP389" t="s">
        <v>137</v>
      </c>
      <c r="AQ389" t="str">
        <f t="shared" si="123"/>
        <v>Pending</v>
      </c>
      <c r="AR389" t="s">
        <v>78</v>
      </c>
      <c r="AS389" t="str">
        <f t="shared" si="124"/>
        <v>Cancelled</v>
      </c>
      <c r="AT389" t="str">
        <f t="shared" si="125"/>
        <v>Clean</v>
      </c>
    </row>
    <row r="390" spans="1:46">
      <c r="A390" t="s">
        <v>1926</v>
      </c>
      <c r="B390">
        <f>COUNTIF($D$2:D390,D390)</f>
        <v>1</v>
      </c>
      <c r="C390" t="str">
        <f>IF(COUNTIF($A:$A,A390)=1,
"Unique",
IF(COUNTIFS($A:$A,A390,$N:$N,N390,$AF:$AF,AF390,$AJ:$AJ,AJ390)&gt;1,
"Exact Duplicate",
"Conflicting Duplicate"))</f>
        <v>Unique</v>
      </c>
      <c r="D390" t="s">
        <v>1927</v>
      </c>
      <c r="E390" t="s">
        <v>1928</v>
      </c>
      <c r="F390" s="3">
        <v>45425</v>
      </c>
      <c r="G390" s="2">
        <v>45430</v>
      </c>
      <c r="H390" s="5" t="str">
        <f t="shared" si="108"/>
        <v>May</v>
      </c>
      <c r="I390" s="5">
        <f t="shared" si="109"/>
        <v>2024</v>
      </c>
      <c r="J390" t="str">
        <f>IF(F390="","Missing Date",
IF(ISNUMBER(F390),"Valid","Invalid Date"))</f>
        <v>Valid</v>
      </c>
      <c r="K390" t="str">
        <f t="shared" si="110"/>
        <v>Valid</v>
      </c>
      <c r="L390">
        <f>G390-F390</f>
        <v>5</v>
      </c>
      <c r="M390" t="s">
        <v>1929</v>
      </c>
      <c r="N390" t="s">
        <v>53</v>
      </c>
      <c r="O390" t="str">
        <f t="shared" si="111"/>
        <v>Isha Nair</v>
      </c>
      <c r="P390" t="s">
        <v>41</v>
      </c>
      <c r="Q390" t="str">
        <f t="shared" si="112"/>
        <v>Small Business</v>
      </c>
      <c r="R390" t="s">
        <v>73</v>
      </c>
      <c r="S390" t="str">
        <f t="shared" si="113"/>
        <v>West</v>
      </c>
      <c r="T390" t="s">
        <v>235</v>
      </c>
      <c r="U390" t="str">
        <f t="shared" si="114"/>
        <v>Gujarat</v>
      </c>
      <c r="V390" t="s">
        <v>236</v>
      </c>
      <c r="W390" t="str">
        <f t="shared" si="115"/>
        <v>Ahmedabad</v>
      </c>
      <c r="X390" t="s">
        <v>45</v>
      </c>
      <c r="Y390" t="str">
        <f t="shared" si="116"/>
        <v>Furniture</v>
      </c>
      <c r="Z390" t="s">
        <v>76</v>
      </c>
      <c r="AA390" t="str">
        <f t="shared" si="117"/>
        <v>Chairs</v>
      </c>
      <c r="AB390" t="s">
        <v>1930</v>
      </c>
      <c r="AC390" t="s">
        <v>67</v>
      </c>
      <c r="AD390" t="str">
        <f t="shared" si="118"/>
        <v>Standard Class</v>
      </c>
      <c r="AE390">
        <v>3</v>
      </c>
      <c r="AF390">
        <v>3128.59</v>
      </c>
      <c r="AG390">
        <v>0</v>
      </c>
      <c r="AH390">
        <v>0</v>
      </c>
      <c r="AI390" t="str">
        <f t="shared" si="119"/>
        <v>Valid</v>
      </c>
      <c r="AJ390">
        <v>9385.77</v>
      </c>
      <c r="AK390">
        <f t="shared" si="120"/>
        <v>9385.77</v>
      </c>
      <c r="AL390">
        <v>6872.44</v>
      </c>
      <c r="AM390">
        <v>2783.66</v>
      </c>
      <c r="AN390">
        <f t="shared" si="121"/>
        <v>2513.3300000000008</v>
      </c>
      <c r="AO390">
        <f t="shared" si="122"/>
        <v>-6872.44</v>
      </c>
      <c r="AP390" t="s">
        <v>34</v>
      </c>
      <c r="AQ390" t="str">
        <f t="shared" si="123"/>
        <v>Paid</v>
      </c>
      <c r="AR390" t="s">
        <v>35</v>
      </c>
      <c r="AS390" t="str">
        <f t="shared" si="124"/>
        <v>Completed</v>
      </c>
      <c r="AT390" t="str">
        <f t="shared" si="125"/>
        <v>Clean</v>
      </c>
    </row>
    <row r="391" spans="1:46">
      <c r="A391" t="s">
        <v>1931</v>
      </c>
      <c r="B391">
        <f>COUNTIF($D$2:D391,D391)</f>
        <v>1</v>
      </c>
      <c r="C391" t="str">
        <f>IF(COUNTIF($A:$A,A391)=1,
"Unique",
IF(COUNTIFS($A:$A,A391,$N:$N,N391,$AF:$AF,AF391,$AJ:$AJ,AJ391)&gt;1,
"Exact Duplicate",
"Conflicting Duplicate"))</f>
        <v>Unique</v>
      </c>
      <c r="D391" t="s">
        <v>1932</v>
      </c>
      <c r="E391" t="s">
        <v>349</v>
      </c>
      <c r="F391" s="2">
        <v>45416</v>
      </c>
      <c r="G391" s="2">
        <v>45395</v>
      </c>
      <c r="H391" s="5" t="str">
        <f t="shared" si="108"/>
        <v>May</v>
      </c>
      <c r="I391" s="5">
        <f t="shared" si="109"/>
        <v>2024</v>
      </c>
      <c r="J391" t="str">
        <f>IF(F391="","Missing Date",
IF(ISNUMBER(F391),"Valid","Invalid Date"))</f>
        <v>Valid</v>
      </c>
      <c r="K391" t="str">
        <f t="shared" si="110"/>
        <v>Valid</v>
      </c>
      <c r="L391">
        <f>G391-F391</f>
        <v>-21</v>
      </c>
      <c r="M391" t="s">
        <v>1933</v>
      </c>
      <c r="N391" t="s">
        <v>210</v>
      </c>
      <c r="O391" t="str">
        <f t="shared" si="111"/>
        <v>Diya Patel</v>
      </c>
      <c r="P391" t="s">
        <v>108</v>
      </c>
      <c r="Q391" t="str">
        <f t="shared" si="112"/>
        <v>Corporate</v>
      </c>
      <c r="R391" t="s">
        <v>73</v>
      </c>
      <c r="S391" t="str">
        <f t="shared" si="113"/>
        <v>West</v>
      </c>
      <c r="T391" t="s">
        <v>235</v>
      </c>
      <c r="U391" t="str">
        <f t="shared" si="114"/>
        <v>Gujarat</v>
      </c>
      <c r="V391" t="s">
        <v>236</v>
      </c>
      <c r="W391" t="str">
        <f t="shared" si="115"/>
        <v>Ahmedabad</v>
      </c>
      <c r="X391" t="s">
        <v>86</v>
      </c>
      <c r="Y391" t="str">
        <f t="shared" si="116"/>
        <v>Technology</v>
      </c>
      <c r="Z391" t="s">
        <v>382</v>
      </c>
      <c r="AA391" t="str">
        <f t="shared" si="117"/>
        <v>Machines</v>
      </c>
      <c r="AB391" t="s">
        <v>1934</v>
      </c>
      <c r="AC391" t="s">
        <v>33</v>
      </c>
      <c r="AD391" t="str">
        <f t="shared" si="118"/>
        <v>Second Class</v>
      </c>
      <c r="AE391">
        <v>5</v>
      </c>
      <c r="AF391">
        <v>1937.54</v>
      </c>
      <c r="AG391">
        <v>0.2</v>
      </c>
      <c r="AH391">
        <v>0.2</v>
      </c>
      <c r="AI391" t="str">
        <f t="shared" si="119"/>
        <v>Valid</v>
      </c>
      <c r="AJ391">
        <v>7750.16</v>
      </c>
      <c r="AK391">
        <f t="shared" si="120"/>
        <v>7750.1600000000008</v>
      </c>
      <c r="AL391">
        <v>5434.3</v>
      </c>
      <c r="AM391">
        <v>2315.86</v>
      </c>
      <c r="AN391">
        <f t="shared" si="121"/>
        <v>2315.8600000000006</v>
      </c>
      <c r="AO391">
        <f t="shared" si="122"/>
        <v>-5434.3</v>
      </c>
      <c r="AP391" t="s">
        <v>137</v>
      </c>
      <c r="AQ391" t="str">
        <f t="shared" si="123"/>
        <v>Pending</v>
      </c>
      <c r="AR391" t="s">
        <v>78</v>
      </c>
      <c r="AS391" t="str">
        <f t="shared" si="124"/>
        <v>Cancelled</v>
      </c>
      <c r="AT391" t="str">
        <f t="shared" si="125"/>
        <v>Clean</v>
      </c>
    </row>
    <row r="392" spans="1:46">
      <c r="A392" t="s">
        <v>1935</v>
      </c>
      <c r="B392">
        <f>COUNTIF($D$2:D392,D392)</f>
        <v>2</v>
      </c>
      <c r="C392" t="str">
        <f>IF(COUNTIF($A:$A,A392)=1,
"Unique",
IF(COUNTIFS($A:$A,A392,$N:$N,N392,$AF:$AF,AF392,$AJ:$AJ,AJ392)&gt;1,
"Exact Duplicate",
"Conflicting Duplicate"))</f>
        <v>Unique</v>
      </c>
      <c r="D392" t="s">
        <v>1936</v>
      </c>
      <c r="E392" t="s">
        <v>484</v>
      </c>
      <c r="F392" s="2">
        <v>45454</v>
      </c>
      <c r="G392" s="3">
        <v>45607</v>
      </c>
      <c r="H392" s="5" t="str">
        <f t="shared" si="108"/>
        <v>June</v>
      </c>
      <c r="I392" s="5">
        <f t="shared" si="109"/>
        <v>2024</v>
      </c>
      <c r="J392" t="str">
        <f>IF(F392="","Missing Date",
IF(ISNUMBER(F392),"Valid","Invalid Date"))</f>
        <v>Valid</v>
      </c>
      <c r="K392" t="str">
        <f t="shared" si="110"/>
        <v>Valid</v>
      </c>
      <c r="L392">
        <f>G392-F392</f>
        <v>153</v>
      </c>
      <c r="M392" t="s">
        <v>1937</v>
      </c>
      <c r="N392" t="s">
        <v>53</v>
      </c>
      <c r="O392" t="str">
        <f t="shared" si="111"/>
        <v>Isha Nair</v>
      </c>
      <c r="P392" t="s">
        <v>26</v>
      </c>
      <c r="Q392" t="str">
        <f t="shared" si="112"/>
        <v>Consumer</v>
      </c>
      <c r="R392" t="s">
        <v>73</v>
      </c>
      <c r="S392" t="str">
        <f t="shared" si="113"/>
        <v>West</v>
      </c>
      <c r="T392" t="s">
        <v>235</v>
      </c>
      <c r="U392" t="str">
        <f t="shared" si="114"/>
        <v>Gujarat</v>
      </c>
      <c r="V392" t="s">
        <v>236</v>
      </c>
      <c r="W392" t="str">
        <f t="shared" si="115"/>
        <v>Ahmedabad</v>
      </c>
      <c r="X392" t="s">
        <v>45</v>
      </c>
      <c r="Y392" t="str">
        <f t="shared" si="116"/>
        <v>Furniture</v>
      </c>
      <c r="Z392" t="s">
        <v>65</v>
      </c>
      <c r="AA392" t="str">
        <f t="shared" si="117"/>
        <v>Furnishings</v>
      </c>
      <c r="AB392" t="s">
        <v>1938</v>
      </c>
      <c r="AC392" t="s">
        <v>67</v>
      </c>
      <c r="AD392" t="str">
        <f t="shared" si="118"/>
        <v>Standard Class</v>
      </c>
      <c r="AE392">
        <v>4</v>
      </c>
      <c r="AF392">
        <v>1917.26</v>
      </c>
      <c r="AG392">
        <v>0.2</v>
      </c>
      <c r="AH392">
        <v>0.2</v>
      </c>
      <c r="AI392" t="str">
        <f t="shared" si="119"/>
        <v>Valid</v>
      </c>
      <c r="AJ392">
        <v>6135.23</v>
      </c>
      <c r="AK392">
        <f t="shared" si="120"/>
        <v>6135.232</v>
      </c>
      <c r="AL392">
        <v>3439.79</v>
      </c>
      <c r="AM392">
        <v>2695.44</v>
      </c>
      <c r="AN392">
        <f t="shared" si="121"/>
        <v>2695.442</v>
      </c>
      <c r="AO392">
        <f t="shared" si="122"/>
        <v>-3439.79</v>
      </c>
      <c r="AP392" t="s">
        <v>34</v>
      </c>
      <c r="AQ392" t="str">
        <f t="shared" si="123"/>
        <v>Paid</v>
      </c>
      <c r="AR392" t="s">
        <v>35</v>
      </c>
      <c r="AS392" t="str">
        <f t="shared" si="124"/>
        <v>Completed</v>
      </c>
      <c r="AT392" t="str">
        <f t="shared" si="125"/>
        <v>Clean</v>
      </c>
    </row>
    <row r="393" spans="1:46">
      <c r="A393" t="s">
        <v>1939</v>
      </c>
      <c r="B393">
        <f>COUNTIF($D$2:D393,D393)</f>
        <v>1</v>
      </c>
      <c r="C393" t="str">
        <f>IF(COUNTIF($A:$A,A393)=1,
"Unique",
IF(COUNTIFS($A:$A,A393,$N:$N,N393,$AF:$AF,AF393,$AJ:$AJ,AJ393)&gt;1,
"Exact Duplicate",
"Conflicting Duplicate"))</f>
        <v>Unique</v>
      </c>
      <c r="D393" t="s">
        <v>1920</v>
      </c>
      <c r="E393" t="s">
        <v>1940</v>
      </c>
      <c r="F393" s="3">
        <v>45702</v>
      </c>
      <c r="G393" s="2">
        <v>45702</v>
      </c>
      <c r="H393" s="5" t="str">
        <f t="shared" si="108"/>
        <v>February</v>
      </c>
      <c r="I393" s="5">
        <f t="shared" si="109"/>
        <v>2025</v>
      </c>
      <c r="J393" t="str">
        <f>IF(F393="","Missing Date",
IF(ISNUMBER(F393),"Valid","Invalid Date"))</f>
        <v>Valid</v>
      </c>
      <c r="K393" t="str">
        <f t="shared" si="110"/>
        <v>Valid</v>
      </c>
      <c r="L393">
        <f>G393-F393</f>
        <v>0</v>
      </c>
      <c r="M393" t="s">
        <v>1941</v>
      </c>
      <c r="N393" t="s">
        <v>210</v>
      </c>
      <c r="O393" t="str">
        <f t="shared" si="111"/>
        <v>Diya Patel</v>
      </c>
      <c r="P393" t="s">
        <v>26</v>
      </c>
      <c r="Q393" t="str">
        <f t="shared" si="112"/>
        <v>Consumer</v>
      </c>
      <c r="R393" t="s">
        <v>62</v>
      </c>
      <c r="S393" t="str">
        <f t="shared" si="113"/>
        <v>South</v>
      </c>
      <c r="T393" t="s">
        <v>229</v>
      </c>
      <c r="U393" t="str">
        <f t="shared" si="114"/>
        <v>Karnataka</v>
      </c>
      <c r="V393" t="s">
        <v>230</v>
      </c>
      <c r="W393" t="str">
        <f t="shared" si="115"/>
        <v>Bengaluru</v>
      </c>
      <c r="X393" t="s">
        <v>30</v>
      </c>
      <c r="Y393" t="str">
        <f t="shared" si="116"/>
        <v>Office Supplies</v>
      </c>
      <c r="Z393" t="s">
        <v>156</v>
      </c>
      <c r="AA393" t="str">
        <f t="shared" si="117"/>
        <v>Storage</v>
      </c>
      <c r="AB393" t="s">
        <v>1942</v>
      </c>
      <c r="AC393" t="s">
        <v>56</v>
      </c>
      <c r="AD393" t="str">
        <f t="shared" si="118"/>
        <v>First Class</v>
      </c>
      <c r="AE393">
        <v>1</v>
      </c>
      <c r="AF393">
        <v>714.43</v>
      </c>
      <c r="AG393">
        <v>0</v>
      </c>
      <c r="AH393">
        <v>0</v>
      </c>
      <c r="AI393" t="str">
        <f t="shared" si="119"/>
        <v>Valid</v>
      </c>
      <c r="AJ393">
        <v>714.43</v>
      </c>
      <c r="AK393">
        <f t="shared" si="120"/>
        <v>714.43</v>
      </c>
      <c r="AL393">
        <v>565.44000000000005</v>
      </c>
      <c r="AM393">
        <v>148.99</v>
      </c>
      <c r="AN393">
        <f t="shared" si="121"/>
        <v>148.9899999999999</v>
      </c>
      <c r="AO393">
        <f t="shared" si="122"/>
        <v>-565.44000000000005</v>
      </c>
      <c r="AP393" t="s">
        <v>34</v>
      </c>
      <c r="AQ393" t="str">
        <f t="shared" si="123"/>
        <v>Paid</v>
      </c>
      <c r="AR393" t="s">
        <v>35</v>
      </c>
      <c r="AS393" t="str">
        <f t="shared" si="124"/>
        <v>Completed</v>
      </c>
      <c r="AT393" t="str">
        <f t="shared" si="125"/>
        <v>Clean</v>
      </c>
    </row>
    <row r="394" spans="1:46">
      <c r="A394" t="s">
        <v>1943</v>
      </c>
      <c r="B394">
        <f>COUNTIF($D$2:D394,D394)</f>
        <v>1</v>
      </c>
      <c r="C394" t="str">
        <f>IF(COUNTIF($A:$A,A394)=1,
"Unique",
IF(COUNTIFS($A:$A,A394,$N:$N,N394,$AF:$AF,AF394,$AJ:$AJ,AJ394)&gt;1,
"Exact Duplicate",
"Conflicting Duplicate"))</f>
        <v>Unique</v>
      </c>
      <c r="D394" t="s">
        <v>1944</v>
      </c>
      <c r="E394" t="s">
        <v>1945</v>
      </c>
      <c r="F394" s="3">
        <v>45341</v>
      </c>
      <c r="G394" s="2">
        <v>45344</v>
      </c>
      <c r="H394" s="5" t="str">
        <f t="shared" si="108"/>
        <v>February</v>
      </c>
      <c r="I394" s="5">
        <f t="shared" si="109"/>
        <v>2024</v>
      </c>
      <c r="J394" t="str">
        <f>IF(F394="","Missing Date",
IF(ISNUMBER(F394),"Valid","Invalid Date"))</f>
        <v>Valid</v>
      </c>
      <c r="K394" t="str">
        <f t="shared" si="110"/>
        <v>Valid</v>
      </c>
      <c r="L394">
        <f>G394-F394</f>
        <v>3</v>
      </c>
      <c r="M394" t="s">
        <v>1946</v>
      </c>
      <c r="N394" t="s">
        <v>107</v>
      </c>
      <c r="O394" t="str">
        <f t="shared" si="111"/>
        <v>Aditi Sen</v>
      </c>
      <c r="P394" t="s">
        <v>41</v>
      </c>
      <c r="Q394" t="str">
        <f t="shared" si="112"/>
        <v>Small Business</v>
      </c>
      <c r="R394" t="s">
        <v>62</v>
      </c>
      <c r="S394" t="str">
        <f t="shared" si="113"/>
        <v>South</v>
      </c>
      <c r="T394" t="s">
        <v>242</v>
      </c>
      <c r="U394" t="str">
        <f t="shared" si="114"/>
        <v>Kerala</v>
      </c>
      <c r="V394" t="s">
        <v>243</v>
      </c>
      <c r="W394" t="str">
        <f t="shared" si="115"/>
        <v>Kochi</v>
      </c>
      <c r="X394" t="s">
        <v>45</v>
      </c>
      <c r="Y394" t="str">
        <f t="shared" si="116"/>
        <v>Furniture</v>
      </c>
      <c r="Z394" t="s">
        <v>65</v>
      </c>
      <c r="AA394" t="str">
        <f t="shared" si="117"/>
        <v>Furnishings</v>
      </c>
      <c r="AB394" t="s">
        <v>1947</v>
      </c>
      <c r="AC394" t="s">
        <v>48</v>
      </c>
      <c r="AD394" t="str">
        <f t="shared" si="118"/>
        <v>Same Day</v>
      </c>
      <c r="AE394">
        <v>9</v>
      </c>
      <c r="AF394">
        <v>4053.01</v>
      </c>
      <c r="AG394">
        <v>0</v>
      </c>
      <c r="AH394">
        <v>0</v>
      </c>
      <c r="AI394" t="str">
        <f t="shared" si="119"/>
        <v>Valid</v>
      </c>
      <c r="AJ394">
        <v>36477.089999999997</v>
      </c>
      <c r="AK394">
        <f t="shared" si="120"/>
        <v>36477.090000000004</v>
      </c>
      <c r="AL394">
        <v>24525.48</v>
      </c>
      <c r="AM394">
        <v>11951.61</v>
      </c>
      <c r="AN394">
        <f t="shared" si="121"/>
        <v>11951.610000000004</v>
      </c>
      <c r="AO394">
        <f t="shared" si="122"/>
        <v>-24525.48</v>
      </c>
      <c r="AP394" t="s">
        <v>34</v>
      </c>
      <c r="AQ394" t="str">
        <f t="shared" si="123"/>
        <v>Paid</v>
      </c>
      <c r="AR394" t="s">
        <v>35</v>
      </c>
      <c r="AS394" t="str">
        <f t="shared" si="124"/>
        <v>Completed</v>
      </c>
      <c r="AT394" t="str">
        <f t="shared" si="125"/>
        <v>Clean</v>
      </c>
    </row>
    <row r="395" spans="1:46">
      <c r="A395" t="s">
        <v>1948</v>
      </c>
      <c r="B395">
        <f>COUNTIF($D$2:D395,D395)</f>
        <v>2</v>
      </c>
      <c r="C395" t="str">
        <f>IF(COUNTIF($A:$A,A395)=1,
"Unique",
IF(COUNTIFS($A:$A,A395,$N:$N,N395,$AF:$AF,AF395,$AJ:$AJ,AJ395)&gt;1,
"Exact Duplicate",
"Conflicting Duplicate"))</f>
        <v>Unique</v>
      </c>
      <c r="D395" t="s">
        <v>1949</v>
      </c>
      <c r="E395" t="s">
        <v>1950</v>
      </c>
      <c r="F395" s="3">
        <v>45527</v>
      </c>
      <c r="G395" s="3">
        <v>45533</v>
      </c>
      <c r="H395" s="5" t="str">
        <f t="shared" si="108"/>
        <v>August</v>
      </c>
      <c r="I395" s="5">
        <f t="shared" si="109"/>
        <v>2024</v>
      </c>
      <c r="J395" t="str">
        <f>IF(F395="","Missing Date",
IF(ISNUMBER(F395),"Valid","Invalid Date"))</f>
        <v>Valid</v>
      </c>
      <c r="K395" t="str">
        <f t="shared" si="110"/>
        <v>Valid</v>
      </c>
      <c r="L395">
        <f>G395-F395</f>
        <v>6</v>
      </c>
      <c r="M395" t="s">
        <v>1951</v>
      </c>
      <c r="N395" t="s">
        <v>40</v>
      </c>
      <c r="O395" t="str">
        <f t="shared" si="111"/>
        <v>Mira Das</v>
      </c>
      <c r="P395" t="s">
        <v>108</v>
      </c>
      <c r="Q395" t="str">
        <f t="shared" si="112"/>
        <v>Corporate</v>
      </c>
      <c r="R395" t="s">
        <v>27</v>
      </c>
      <c r="S395" t="str">
        <f t="shared" si="113"/>
        <v>North</v>
      </c>
      <c r="T395" t="s">
        <v>174</v>
      </c>
      <c r="U395" t="str">
        <f t="shared" si="114"/>
        <v>Uttar Pradesh</v>
      </c>
      <c r="V395" t="s">
        <v>175</v>
      </c>
      <c r="W395" t="str">
        <f t="shared" si="115"/>
        <v>Noida</v>
      </c>
      <c r="X395" t="s">
        <v>30</v>
      </c>
      <c r="Y395" t="str">
        <f t="shared" si="116"/>
        <v>Office Supplies</v>
      </c>
      <c r="Z395" t="s">
        <v>109</v>
      </c>
      <c r="AA395" t="str">
        <f t="shared" si="117"/>
        <v>Labels</v>
      </c>
      <c r="AB395" t="s">
        <v>1952</v>
      </c>
      <c r="AC395" t="s">
        <v>48</v>
      </c>
      <c r="AD395" t="str">
        <f t="shared" si="118"/>
        <v>Same Day</v>
      </c>
      <c r="AE395">
        <v>2</v>
      </c>
      <c r="AF395">
        <v>1936.91</v>
      </c>
      <c r="AG395">
        <v>0.05</v>
      </c>
      <c r="AH395">
        <v>0.05</v>
      </c>
      <c r="AI395" t="str">
        <f t="shared" si="119"/>
        <v>Valid</v>
      </c>
      <c r="AJ395">
        <v>3680.13</v>
      </c>
      <c r="AK395">
        <f t="shared" si="120"/>
        <v>3680.1289999999999</v>
      </c>
      <c r="AL395">
        <v>2967.46</v>
      </c>
      <c r="AM395">
        <v>712.67</v>
      </c>
      <c r="AN395">
        <f t="shared" si="121"/>
        <v>712.66899999999987</v>
      </c>
      <c r="AO395">
        <f t="shared" si="122"/>
        <v>-2967.46</v>
      </c>
      <c r="AP395" t="s">
        <v>34</v>
      </c>
      <c r="AQ395" t="str">
        <f t="shared" si="123"/>
        <v>Paid</v>
      </c>
      <c r="AR395" t="s">
        <v>35</v>
      </c>
      <c r="AS395" t="str">
        <f t="shared" si="124"/>
        <v>Completed</v>
      </c>
      <c r="AT395" t="str">
        <f t="shared" si="125"/>
        <v>Clean</v>
      </c>
    </row>
    <row r="396" spans="1:46">
      <c r="A396" t="s">
        <v>1953</v>
      </c>
      <c r="B396">
        <f>COUNTIF($D$2:D396,D396)</f>
        <v>1</v>
      </c>
      <c r="C396" t="str">
        <f>IF(COUNTIF($A:$A,A396)=1,
"Unique",
IF(COUNTIFS($A:$A,A396,$N:$N,N396,$AF:$AF,AF396,$AJ:$AJ,AJ396)&gt;1,
"Exact Duplicate",
"Conflicting Duplicate"))</f>
        <v>Unique</v>
      </c>
      <c r="D396" t="s">
        <v>1954</v>
      </c>
      <c r="E396" t="s">
        <v>1955</v>
      </c>
      <c r="F396" s="3">
        <v>45355</v>
      </c>
      <c r="G396" s="2">
        <v>45386</v>
      </c>
      <c r="H396" s="5" t="str">
        <f t="shared" si="108"/>
        <v>March</v>
      </c>
      <c r="I396" s="5">
        <f t="shared" si="109"/>
        <v>2024</v>
      </c>
      <c r="J396" t="str">
        <f>IF(F396="","Missing Date",
IF(ISNUMBER(F396),"Valid","Invalid Date"))</f>
        <v>Valid</v>
      </c>
      <c r="K396" t="str">
        <f t="shared" si="110"/>
        <v>Valid</v>
      </c>
      <c r="L396">
        <f>G396-F396</f>
        <v>31</v>
      </c>
      <c r="M396" t="s">
        <v>1956</v>
      </c>
      <c r="N396" t="s">
        <v>366</v>
      </c>
      <c r="O396" t="str">
        <f t="shared" si="111"/>
        <v>Kabir Singh</v>
      </c>
      <c r="P396" t="s">
        <v>26</v>
      </c>
      <c r="Q396" t="str">
        <f t="shared" si="112"/>
        <v>Consumer</v>
      </c>
      <c r="R396" t="s">
        <v>73</v>
      </c>
      <c r="S396" t="str">
        <f t="shared" si="113"/>
        <v>West</v>
      </c>
      <c r="T396" t="s">
        <v>74</v>
      </c>
      <c r="U396" t="str">
        <f t="shared" si="114"/>
        <v>Maharashtra</v>
      </c>
      <c r="V396" t="s">
        <v>75</v>
      </c>
      <c r="W396" t="str">
        <f t="shared" si="115"/>
        <v>Mumbai</v>
      </c>
      <c r="X396" t="s">
        <v>45</v>
      </c>
      <c r="Y396" t="str">
        <f t="shared" si="116"/>
        <v>Furniture</v>
      </c>
      <c r="Z396" t="s">
        <v>65</v>
      </c>
      <c r="AA396" t="str">
        <f t="shared" si="117"/>
        <v>Furnishings</v>
      </c>
      <c r="AB396" t="s">
        <v>1957</v>
      </c>
      <c r="AC396" t="s">
        <v>56</v>
      </c>
      <c r="AD396" t="str">
        <f t="shared" si="118"/>
        <v>First Class</v>
      </c>
      <c r="AE396">
        <v>7</v>
      </c>
      <c r="AF396">
        <v>3945.21</v>
      </c>
      <c r="AG396">
        <v>0</v>
      </c>
      <c r="AH396">
        <v>0</v>
      </c>
      <c r="AI396" t="str">
        <f t="shared" si="119"/>
        <v>Valid</v>
      </c>
      <c r="AJ396">
        <v>27616.47</v>
      </c>
      <c r="AK396">
        <f t="shared" si="120"/>
        <v>27616.47</v>
      </c>
      <c r="AL396">
        <v>21225.26</v>
      </c>
      <c r="AM396">
        <v>6391.21</v>
      </c>
      <c r="AN396">
        <f t="shared" si="121"/>
        <v>6391.2100000000028</v>
      </c>
      <c r="AO396">
        <f t="shared" si="122"/>
        <v>-21225.26</v>
      </c>
      <c r="AP396" t="s">
        <v>34</v>
      </c>
      <c r="AQ396" t="str">
        <f t="shared" si="123"/>
        <v>Paid</v>
      </c>
      <c r="AR396" t="s">
        <v>35</v>
      </c>
      <c r="AS396" t="str">
        <f t="shared" si="124"/>
        <v>Completed</v>
      </c>
      <c r="AT396" t="str">
        <f t="shared" si="125"/>
        <v>Clean</v>
      </c>
    </row>
    <row r="397" spans="1:46">
      <c r="A397" t="s">
        <v>1958</v>
      </c>
      <c r="B397">
        <f>COUNTIF($D$2:D397,D397)</f>
        <v>1</v>
      </c>
      <c r="C397" t="str">
        <f>IF(COUNTIF($A:$A,A397)=1,
"Unique",
IF(COUNTIFS($A:$A,A397,$N:$N,N397,$AF:$AF,AF397,$AJ:$AJ,AJ397)&gt;1,
"Exact Duplicate",
"Conflicting Duplicate"))</f>
        <v>Unique</v>
      </c>
      <c r="D397" t="s">
        <v>1067</v>
      </c>
      <c r="E397" t="s">
        <v>1754</v>
      </c>
      <c r="F397" s="3">
        <v>45449</v>
      </c>
      <c r="G397" s="3">
        <v>45450</v>
      </c>
      <c r="H397" s="5" t="str">
        <f t="shared" si="108"/>
        <v>June</v>
      </c>
      <c r="I397" s="5">
        <f t="shared" si="109"/>
        <v>2024</v>
      </c>
      <c r="J397" t="str">
        <f>IF(F397="","Missing Date",
IF(ISNUMBER(F397),"Valid","Invalid Date"))</f>
        <v>Valid</v>
      </c>
      <c r="K397" t="str">
        <f t="shared" si="110"/>
        <v>Valid</v>
      </c>
      <c r="L397">
        <f>G397-F397</f>
        <v>1</v>
      </c>
      <c r="M397" t="s">
        <v>1959</v>
      </c>
      <c r="N397" t="s">
        <v>148</v>
      </c>
      <c r="O397" t="str">
        <f t="shared" si="111"/>
        <v>Rahul Verma</v>
      </c>
      <c r="P397" t="s">
        <v>115</v>
      </c>
      <c r="Q397" t="str">
        <f t="shared" si="112"/>
        <v>Home Office</v>
      </c>
      <c r="R397" t="s">
        <v>62</v>
      </c>
      <c r="S397" t="str">
        <f t="shared" si="113"/>
        <v>South</v>
      </c>
      <c r="T397" t="s">
        <v>339</v>
      </c>
      <c r="U397" t="str">
        <f t="shared" si="114"/>
        <v>Tamil Nadu</v>
      </c>
      <c r="V397" t="s">
        <v>340</v>
      </c>
      <c r="W397" t="str">
        <f t="shared" si="115"/>
        <v>Chennai</v>
      </c>
      <c r="X397" t="s">
        <v>45</v>
      </c>
      <c r="Y397" t="str">
        <f t="shared" si="116"/>
        <v>Furniture</v>
      </c>
      <c r="Z397" t="s">
        <v>46</v>
      </c>
      <c r="AA397" t="str">
        <f t="shared" si="117"/>
        <v>Tables</v>
      </c>
      <c r="AB397" t="s">
        <v>1960</v>
      </c>
      <c r="AC397" t="s">
        <v>48</v>
      </c>
      <c r="AD397" t="str">
        <f t="shared" si="118"/>
        <v>Same Day</v>
      </c>
      <c r="AE397">
        <v>7</v>
      </c>
      <c r="AF397">
        <v>861.91</v>
      </c>
      <c r="AG397">
        <v>0.05</v>
      </c>
      <c r="AH397">
        <v>0.05</v>
      </c>
      <c r="AI397" t="str">
        <f t="shared" si="119"/>
        <v>Valid</v>
      </c>
      <c r="AJ397">
        <v>5731.7</v>
      </c>
      <c r="AK397">
        <f t="shared" si="120"/>
        <v>5731.7014999999992</v>
      </c>
      <c r="AL397">
        <v>4115.5600000000004</v>
      </c>
      <c r="AM397">
        <v>1616.14</v>
      </c>
      <c r="AN397">
        <f t="shared" si="121"/>
        <v>1616.1414999999988</v>
      </c>
      <c r="AO397">
        <f t="shared" si="122"/>
        <v>-4115.5600000000004</v>
      </c>
      <c r="AP397" t="s">
        <v>34</v>
      </c>
      <c r="AQ397" t="str">
        <f t="shared" si="123"/>
        <v>Paid</v>
      </c>
      <c r="AR397" t="s">
        <v>35</v>
      </c>
      <c r="AS397" t="str">
        <f t="shared" si="124"/>
        <v>Completed</v>
      </c>
      <c r="AT397" t="str">
        <f t="shared" si="125"/>
        <v>Clean</v>
      </c>
    </row>
    <row r="398" spans="1:46">
      <c r="A398" t="s">
        <v>1961</v>
      </c>
      <c r="B398">
        <f>COUNTIF($D$2:D398,D398)</f>
        <v>1</v>
      </c>
      <c r="C398" t="str">
        <f>IF(COUNTIF($A:$A,A398)=1,
"Unique",
IF(COUNTIFS($A:$A,A398,$N:$N,N398,$AF:$AF,AF398,$AJ:$AJ,AJ398)&gt;1,
"Exact Duplicate",
"Conflicting Duplicate"))</f>
        <v>Unique</v>
      </c>
      <c r="D398" t="s">
        <v>1962</v>
      </c>
      <c r="E398" t="s">
        <v>1963</v>
      </c>
      <c r="F398" s="3">
        <v>45761</v>
      </c>
      <c r="G398" s="2">
        <v>45769</v>
      </c>
      <c r="H398" s="5" t="str">
        <f t="shared" si="108"/>
        <v>April</v>
      </c>
      <c r="I398" s="5">
        <f t="shared" si="109"/>
        <v>2025</v>
      </c>
      <c r="J398" t="str">
        <f>IF(F398="","Missing Date",
IF(ISNUMBER(F398),"Valid","Invalid Date"))</f>
        <v>Valid</v>
      </c>
      <c r="K398" t="str">
        <f t="shared" si="110"/>
        <v>Valid</v>
      </c>
      <c r="L398">
        <f>G398-F398</f>
        <v>8</v>
      </c>
      <c r="M398" t="s">
        <v>1964</v>
      </c>
      <c r="N398" t="s">
        <v>107</v>
      </c>
      <c r="O398" t="str">
        <f t="shared" si="111"/>
        <v>Aditi Sen</v>
      </c>
      <c r="P398" t="s">
        <v>41</v>
      </c>
      <c r="Q398" t="str">
        <f t="shared" si="112"/>
        <v>Small Business</v>
      </c>
      <c r="R398" t="s">
        <v>62</v>
      </c>
      <c r="S398" t="str">
        <f t="shared" si="113"/>
        <v>South</v>
      </c>
      <c r="T398" t="s">
        <v>229</v>
      </c>
      <c r="U398" t="str">
        <f t="shared" si="114"/>
        <v>Karnataka</v>
      </c>
      <c r="V398" t="s">
        <v>230</v>
      </c>
      <c r="W398" t="str">
        <f t="shared" si="115"/>
        <v>Bengaluru</v>
      </c>
      <c r="X398" t="s">
        <v>86</v>
      </c>
      <c r="Y398" t="str">
        <f t="shared" si="116"/>
        <v>Technology</v>
      </c>
      <c r="Z398" t="s">
        <v>382</v>
      </c>
      <c r="AA398" t="str">
        <f t="shared" si="117"/>
        <v>Machines</v>
      </c>
      <c r="AB398" t="s">
        <v>1965</v>
      </c>
      <c r="AC398" t="s">
        <v>67</v>
      </c>
      <c r="AD398" t="str">
        <f t="shared" si="118"/>
        <v>Standard Class</v>
      </c>
      <c r="AE398">
        <v>2</v>
      </c>
      <c r="AF398">
        <v>638.73</v>
      </c>
      <c r="AG398">
        <v>0.05</v>
      </c>
      <c r="AH398">
        <v>0.05</v>
      </c>
      <c r="AI398" t="str">
        <f t="shared" si="119"/>
        <v>Valid</v>
      </c>
      <c r="AJ398">
        <v>1213.5899999999999</v>
      </c>
      <c r="AK398">
        <f t="shared" si="120"/>
        <v>1213.587</v>
      </c>
      <c r="AL398">
        <v>956.22</v>
      </c>
      <c r="AM398">
        <v>257.37</v>
      </c>
      <c r="AN398">
        <f t="shared" si="121"/>
        <v>257.36699999999996</v>
      </c>
      <c r="AO398">
        <f t="shared" si="122"/>
        <v>-956.22</v>
      </c>
      <c r="AP398" t="s">
        <v>34</v>
      </c>
      <c r="AQ398" t="str">
        <f t="shared" si="123"/>
        <v>Paid</v>
      </c>
      <c r="AR398" t="s">
        <v>35</v>
      </c>
      <c r="AS398" t="str">
        <f t="shared" si="124"/>
        <v>Completed</v>
      </c>
      <c r="AT398" t="str">
        <f t="shared" si="125"/>
        <v>Clean</v>
      </c>
    </row>
    <row r="399" spans="1:46">
      <c r="A399" t="s">
        <v>1966</v>
      </c>
      <c r="B399">
        <f>COUNTIF($D$2:D399,D399)</f>
        <v>1</v>
      </c>
      <c r="C399" t="str">
        <f>IF(COUNTIF($A:$A,A399)=1,
"Unique",
IF(COUNTIFS($A:$A,A399,$N:$N,N399,$AF:$AF,AF399,$AJ:$AJ,AJ399)&gt;1,
"Exact Duplicate",
"Conflicting Duplicate"))</f>
        <v>Unique</v>
      </c>
      <c r="D399" t="s">
        <v>1967</v>
      </c>
      <c r="E399" t="s">
        <v>1968</v>
      </c>
      <c r="F399" s="2">
        <v>45906</v>
      </c>
      <c r="G399" s="2">
        <v>45936</v>
      </c>
      <c r="H399" s="5" t="str">
        <f t="shared" si="108"/>
        <v>September</v>
      </c>
      <c r="I399" s="5">
        <f t="shared" si="109"/>
        <v>2025</v>
      </c>
      <c r="J399" t="str">
        <f>IF(F399="","Missing Date",
IF(ISNUMBER(F399),"Valid","Invalid Date"))</f>
        <v>Valid</v>
      </c>
      <c r="K399" t="str">
        <f t="shared" si="110"/>
        <v>Valid</v>
      </c>
      <c r="L399">
        <f>G399-F399</f>
        <v>30</v>
      </c>
      <c r="M399" t="s">
        <v>1969</v>
      </c>
      <c r="N399" t="s">
        <v>168</v>
      </c>
      <c r="O399" t="str">
        <f t="shared" si="111"/>
        <v>Sneha Kapoor</v>
      </c>
      <c r="P399" t="s">
        <v>41</v>
      </c>
      <c r="Q399" t="str">
        <f t="shared" si="112"/>
        <v>Small Business</v>
      </c>
      <c r="R399" t="s">
        <v>27</v>
      </c>
      <c r="S399" t="str">
        <f t="shared" si="113"/>
        <v>North</v>
      </c>
      <c r="T399" t="s">
        <v>174</v>
      </c>
      <c r="U399" t="str">
        <f t="shared" si="114"/>
        <v>Uttar Pradesh</v>
      </c>
      <c r="V399" t="s">
        <v>175</v>
      </c>
      <c r="W399" t="str">
        <f t="shared" si="115"/>
        <v>Noida</v>
      </c>
      <c r="X399" t="s">
        <v>45</v>
      </c>
      <c r="Y399" t="str">
        <f t="shared" si="116"/>
        <v>Furniture</v>
      </c>
      <c r="Z399" t="s">
        <v>46</v>
      </c>
      <c r="AA399" t="str">
        <f t="shared" si="117"/>
        <v>Tables</v>
      </c>
      <c r="AB399" t="s">
        <v>1970</v>
      </c>
      <c r="AC399" t="s">
        <v>33</v>
      </c>
      <c r="AD399" t="str">
        <f t="shared" si="118"/>
        <v>Second Class</v>
      </c>
      <c r="AE399">
        <v>2</v>
      </c>
      <c r="AF399">
        <v>1731.88</v>
      </c>
      <c r="AG399">
        <v>0</v>
      </c>
      <c r="AH399">
        <v>0</v>
      </c>
      <c r="AI399" t="str">
        <f t="shared" si="119"/>
        <v>Valid</v>
      </c>
      <c r="AJ399">
        <v>3463.76</v>
      </c>
      <c r="AK399">
        <f t="shared" si="120"/>
        <v>3463.76</v>
      </c>
      <c r="AL399">
        <v>2143.7399999999998</v>
      </c>
      <c r="AM399">
        <v>1320.02</v>
      </c>
      <c r="AN399">
        <f t="shared" si="121"/>
        <v>1320.0200000000004</v>
      </c>
      <c r="AO399">
        <f t="shared" si="122"/>
        <v>-2143.7399999999998</v>
      </c>
      <c r="AP399" t="s">
        <v>34</v>
      </c>
      <c r="AQ399" t="str">
        <f t="shared" si="123"/>
        <v>Paid</v>
      </c>
      <c r="AR399" t="s">
        <v>35</v>
      </c>
      <c r="AS399" t="str">
        <f t="shared" si="124"/>
        <v>Completed</v>
      </c>
      <c r="AT399" t="str">
        <f t="shared" si="125"/>
        <v>Clean</v>
      </c>
    </row>
    <row r="400" spans="1:46">
      <c r="A400" t="s">
        <v>1971</v>
      </c>
      <c r="B400">
        <f>COUNTIF($D$2:D400,D400)</f>
        <v>4</v>
      </c>
      <c r="C400" t="str">
        <f>IF(COUNTIF($A:$A,A400)=1,
"Unique",
IF(COUNTIFS($A:$A,A400,$N:$N,N400,$AF:$AF,AF400,$AJ:$AJ,AJ400)&gt;1,
"Exact Duplicate",
"Conflicting Duplicate"))</f>
        <v>Unique</v>
      </c>
      <c r="D400" t="s">
        <v>1972</v>
      </c>
      <c r="E400" t="s">
        <v>1973</v>
      </c>
      <c r="F400" s="2">
        <v>45492</v>
      </c>
      <c r="G400" s="3">
        <v>45499</v>
      </c>
      <c r="H400" s="5" t="str">
        <f t="shared" si="108"/>
        <v>July</v>
      </c>
      <c r="I400" s="5">
        <f t="shared" si="109"/>
        <v>2024</v>
      </c>
      <c r="J400" t="str">
        <f>IF(F400="","Missing Date",
IF(ISNUMBER(F400),"Valid","Invalid Date"))</f>
        <v>Valid</v>
      </c>
      <c r="K400" t="str">
        <f t="shared" si="110"/>
        <v>Valid</v>
      </c>
      <c r="L400">
        <f>G400-F400</f>
        <v>7</v>
      </c>
      <c r="M400" t="s">
        <v>1974</v>
      </c>
      <c r="N400" t="s">
        <v>83</v>
      </c>
      <c r="O400" t="str">
        <f t="shared" si="111"/>
        <v>Vikram Iyer</v>
      </c>
      <c r="P400" t="s">
        <v>108</v>
      </c>
      <c r="Q400" t="str">
        <f t="shared" si="112"/>
        <v>Corporate</v>
      </c>
      <c r="R400" t="s">
        <v>27</v>
      </c>
      <c r="S400" t="str">
        <f t="shared" si="113"/>
        <v>North</v>
      </c>
      <c r="T400" t="s">
        <v>154</v>
      </c>
      <c r="U400" t="str">
        <f t="shared" si="114"/>
        <v>Punjab</v>
      </c>
      <c r="V400" t="s">
        <v>155</v>
      </c>
      <c r="W400" t="str">
        <f t="shared" si="115"/>
        <v>Ludhiana</v>
      </c>
      <c r="X400" t="s">
        <v>86</v>
      </c>
      <c r="Y400" t="str">
        <f t="shared" si="116"/>
        <v>Technology</v>
      </c>
      <c r="Z400" t="s">
        <v>382</v>
      </c>
      <c r="AA400" t="str">
        <f t="shared" si="117"/>
        <v>Machines</v>
      </c>
      <c r="AB400" t="s">
        <v>1975</v>
      </c>
      <c r="AC400" t="s">
        <v>48</v>
      </c>
      <c r="AD400" t="str">
        <f t="shared" si="118"/>
        <v>Same Day</v>
      </c>
      <c r="AE400">
        <v>2</v>
      </c>
      <c r="AF400">
        <v>1263.6500000000001</v>
      </c>
      <c r="AG400">
        <v>0.2</v>
      </c>
      <c r="AH400">
        <v>0.2</v>
      </c>
      <c r="AI400" t="str">
        <f t="shared" si="119"/>
        <v>Valid</v>
      </c>
      <c r="AJ400">
        <v>2021.84</v>
      </c>
      <c r="AK400">
        <f t="shared" si="120"/>
        <v>2021.8400000000001</v>
      </c>
      <c r="AL400">
        <v>1355.22</v>
      </c>
      <c r="AM400">
        <v>666.62</v>
      </c>
      <c r="AN400">
        <f t="shared" si="121"/>
        <v>666.62000000000012</v>
      </c>
      <c r="AO400">
        <f t="shared" si="122"/>
        <v>-1355.22</v>
      </c>
      <c r="AP400" t="s">
        <v>34</v>
      </c>
      <c r="AQ400" t="str">
        <f t="shared" si="123"/>
        <v>Paid</v>
      </c>
      <c r="AR400" t="s">
        <v>35</v>
      </c>
      <c r="AS400" t="str">
        <f t="shared" si="124"/>
        <v>Completed</v>
      </c>
      <c r="AT400" t="str">
        <f t="shared" si="125"/>
        <v>Clean</v>
      </c>
    </row>
    <row r="401" spans="1:46">
      <c r="A401" t="s">
        <v>1976</v>
      </c>
      <c r="B401">
        <f>COUNTIF($D$2:D401,D401)</f>
        <v>1</v>
      </c>
      <c r="C401" t="str">
        <f>IF(COUNTIF($A:$A,A401)=1,
"Unique",
IF(COUNTIFS($A:$A,A401,$N:$N,N401,$AF:$AF,AF401,$AJ:$AJ,AJ401)&gt;1,
"Exact Duplicate",
"Conflicting Duplicate"))</f>
        <v>Exact Duplicate</v>
      </c>
      <c r="D401" t="s">
        <v>1977</v>
      </c>
      <c r="E401" t="s">
        <v>1978</v>
      </c>
      <c r="F401" s="3">
        <v>45771</v>
      </c>
      <c r="G401" s="3">
        <v>45776</v>
      </c>
      <c r="H401" s="5" t="str">
        <f t="shared" si="108"/>
        <v>April</v>
      </c>
      <c r="I401" s="5">
        <f t="shared" si="109"/>
        <v>2025</v>
      </c>
      <c r="J401" t="str">
        <f>IF(F401="","Missing Date",
IF(ISNUMBER(F401),"Valid","Invalid Date"))</f>
        <v>Valid</v>
      </c>
      <c r="K401" t="str">
        <f t="shared" si="110"/>
        <v>Valid</v>
      </c>
      <c r="L401">
        <f>G401-F401</f>
        <v>5</v>
      </c>
      <c r="M401" t="s">
        <v>1979</v>
      </c>
      <c r="N401" t="s">
        <v>210</v>
      </c>
      <c r="O401" t="str">
        <f t="shared" si="111"/>
        <v>Diya Patel</v>
      </c>
      <c r="P401" t="s">
        <v>41</v>
      </c>
      <c r="Q401" t="str">
        <f t="shared" si="112"/>
        <v>Small Business</v>
      </c>
      <c r="R401" t="s">
        <v>62</v>
      </c>
      <c r="S401" t="str">
        <f t="shared" si="113"/>
        <v>South</v>
      </c>
      <c r="T401" t="s">
        <v>100</v>
      </c>
      <c r="U401" t="str">
        <f t="shared" si="114"/>
        <v>Andhra Pradesh</v>
      </c>
      <c r="V401" t="s">
        <v>101</v>
      </c>
      <c r="W401" t="str">
        <f t="shared" si="115"/>
        <v>Vijayawada</v>
      </c>
      <c r="X401" t="s">
        <v>30</v>
      </c>
      <c r="Y401" t="str">
        <f t="shared" si="116"/>
        <v>Office Supplies</v>
      </c>
      <c r="Z401" t="s">
        <v>31</v>
      </c>
      <c r="AA401" t="str">
        <f t="shared" si="117"/>
        <v>Paper</v>
      </c>
      <c r="AB401" t="s">
        <v>1980</v>
      </c>
      <c r="AC401" t="s">
        <v>48</v>
      </c>
      <c r="AD401" t="str">
        <f t="shared" si="118"/>
        <v>Same Day</v>
      </c>
      <c r="AE401">
        <v>1</v>
      </c>
      <c r="AF401">
        <v>4358.5</v>
      </c>
      <c r="AG401">
        <v>0.25</v>
      </c>
      <c r="AH401">
        <v>0.25</v>
      </c>
      <c r="AI401" t="str">
        <f t="shared" si="119"/>
        <v>Valid</v>
      </c>
      <c r="AJ401">
        <v>3268.88</v>
      </c>
      <c r="AK401">
        <f t="shared" si="120"/>
        <v>3268.875</v>
      </c>
      <c r="AL401">
        <v>1993.74</v>
      </c>
      <c r="AM401">
        <v>1275.1400000000001</v>
      </c>
      <c r="AN401">
        <f t="shared" si="121"/>
        <v>1275.135</v>
      </c>
      <c r="AO401">
        <f t="shared" si="122"/>
        <v>-1993.74</v>
      </c>
      <c r="AP401" t="s">
        <v>34</v>
      </c>
      <c r="AQ401" t="str">
        <f t="shared" si="123"/>
        <v>Paid</v>
      </c>
      <c r="AR401" t="s">
        <v>35</v>
      </c>
      <c r="AS401" t="str">
        <f t="shared" si="124"/>
        <v>Completed</v>
      </c>
      <c r="AT401" t="str">
        <f t="shared" si="125"/>
        <v>Clean</v>
      </c>
    </row>
    <row r="402" spans="1:46">
      <c r="A402" t="s">
        <v>1981</v>
      </c>
      <c r="B402">
        <f>COUNTIF($D$2:D402,D402)</f>
        <v>1</v>
      </c>
      <c r="C402" t="str">
        <f>IF(COUNTIF($A:$A,A402)=1,
"Unique",
IF(COUNTIFS($A:$A,A402,$N:$N,N402,$AF:$AF,AF402,$AJ:$AJ,AJ402)&gt;1,
"Exact Duplicate",
"Conflicting Duplicate"))</f>
        <v>Unique</v>
      </c>
      <c r="D402" t="s">
        <v>1982</v>
      </c>
      <c r="E402" t="s">
        <v>1983</v>
      </c>
      <c r="F402" s="3">
        <v>45814</v>
      </c>
      <c r="G402" s="3">
        <v>45967</v>
      </c>
      <c r="H402" s="5" t="str">
        <f t="shared" si="108"/>
        <v>June</v>
      </c>
      <c r="I402" s="5">
        <f t="shared" si="109"/>
        <v>2025</v>
      </c>
      <c r="J402" t="str">
        <f>IF(F402="","Missing Date",
IF(ISNUMBER(F402),"Valid","Invalid Date"))</f>
        <v>Valid</v>
      </c>
      <c r="K402" t="str">
        <f t="shared" si="110"/>
        <v>Valid</v>
      </c>
      <c r="L402">
        <f>G402-F402</f>
        <v>153</v>
      </c>
      <c r="M402" t="s">
        <v>1984</v>
      </c>
      <c r="N402" t="s">
        <v>168</v>
      </c>
      <c r="O402" t="str">
        <f t="shared" si="111"/>
        <v>Sneha Kapoor</v>
      </c>
      <c r="P402" t="s">
        <v>41</v>
      </c>
      <c r="Q402" t="str">
        <f t="shared" si="112"/>
        <v>Small Business</v>
      </c>
      <c r="R402" t="s">
        <v>27</v>
      </c>
      <c r="S402" t="str">
        <f t="shared" si="113"/>
        <v>North</v>
      </c>
      <c r="T402" t="s">
        <v>174</v>
      </c>
      <c r="U402" t="str">
        <f t="shared" si="114"/>
        <v>Uttar Pradesh</v>
      </c>
      <c r="V402" t="s">
        <v>175</v>
      </c>
      <c r="W402" t="str">
        <f t="shared" si="115"/>
        <v>Noida</v>
      </c>
      <c r="X402" t="s">
        <v>30</v>
      </c>
      <c r="Y402" t="str">
        <f t="shared" si="116"/>
        <v>Office Supplies</v>
      </c>
      <c r="Z402" t="s">
        <v>31</v>
      </c>
      <c r="AA402" t="str">
        <f t="shared" si="117"/>
        <v>Paper</v>
      </c>
      <c r="AB402" t="s">
        <v>1985</v>
      </c>
      <c r="AC402" t="s">
        <v>48</v>
      </c>
      <c r="AD402" t="str">
        <f t="shared" si="118"/>
        <v>Same Day</v>
      </c>
      <c r="AE402">
        <v>7</v>
      </c>
      <c r="AF402">
        <v>878.09</v>
      </c>
      <c r="AG402">
        <v>-0.1</v>
      </c>
      <c r="AH402">
        <v>-0.1</v>
      </c>
      <c r="AI402" t="str">
        <f t="shared" si="119"/>
        <v>Invalid - Negative Discount</v>
      </c>
      <c r="AJ402">
        <v>5839.3</v>
      </c>
      <c r="AK402">
        <f t="shared" si="120"/>
        <v>6761.2930000000006</v>
      </c>
      <c r="AL402">
        <v>4877.38</v>
      </c>
      <c r="AM402">
        <v>961.92</v>
      </c>
      <c r="AN402">
        <f t="shared" si="121"/>
        <v>1883.9130000000005</v>
      </c>
      <c r="AO402">
        <f t="shared" si="122"/>
        <v>-4877.38</v>
      </c>
      <c r="AP402" t="s">
        <v>34</v>
      </c>
      <c r="AQ402" t="str">
        <f t="shared" si="123"/>
        <v>Paid</v>
      </c>
      <c r="AR402" t="s">
        <v>35</v>
      </c>
      <c r="AS402" t="str">
        <f t="shared" si="124"/>
        <v>Completed</v>
      </c>
      <c r="AT402" t="str">
        <f t="shared" si="125"/>
        <v>Clean</v>
      </c>
    </row>
    <row r="403" spans="1:46">
      <c r="A403" t="s">
        <v>1986</v>
      </c>
      <c r="B403">
        <f>COUNTIF($D$2:D403,D403)</f>
        <v>1</v>
      </c>
      <c r="C403" t="str">
        <f>IF(COUNTIF($A:$A,A403)=1,
"Unique",
IF(COUNTIFS($A:$A,A403,$N:$N,N403,$AF:$AF,AF403,$AJ:$AJ,AJ403)&gt;1,
"Exact Duplicate",
"Conflicting Duplicate"))</f>
        <v>Unique</v>
      </c>
      <c r="D403" t="s">
        <v>1987</v>
      </c>
      <c r="E403" t="s">
        <v>1988</v>
      </c>
      <c r="F403" s="2">
        <v>45903</v>
      </c>
      <c r="G403" s="3">
        <v>45732</v>
      </c>
      <c r="H403" s="5" t="str">
        <f t="shared" si="108"/>
        <v>September</v>
      </c>
      <c r="I403" s="5">
        <f t="shared" si="109"/>
        <v>2025</v>
      </c>
      <c r="J403" t="str">
        <f>IF(F403="","Missing Date",
IF(ISNUMBER(F403),"Valid","Invalid Date"))</f>
        <v>Valid</v>
      </c>
      <c r="K403" t="str">
        <f t="shared" si="110"/>
        <v>Valid</v>
      </c>
      <c r="L403">
        <f>G403-F403</f>
        <v>-171</v>
      </c>
      <c r="M403" t="s">
        <v>1989</v>
      </c>
      <c r="N403" t="s">
        <v>61</v>
      </c>
      <c r="O403" t="str">
        <f t="shared" si="111"/>
        <v>Arjun Bose</v>
      </c>
      <c r="P403" t="s">
        <v>41</v>
      </c>
      <c r="Q403" t="str">
        <f t="shared" si="112"/>
        <v>Small Business</v>
      </c>
      <c r="R403" t="s">
        <v>42</v>
      </c>
      <c r="S403" t="str">
        <f t="shared" si="113"/>
        <v>East</v>
      </c>
      <c r="T403" t="s">
        <v>311</v>
      </c>
      <c r="U403" t="str">
        <f t="shared" si="114"/>
        <v>Jharkhand</v>
      </c>
      <c r="V403" t="s">
        <v>312</v>
      </c>
      <c r="W403" t="str">
        <f t="shared" si="115"/>
        <v>Ranchi</v>
      </c>
      <c r="X403" t="s">
        <v>45</v>
      </c>
      <c r="Y403" t="str">
        <f t="shared" si="116"/>
        <v>Furniture</v>
      </c>
      <c r="Z403" t="s">
        <v>46</v>
      </c>
      <c r="AA403" t="str">
        <f t="shared" si="117"/>
        <v>Tables</v>
      </c>
      <c r="AB403" t="s">
        <v>1990</v>
      </c>
      <c r="AC403" t="s">
        <v>48</v>
      </c>
      <c r="AD403" t="str">
        <f t="shared" si="118"/>
        <v>Same Day</v>
      </c>
      <c r="AE403">
        <v>3</v>
      </c>
      <c r="AF403">
        <v>2625.85</v>
      </c>
      <c r="AG403">
        <v>0</v>
      </c>
      <c r="AH403">
        <v>0</v>
      </c>
      <c r="AI403" t="str">
        <f t="shared" si="119"/>
        <v>Valid</v>
      </c>
      <c r="AJ403">
        <v>7877.55</v>
      </c>
      <c r="AK403">
        <f t="shared" si="120"/>
        <v>7877.5499999999993</v>
      </c>
      <c r="AL403">
        <v>5562.77</v>
      </c>
      <c r="AM403">
        <v>2314.7800000000002</v>
      </c>
      <c r="AN403">
        <f t="shared" si="121"/>
        <v>2314.7799999999988</v>
      </c>
      <c r="AO403">
        <f t="shared" si="122"/>
        <v>-5562.77</v>
      </c>
      <c r="AP403" t="s">
        <v>34</v>
      </c>
      <c r="AQ403" t="str">
        <f t="shared" si="123"/>
        <v>Paid</v>
      </c>
      <c r="AR403" t="s">
        <v>35</v>
      </c>
      <c r="AS403" t="str">
        <f t="shared" si="124"/>
        <v>Completed</v>
      </c>
      <c r="AT403" t="str">
        <f t="shared" si="125"/>
        <v>Clean</v>
      </c>
    </row>
    <row r="404" spans="1:46">
      <c r="A404" t="s">
        <v>1991</v>
      </c>
      <c r="B404">
        <f>COUNTIF($D$2:D404,D404)</f>
        <v>1</v>
      </c>
      <c r="C404" t="str">
        <f>IF(COUNTIF($A:$A,A404)=1,
"Unique",
IF(COUNTIFS($A:$A,A404,$N:$N,N404,$AF:$AF,AF404,$AJ:$AJ,AJ404)&gt;1,
"Exact Duplicate",
"Conflicting Duplicate"))</f>
        <v>Unique</v>
      </c>
      <c r="D404" t="s">
        <v>1992</v>
      </c>
      <c r="E404" t="s">
        <v>1993</v>
      </c>
      <c r="F404" s="2">
        <v>45373</v>
      </c>
      <c r="G404" s="3">
        <v>45373</v>
      </c>
      <c r="H404" s="5" t="str">
        <f t="shared" si="108"/>
        <v>March</v>
      </c>
      <c r="I404" s="5">
        <f t="shared" si="109"/>
        <v>2024</v>
      </c>
      <c r="J404" t="str">
        <f>IF(F404="","Missing Date",
IF(ISNUMBER(F404),"Valid","Invalid Date"))</f>
        <v>Valid</v>
      </c>
      <c r="K404" t="str">
        <f t="shared" si="110"/>
        <v>Valid</v>
      </c>
      <c r="L404">
        <f>G404-F404</f>
        <v>0</v>
      </c>
      <c r="M404" t="s">
        <v>1994</v>
      </c>
      <c r="N404" t="s">
        <v>142</v>
      </c>
      <c r="O404" t="str">
        <f t="shared" si="111"/>
        <v>Priya Menon</v>
      </c>
      <c r="P404" t="s">
        <v>41</v>
      </c>
      <c r="Q404" t="str">
        <f t="shared" si="112"/>
        <v>Small Business</v>
      </c>
      <c r="R404" t="s">
        <v>62</v>
      </c>
      <c r="S404" t="str">
        <f t="shared" si="113"/>
        <v>South</v>
      </c>
      <c r="T404" t="s">
        <v>229</v>
      </c>
      <c r="U404" t="str">
        <f t="shared" si="114"/>
        <v>Karnataka</v>
      </c>
      <c r="V404" t="s">
        <v>230</v>
      </c>
      <c r="W404" t="str">
        <f t="shared" si="115"/>
        <v>Bengaluru</v>
      </c>
      <c r="X404" t="s">
        <v>45</v>
      </c>
      <c r="Y404" t="str">
        <f t="shared" si="116"/>
        <v>Furniture</v>
      </c>
      <c r="Z404" t="s">
        <v>46</v>
      </c>
      <c r="AA404" t="str">
        <f t="shared" si="117"/>
        <v>Tables</v>
      </c>
      <c r="AB404" t="s">
        <v>1995</v>
      </c>
      <c r="AC404" t="s">
        <v>4104</v>
      </c>
      <c r="AD404" t="str">
        <f t="shared" si="118"/>
        <v>Unknown</v>
      </c>
      <c r="AE404">
        <v>3</v>
      </c>
      <c r="AF404">
        <v>1365.26</v>
      </c>
      <c r="AG404">
        <v>0</v>
      </c>
      <c r="AH404">
        <v>0</v>
      </c>
      <c r="AI404" t="str">
        <f t="shared" si="119"/>
        <v>Valid</v>
      </c>
      <c r="AJ404">
        <v>4095.78</v>
      </c>
      <c r="AK404">
        <f t="shared" si="120"/>
        <v>4095.7799999999997</v>
      </c>
      <c r="AL404">
        <v>2807.77</v>
      </c>
      <c r="AM404">
        <v>1288.01</v>
      </c>
      <c r="AN404">
        <f t="shared" si="121"/>
        <v>1288.0099999999998</v>
      </c>
      <c r="AO404">
        <f t="shared" si="122"/>
        <v>-2807.77</v>
      </c>
      <c r="AP404" t="s">
        <v>34</v>
      </c>
      <c r="AQ404" t="str">
        <f t="shared" si="123"/>
        <v>Paid</v>
      </c>
      <c r="AR404" t="s">
        <v>35</v>
      </c>
      <c r="AS404" t="str">
        <f t="shared" si="124"/>
        <v>Completed</v>
      </c>
      <c r="AT404" t="str">
        <f t="shared" si="125"/>
        <v>Clean</v>
      </c>
    </row>
    <row r="405" spans="1:46">
      <c r="A405" t="s">
        <v>1996</v>
      </c>
      <c r="B405">
        <f>COUNTIF($D$2:D405,D405)</f>
        <v>1</v>
      </c>
      <c r="C405" t="str">
        <f>IF(COUNTIF($A:$A,A405)=1,
"Unique",
IF(COUNTIFS($A:$A,A405,$N:$N,N405,$AF:$AF,AF405,$AJ:$AJ,AJ405)&gt;1,
"Exact Duplicate",
"Conflicting Duplicate"))</f>
        <v>Unique</v>
      </c>
      <c r="D405" t="s">
        <v>1997</v>
      </c>
      <c r="E405" t="s">
        <v>1998</v>
      </c>
      <c r="F405" s="3">
        <v>45565</v>
      </c>
      <c r="G405" s="3">
        <v>45392</v>
      </c>
      <c r="H405" s="5" t="str">
        <f t="shared" si="108"/>
        <v>September</v>
      </c>
      <c r="I405" s="5">
        <f t="shared" si="109"/>
        <v>2024</v>
      </c>
      <c r="J405" t="str">
        <f>IF(F405="","Missing Date",
IF(ISNUMBER(F405),"Valid","Invalid Date"))</f>
        <v>Valid</v>
      </c>
      <c r="K405" t="str">
        <f t="shared" si="110"/>
        <v>Valid</v>
      </c>
      <c r="L405">
        <f>G405-F405</f>
        <v>-173</v>
      </c>
      <c r="M405" t="s">
        <v>1999</v>
      </c>
      <c r="N405" t="s">
        <v>61</v>
      </c>
      <c r="O405" t="str">
        <f t="shared" si="111"/>
        <v>Arjun Bose</v>
      </c>
      <c r="P405" t="s">
        <v>41</v>
      </c>
      <c r="Q405" t="str">
        <f t="shared" si="112"/>
        <v>Small Business</v>
      </c>
      <c r="R405" t="s">
        <v>62</v>
      </c>
      <c r="S405" t="str">
        <f t="shared" si="113"/>
        <v>South</v>
      </c>
      <c r="T405" t="s">
        <v>242</v>
      </c>
      <c r="U405" t="str">
        <f t="shared" si="114"/>
        <v>Kerala</v>
      </c>
      <c r="V405" t="s">
        <v>243</v>
      </c>
      <c r="W405" t="str">
        <f t="shared" si="115"/>
        <v>Kochi</v>
      </c>
      <c r="X405" t="s">
        <v>30</v>
      </c>
      <c r="Y405" t="str">
        <f t="shared" si="116"/>
        <v>Office Supplies</v>
      </c>
      <c r="Z405" t="s">
        <v>2000</v>
      </c>
      <c r="AA405" t="str">
        <f t="shared" si="117"/>
        <v>Paper</v>
      </c>
      <c r="AB405" t="s">
        <v>2001</v>
      </c>
      <c r="AC405" t="s">
        <v>48</v>
      </c>
      <c r="AD405" t="str">
        <f t="shared" si="118"/>
        <v>Same Day</v>
      </c>
      <c r="AE405">
        <v>5</v>
      </c>
      <c r="AF405">
        <v>3512.25</v>
      </c>
      <c r="AG405">
        <v>0.05</v>
      </c>
      <c r="AH405">
        <v>0.05</v>
      </c>
      <c r="AI405" t="str">
        <f t="shared" si="119"/>
        <v>Valid</v>
      </c>
      <c r="AJ405">
        <v>16683.189999999999</v>
      </c>
      <c r="AK405">
        <f t="shared" si="120"/>
        <v>16683.1875</v>
      </c>
      <c r="AL405">
        <v>10301.16</v>
      </c>
      <c r="AM405">
        <v>6382.03</v>
      </c>
      <c r="AN405">
        <f t="shared" si="121"/>
        <v>6382.0275000000001</v>
      </c>
      <c r="AO405">
        <f t="shared" si="122"/>
        <v>-10301.16</v>
      </c>
      <c r="AP405" t="s">
        <v>34</v>
      </c>
      <c r="AQ405" t="str">
        <f t="shared" si="123"/>
        <v>Paid</v>
      </c>
      <c r="AR405" t="s">
        <v>125</v>
      </c>
      <c r="AS405" t="str">
        <f t="shared" si="124"/>
        <v>Returned</v>
      </c>
      <c r="AT405" t="str">
        <f t="shared" si="125"/>
        <v>Clean</v>
      </c>
    </row>
    <row r="406" spans="1:46">
      <c r="A406" t="s">
        <v>2002</v>
      </c>
      <c r="B406">
        <f>COUNTIF($D$2:D406,D406)</f>
        <v>3</v>
      </c>
      <c r="C406" t="str">
        <f>IF(COUNTIF($A:$A,A406)=1,
"Unique",
IF(COUNTIFS($A:$A,A406,$N:$N,N406,$AF:$AF,AF406,$AJ:$AJ,AJ406)&gt;1,
"Exact Duplicate",
"Conflicting Duplicate"))</f>
        <v>Unique</v>
      </c>
      <c r="D406" t="s">
        <v>2003</v>
      </c>
      <c r="E406" t="s">
        <v>2004</v>
      </c>
      <c r="F406" s="2">
        <v>45318</v>
      </c>
      <c r="G406" s="3">
        <v>45325</v>
      </c>
      <c r="H406" s="5" t="str">
        <f t="shared" si="108"/>
        <v>January</v>
      </c>
      <c r="I406" s="5">
        <f t="shared" si="109"/>
        <v>2024</v>
      </c>
      <c r="J406" t="str">
        <f>IF(F406="","Missing Date",
IF(ISNUMBER(F406),"Valid","Invalid Date"))</f>
        <v>Valid</v>
      </c>
      <c r="K406" t="str">
        <f t="shared" si="110"/>
        <v>Valid</v>
      </c>
      <c r="L406">
        <f>G406-F406</f>
        <v>7</v>
      </c>
      <c r="M406" t="s">
        <v>2005</v>
      </c>
      <c r="N406" t="s">
        <v>107</v>
      </c>
      <c r="O406" t="str">
        <f t="shared" si="111"/>
        <v>Aditi Sen</v>
      </c>
      <c r="P406" t="s">
        <v>108</v>
      </c>
      <c r="Q406" t="str">
        <f t="shared" si="112"/>
        <v>Corporate</v>
      </c>
      <c r="R406" t="s">
        <v>73</v>
      </c>
      <c r="S406" t="str">
        <f t="shared" si="113"/>
        <v>West</v>
      </c>
      <c r="T406" t="s">
        <v>28</v>
      </c>
      <c r="U406" t="str">
        <f t="shared" si="114"/>
        <v>Rajasthan</v>
      </c>
      <c r="V406" t="s">
        <v>135</v>
      </c>
      <c r="W406" t="str">
        <f t="shared" si="115"/>
        <v>Udaipur</v>
      </c>
      <c r="X406" t="s">
        <v>45</v>
      </c>
      <c r="Y406" t="str">
        <f t="shared" si="116"/>
        <v>Furniture</v>
      </c>
      <c r="Z406" t="s">
        <v>76</v>
      </c>
      <c r="AA406" t="str">
        <f t="shared" si="117"/>
        <v>Chairs</v>
      </c>
      <c r="AB406" t="s">
        <v>2006</v>
      </c>
      <c r="AC406" t="s">
        <v>48</v>
      </c>
      <c r="AD406" t="str">
        <f t="shared" si="118"/>
        <v>Same Day</v>
      </c>
      <c r="AE406">
        <v>3</v>
      </c>
      <c r="AF406">
        <v>359.61</v>
      </c>
      <c r="AG406">
        <v>0</v>
      </c>
      <c r="AH406">
        <v>0</v>
      </c>
      <c r="AI406" t="str">
        <f t="shared" si="119"/>
        <v>Valid</v>
      </c>
      <c r="AJ406">
        <v>1078.83</v>
      </c>
      <c r="AK406">
        <f t="shared" si="120"/>
        <v>1078.83</v>
      </c>
      <c r="AL406">
        <v>926.35</v>
      </c>
      <c r="AM406">
        <v>152.47999999999999</v>
      </c>
      <c r="AN406">
        <f t="shared" si="121"/>
        <v>152.4799999999999</v>
      </c>
      <c r="AO406">
        <f t="shared" si="122"/>
        <v>-926.35</v>
      </c>
      <c r="AP406" t="s">
        <v>34</v>
      </c>
      <c r="AQ406" t="str">
        <f t="shared" si="123"/>
        <v>Paid</v>
      </c>
      <c r="AR406" t="s">
        <v>35</v>
      </c>
      <c r="AS406" t="str">
        <f t="shared" si="124"/>
        <v>Completed</v>
      </c>
      <c r="AT406" t="str">
        <f t="shared" si="125"/>
        <v>Clean</v>
      </c>
    </row>
    <row r="407" spans="1:46">
      <c r="A407" t="s">
        <v>2007</v>
      </c>
      <c r="B407">
        <f>COUNTIF($D$2:D407,D407)</f>
        <v>1</v>
      </c>
      <c r="C407" t="str">
        <f>IF(COUNTIF($A:$A,A407)=1,
"Unique",
IF(COUNTIFS($A:$A,A407,$N:$N,N407,$AF:$AF,AF407,$AJ:$AJ,AJ407)&gt;1,
"Exact Duplicate",
"Conflicting Duplicate"))</f>
        <v>Unique</v>
      </c>
      <c r="D407" t="s">
        <v>2008</v>
      </c>
      <c r="E407" t="s">
        <v>2009</v>
      </c>
      <c r="F407" s="3">
        <v>45558</v>
      </c>
      <c r="G407" s="2">
        <v>45559</v>
      </c>
      <c r="H407" s="5" t="str">
        <f t="shared" si="108"/>
        <v>September</v>
      </c>
      <c r="I407" s="5">
        <f t="shared" si="109"/>
        <v>2024</v>
      </c>
      <c r="J407" t="str">
        <f>IF(F407="","Missing Date",
IF(ISNUMBER(F407),"Valid","Invalid Date"))</f>
        <v>Valid</v>
      </c>
      <c r="K407" t="str">
        <f t="shared" si="110"/>
        <v>Valid</v>
      </c>
      <c r="L407">
        <f>G407-F407</f>
        <v>1</v>
      </c>
      <c r="M407" t="s">
        <v>2010</v>
      </c>
      <c r="N407" t="s">
        <v>107</v>
      </c>
      <c r="O407" t="str">
        <f t="shared" si="111"/>
        <v>Aditi Sen</v>
      </c>
      <c r="P407" t="s">
        <v>115</v>
      </c>
      <c r="Q407" t="str">
        <f t="shared" si="112"/>
        <v>Home Office</v>
      </c>
      <c r="R407" t="s">
        <v>73</v>
      </c>
      <c r="S407" t="str">
        <f t="shared" si="113"/>
        <v>West</v>
      </c>
      <c r="T407" t="s">
        <v>235</v>
      </c>
      <c r="U407" t="str">
        <f t="shared" si="114"/>
        <v>Gujarat</v>
      </c>
      <c r="V407" t="s">
        <v>236</v>
      </c>
      <c r="W407" t="str">
        <f t="shared" si="115"/>
        <v>Ahmedabad</v>
      </c>
      <c r="X407" t="s">
        <v>45</v>
      </c>
      <c r="Y407" t="str">
        <f t="shared" si="116"/>
        <v>Furniture</v>
      </c>
      <c r="Z407" t="s">
        <v>204</v>
      </c>
      <c r="AA407" t="str">
        <f t="shared" si="117"/>
        <v>Bookcases</v>
      </c>
      <c r="AB407" t="s">
        <v>2011</v>
      </c>
      <c r="AC407" t="s">
        <v>4104</v>
      </c>
      <c r="AD407" t="str">
        <f t="shared" si="118"/>
        <v>Unknown</v>
      </c>
      <c r="AE407">
        <v>7</v>
      </c>
      <c r="AF407">
        <v>3878.01</v>
      </c>
      <c r="AG407">
        <v>0.1</v>
      </c>
      <c r="AH407">
        <v>0.1</v>
      </c>
      <c r="AI407" t="str">
        <f t="shared" si="119"/>
        <v>Valid</v>
      </c>
      <c r="AJ407">
        <v>24431.46</v>
      </c>
      <c r="AK407">
        <f t="shared" si="120"/>
        <v>24431.463</v>
      </c>
      <c r="AL407">
        <v>18202.36</v>
      </c>
      <c r="AM407">
        <v>6229.1</v>
      </c>
      <c r="AN407">
        <f t="shared" si="121"/>
        <v>6229.1029999999992</v>
      </c>
      <c r="AO407">
        <f t="shared" si="122"/>
        <v>-18202.36</v>
      </c>
      <c r="AP407" t="s">
        <v>34</v>
      </c>
      <c r="AQ407" t="str">
        <f t="shared" si="123"/>
        <v>Paid</v>
      </c>
      <c r="AR407" t="s">
        <v>35</v>
      </c>
      <c r="AS407" t="str">
        <f t="shared" si="124"/>
        <v>Completed</v>
      </c>
      <c r="AT407" t="str">
        <f t="shared" si="125"/>
        <v>Clean</v>
      </c>
    </row>
    <row r="408" spans="1:46">
      <c r="A408" t="s">
        <v>2012</v>
      </c>
      <c r="B408">
        <f>COUNTIF($D$2:D408,D408)</f>
        <v>1</v>
      </c>
      <c r="C408" t="str">
        <f>IF(COUNTIF($A:$A,A408)=1,
"Unique",
IF(COUNTIFS($A:$A,A408,$N:$N,N408,$AF:$AF,AF408,$AJ:$AJ,AJ408)&gt;1,
"Exact Duplicate",
"Conflicting Duplicate"))</f>
        <v>Unique</v>
      </c>
      <c r="D408" t="s">
        <v>2013</v>
      </c>
      <c r="E408" t="s">
        <v>2013</v>
      </c>
      <c r="F408" s="2">
        <v>45713</v>
      </c>
      <c r="G408" s="2">
        <v>45713</v>
      </c>
      <c r="H408" s="5" t="str">
        <f t="shared" si="108"/>
        <v>February</v>
      </c>
      <c r="I408" s="5">
        <f t="shared" si="109"/>
        <v>2025</v>
      </c>
      <c r="J408" t="str">
        <f>IF(F408="","Missing Date",
IF(ISNUMBER(F408),"Valid","Invalid Date"))</f>
        <v>Valid</v>
      </c>
      <c r="K408" t="str">
        <f t="shared" si="110"/>
        <v>Valid</v>
      </c>
      <c r="L408">
        <f>G408-F408</f>
        <v>0</v>
      </c>
      <c r="M408" t="s">
        <v>2014</v>
      </c>
      <c r="N408" t="s">
        <v>366</v>
      </c>
      <c r="O408" t="str">
        <f t="shared" si="111"/>
        <v>Kabir Singh</v>
      </c>
      <c r="P408" t="s">
        <v>41</v>
      </c>
      <c r="Q408" t="str">
        <f t="shared" si="112"/>
        <v>Small Business</v>
      </c>
      <c r="R408" t="s">
        <v>73</v>
      </c>
      <c r="S408" t="str">
        <f t="shared" si="113"/>
        <v>West</v>
      </c>
      <c r="T408" t="s">
        <v>249</v>
      </c>
      <c r="U408" t="str">
        <f t="shared" si="114"/>
        <v>Goa</v>
      </c>
      <c r="V408" t="s">
        <v>250</v>
      </c>
      <c r="W408" t="str">
        <f t="shared" si="115"/>
        <v>Panaji</v>
      </c>
      <c r="X408" t="s">
        <v>45</v>
      </c>
      <c r="Y408" t="str">
        <f t="shared" si="116"/>
        <v>Furniture</v>
      </c>
      <c r="Z408" t="s">
        <v>65</v>
      </c>
      <c r="AA408" t="str">
        <f t="shared" si="117"/>
        <v>Furnishings</v>
      </c>
      <c r="AB408" t="s">
        <v>2015</v>
      </c>
      <c r="AC408" t="s">
        <v>67</v>
      </c>
      <c r="AD408" t="str">
        <f t="shared" si="118"/>
        <v>Standard Class</v>
      </c>
      <c r="AE408">
        <v>2</v>
      </c>
      <c r="AF408">
        <v>3924.2</v>
      </c>
      <c r="AG408">
        <v>0.25</v>
      </c>
      <c r="AH408">
        <v>0.25</v>
      </c>
      <c r="AI408" t="str">
        <f t="shared" si="119"/>
        <v>Valid</v>
      </c>
      <c r="AJ408">
        <v>5886.3</v>
      </c>
      <c r="AK408">
        <f t="shared" si="120"/>
        <v>5886.2999999999993</v>
      </c>
      <c r="AL408">
        <v>3621.76</v>
      </c>
      <c r="AM408">
        <v>2264.54</v>
      </c>
      <c r="AN408">
        <f t="shared" si="121"/>
        <v>2264.5399999999991</v>
      </c>
      <c r="AO408">
        <f t="shared" si="122"/>
        <v>-3621.76</v>
      </c>
      <c r="AP408" t="s">
        <v>137</v>
      </c>
      <c r="AQ408" t="str">
        <f t="shared" si="123"/>
        <v>Pending</v>
      </c>
      <c r="AR408" t="s">
        <v>125</v>
      </c>
      <c r="AS408" t="str">
        <f t="shared" si="124"/>
        <v>Returned</v>
      </c>
      <c r="AT408" t="str">
        <f t="shared" si="125"/>
        <v>Clean</v>
      </c>
    </row>
    <row r="409" spans="1:46">
      <c r="A409" t="s">
        <v>2016</v>
      </c>
      <c r="B409">
        <f>COUNTIF($D$2:D409,D409)</f>
        <v>2</v>
      </c>
      <c r="C409" t="str">
        <f>IF(COUNTIF($A:$A,A409)=1,
"Unique",
IF(COUNTIFS($A:$A,A409,$N:$N,N409,$AF:$AF,AF409,$AJ:$AJ,AJ409)&gt;1,
"Exact Duplicate",
"Conflicting Duplicate"))</f>
        <v>Unique</v>
      </c>
      <c r="D409" t="s">
        <v>2017</v>
      </c>
      <c r="E409" t="s">
        <v>2018</v>
      </c>
      <c r="F409" s="2">
        <v>45631</v>
      </c>
      <c r="G409" s="2">
        <v>45425</v>
      </c>
      <c r="H409" s="5" t="str">
        <f t="shared" si="108"/>
        <v>December</v>
      </c>
      <c r="I409" s="5">
        <f t="shared" si="109"/>
        <v>2024</v>
      </c>
      <c r="J409" t="str">
        <f>IF(F409="","Missing Date",
IF(ISNUMBER(F409),"Valid","Invalid Date"))</f>
        <v>Valid</v>
      </c>
      <c r="K409" t="str">
        <f t="shared" si="110"/>
        <v>Valid</v>
      </c>
      <c r="L409">
        <f>G409-F409</f>
        <v>-206</v>
      </c>
      <c r="M409" t="s">
        <v>2019</v>
      </c>
      <c r="N409" t="s">
        <v>148</v>
      </c>
      <c r="O409" t="str">
        <f t="shared" si="111"/>
        <v>Rahul Verma</v>
      </c>
      <c r="P409" t="s">
        <v>108</v>
      </c>
      <c r="Q409" t="str">
        <f t="shared" si="112"/>
        <v>Corporate</v>
      </c>
      <c r="R409" t="s">
        <v>73</v>
      </c>
      <c r="S409" t="str">
        <f t="shared" si="113"/>
        <v>West</v>
      </c>
      <c r="T409" t="s">
        <v>249</v>
      </c>
      <c r="U409" t="str">
        <f t="shared" si="114"/>
        <v>Goa</v>
      </c>
      <c r="V409" t="s">
        <v>250</v>
      </c>
      <c r="W409" t="str">
        <f t="shared" si="115"/>
        <v>Panaji</v>
      </c>
      <c r="X409" t="s">
        <v>30</v>
      </c>
      <c r="Y409" t="str">
        <f t="shared" si="116"/>
        <v>Office Supplies</v>
      </c>
      <c r="Z409" t="s">
        <v>109</v>
      </c>
      <c r="AA409" t="str">
        <f t="shared" si="117"/>
        <v>Labels</v>
      </c>
      <c r="AB409" t="s">
        <v>2020</v>
      </c>
      <c r="AC409" t="s">
        <v>33</v>
      </c>
      <c r="AD409" t="str">
        <f t="shared" si="118"/>
        <v>Second Class</v>
      </c>
      <c r="AE409">
        <v>3</v>
      </c>
      <c r="AF409">
        <v>2644.55</v>
      </c>
      <c r="AG409">
        <v>0</v>
      </c>
      <c r="AH409">
        <v>0</v>
      </c>
      <c r="AI409" t="str">
        <f t="shared" si="119"/>
        <v>Valid</v>
      </c>
      <c r="AJ409">
        <v>7933.65</v>
      </c>
      <c r="AK409">
        <f t="shared" si="120"/>
        <v>7933.6500000000005</v>
      </c>
      <c r="AL409">
        <v>5698.42</v>
      </c>
      <c r="AM409">
        <v>2235.23</v>
      </c>
      <c r="AN409">
        <f t="shared" si="121"/>
        <v>2235.2300000000005</v>
      </c>
      <c r="AO409">
        <f t="shared" si="122"/>
        <v>-5698.42</v>
      </c>
      <c r="AP409" t="s">
        <v>34</v>
      </c>
      <c r="AQ409" t="str">
        <f t="shared" si="123"/>
        <v>Paid</v>
      </c>
      <c r="AR409" t="s">
        <v>35</v>
      </c>
      <c r="AS409" t="str">
        <f t="shared" si="124"/>
        <v>Completed</v>
      </c>
      <c r="AT409" t="str">
        <f t="shared" si="125"/>
        <v>Clean</v>
      </c>
    </row>
    <row r="410" spans="1:46">
      <c r="A410" t="s">
        <v>2021</v>
      </c>
      <c r="B410">
        <f>COUNTIF($D$2:D410,D410)</f>
        <v>2</v>
      </c>
      <c r="C410" t="str">
        <f>IF(COUNTIF($A:$A,A410)=1,
"Unique",
IF(COUNTIFS($A:$A,A410,$N:$N,N410,$AF:$AF,AF410,$AJ:$AJ,AJ410)&gt;1,
"Exact Duplicate",
"Conflicting Duplicate"))</f>
        <v>Unique</v>
      </c>
      <c r="D410" t="s">
        <v>820</v>
      </c>
      <c r="E410" t="s">
        <v>1080</v>
      </c>
      <c r="F410" s="3">
        <v>45870</v>
      </c>
      <c r="G410" s="3">
        <v>45872</v>
      </c>
      <c r="H410" s="5" t="str">
        <f t="shared" si="108"/>
        <v>August</v>
      </c>
      <c r="I410" s="5">
        <f t="shared" si="109"/>
        <v>2025</v>
      </c>
      <c r="J410" t="str">
        <f>IF(F410="","Missing Date",
IF(ISNUMBER(F410),"Valid","Invalid Date"))</f>
        <v>Valid</v>
      </c>
      <c r="K410" t="str">
        <f t="shared" si="110"/>
        <v>Valid</v>
      </c>
      <c r="L410">
        <f>G410-F410</f>
        <v>2</v>
      </c>
      <c r="M410" t="s">
        <v>2022</v>
      </c>
      <c r="N410" t="s">
        <v>168</v>
      </c>
      <c r="O410" t="str">
        <f t="shared" si="111"/>
        <v>Sneha Kapoor</v>
      </c>
      <c r="P410" t="s">
        <v>26</v>
      </c>
      <c r="Q410" t="str">
        <f t="shared" si="112"/>
        <v>Consumer</v>
      </c>
      <c r="R410" t="s">
        <v>73</v>
      </c>
      <c r="S410" t="str">
        <f t="shared" si="113"/>
        <v>West</v>
      </c>
      <c r="T410" t="s">
        <v>74</v>
      </c>
      <c r="U410" t="str">
        <f t="shared" si="114"/>
        <v>Maharashtra</v>
      </c>
      <c r="V410" t="s">
        <v>75</v>
      </c>
      <c r="W410" t="str">
        <f t="shared" si="115"/>
        <v>Mumbai</v>
      </c>
      <c r="X410" t="s">
        <v>45</v>
      </c>
      <c r="Y410" t="str">
        <f t="shared" si="116"/>
        <v>Furniture</v>
      </c>
      <c r="Z410" t="s">
        <v>76</v>
      </c>
      <c r="AA410" t="str">
        <f t="shared" si="117"/>
        <v>Chairs</v>
      </c>
      <c r="AB410" t="s">
        <v>2023</v>
      </c>
      <c r="AC410" t="s">
        <v>56</v>
      </c>
      <c r="AD410" t="str">
        <f t="shared" si="118"/>
        <v>First Class</v>
      </c>
      <c r="AE410">
        <v>4</v>
      </c>
      <c r="AF410">
        <v>1773.46</v>
      </c>
      <c r="AG410">
        <v>0</v>
      </c>
      <c r="AH410">
        <v>0</v>
      </c>
      <c r="AI410" t="str">
        <f t="shared" si="119"/>
        <v>Valid</v>
      </c>
      <c r="AJ410">
        <v>7093.84</v>
      </c>
      <c r="AK410">
        <f t="shared" si="120"/>
        <v>7093.84</v>
      </c>
      <c r="AL410">
        <v>4587.49</v>
      </c>
      <c r="AM410">
        <v>2506.35</v>
      </c>
      <c r="AN410">
        <f t="shared" si="121"/>
        <v>2506.3500000000004</v>
      </c>
      <c r="AO410">
        <f t="shared" si="122"/>
        <v>-4587.49</v>
      </c>
      <c r="AP410" t="s">
        <v>200</v>
      </c>
      <c r="AQ410" t="str">
        <f t="shared" si="123"/>
        <v>Failed</v>
      </c>
      <c r="AR410" t="s">
        <v>125</v>
      </c>
      <c r="AS410" t="str">
        <f t="shared" si="124"/>
        <v>Returned</v>
      </c>
      <c r="AT410" t="str">
        <f t="shared" si="125"/>
        <v>Clean</v>
      </c>
    </row>
    <row r="411" spans="1:46">
      <c r="A411" t="s">
        <v>2024</v>
      </c>
      <c r="B411">
        <f>COUNTIF($D$2:D411,D411)</f>
        <v>1</v>
      </c>
      <c r="C411" t="str">
        <f>IF(COUNTIF($A:$A,A411)=1,
"Unique",
IF(COUNTIFS($A:$A,A411,$N:$N,N411,$AF:$AF,AF411,$AJ:$AJ,AJ411)&gt;1,
"Exact Duplicate",
"Conflicting Duplicate"))</f>
        <v>Unique</v>
      </c>
      <c r="D411" t="s">
        <v>830</v>
      </c>
      <c r="E411" t="s">
        <v>771</v>
      </c>
      <c r="F411" s="3">
        <v>45701</v>
      </c>
      <c r="G411" s="3">
        <v>45703</v>
      </c>
      <c r="H411" s="5" t="str">
        <f t="shared" si="108"/>
        <v>February</v>
      </c>
      <c r="I411" s="5">
        <f t="shared" si="109"/>
        <v>2025</v>
      </c>
      <c r="J411" t="str">
        <f>IF(F411="","Missing Date",
IF(ISNUMBER(F411),"Valid","Invalid Date"))</f>
        <v>Valid</v>
      </c>
      <c r="K411" t="str">
        <f t="shared" si="110"/>
        <v>Valid</v>
      </c>
      <c r="L411">
        <f>G411-F411</f>
        <v>2</v>
      </c>
      <c r="M411" t="s">
        <v>2025</v>
      </c>
      <c r="N411" t="s">
        <v>25</v>
      </c>
      <c r="O411" t="str">
        <f t="shared" si="111"/>
        <v>Karan Malhotra</v>
      </c>
      <c r="P411" t="s">
        <v>26</v>
      </c>
      <c r="Q411" t="str">
        <f t="shared" si="112"/>
        <v>Consumer</v>
      </c>
      <c r="R411" t="s">
        <v>42</v>
      </c>
      <c r="S411" t="str">
        <f t="shared" si="113"/>
        <v>East</v>
      </c>
      <c r="T411" t="s">
        <v>216</v>
      </c>
      <c r="U411" t="str">
        <f t="shared" si="114"/>
        <v>Assam</v>
      </c>
      <c r="V411" t="s">
        <v>217</v>
      </c>
      <c r="W411" t="str">
        <f t="shared" si="115"/>
        <v>Guwahati</v>
      </c>
      <c r="X411" t="s">
        <v>86</v>
      </c>
      <c r="Y411" t="str">
        <f t="shared" si="116"/>
        <v>Technology</v>
      </c>
      <c r="Z411" t="s">
        <v>87</v>
      </c>
      <c r="AA411" t="str">
        <f t="shared" si="117"/>
        <v>Accessories</v>
      </c>
      <c r="AB411" t="s">
        <v>2026</v>
      </c>
      <c r="AC411" t="s">
        <v>48</v>
      </c>
      <c r="AD411" t="str">
        <f t="shared" si="118"/>
        <v>Same Day</v>
      </c>
      <c r="AE411">
        <v>1</v>
      </c>
      <c r="AF411">
        <v>3025.46</v>
      </c>
      <c r="AG411">
        <v>0.25</v>
      </c>
      <c r="AH411">
        <v>0.25</v>
      </c>
      <c r="AI411" t="str">
        <f t="shared" si="119"/>
        <v>Valid</v>
      </c>
      <c r="AJ411">
        <v>2269.1</v>
      </c>
      <c r="AK411">
        <f t="shared" si="120"/>
        <v>2269.0950000000003</v>
      </c>
      <c r="AL411">
        <v>1593.59</v>
      </c>
      <c r="AM411">
        <v>675.51</v>
      </c>
      <c r="AN411">
        <f t="shared" si="121"/>
        <v>675.50500000000034</v>
      </c>
      <c r="AO411">
        <f t="shared" si="122"/>
        <v>-1593.59</v>
      </c>
      <c r="AP411" t="s">
        <v>124</v>
      </c>
      <c r="AQ411" t="str">
        <f t="shared" si="123"/>
        <v>Refunded</v>
      </c>
      <c r="AR411" t="s">
        <v>125</v>
      </c>
      <c r="AS411" t="str">
        <f t="shared" si="124"/>
        <v>Returned</v>
      </c>
      <c r="AT411" t="str">
        <f t="shared" si="125"/>
        <v>Clean</v>
      </c>
    </row>
    <row r="412" spans="1:46">
      <c r="A412" t="s">
        <v>2027</v>
      </c>
      <c r="B412">
        <f>COUNTIF($D$2:D412,D412)</f>
        <v>2</v>
      </c>
      <c r="C412" t="str">
        <f>IF(COUNTIF($A:$A,A412)=1,
"Unique",
IF(COUNTIFS($A:$A,A412,$N:$N,N412,$AF:$AF,AF412,$AJ:$AJ,AJ412)&gt;1,
"Exact Duplicate",
"Conflicting Duplicate"))</f>
        <v>Unique</v>
      </c>
      <c r="D412" t="s">
        <v>2028</v>
      </c>
      <c r="E412" t="s">
        <v>2029</v>
      </c>
      <c r="F412" s="3">
        <v>45630</v>
      </c>
      <c r="G412" s="2">
        <v>45402</v>
      </c>
      <c r="H412" s="5" t="str">
        <f t="shared" si="108"/>
        <v>December</v>
      </c>
      <c r="I412" s="5">
        <f t="shared" si="109"/>
        <v>2024</v>
      </c>
      <c r="J412" t="str">
        <f>IF(F412="","Missing Date",
IF(ISNUMBER(F412),"Valid","Invalid Date"))</f>
        <v>Valid</v>
      </c>
      <c r="K412" t="str">
        <f t="shared" si="110"/>
        <v>Valid</v>
      </c>
      <c r="L412">
        <f>G412-F412</f>
        <v>-228</v>
      </c>
      <c r="M412" t="s">
        <v>2030</v>
      </c>
      <c r="N412" t="s">
        <v>210</v>
      </c>
      <c r="O412" t="str">
        <f t="shared" si="111"/>
        <v>Diya Patel</v>
      </c>
      <c r="P412" t="s">
        <v>26</v>
      </c>
      <c r="Q412" t="str">
        <f t="shared" si="112"/>
        <v>Consumer</v>
      </c>
      <c r="R412" t="s">
        <v>73</v>
      </c>
      <c r="S412" t="str">
        <f t="shared" si="113"/>
        <v>West</v>
      </c>
      <c r="T412" t="s">
        <v>249</v>
      </c>
      <c r="U412" t="str">
        <f t="shared" si="114"/>
        <v>Goa</v>
      </c>
      <c r="V412" t="s">
        <v>250</v>
      </c>
      <c r="W412" t="str">
        <f t="shared" si="115"/>
        <v>Panaji</v>
      </c>
      <c r="X412" t="s">
        <v>45</v>
      </c>
      <c r="Y412" t="str">
        <f t="shared" si="116"/>
        <v>Furniture</v>
      </c>
      <c r="Z412" t="s">
        <v>46</v>
      </c>
      <c r="AA412" t="str">
        <f t="shared" si="117"/>
        <v>Tables</v>
      </c>
      <c r="AB412" t="s">
        <v>2031</v>
      </c>
      <c r="AC412" t="s">
        <v>56</v>
      </c>
      <c r="AD412" t="str">
        <f t="shared" si="118"/>
        <v>First Class</v>
      </c>
      <c r="AE412">
        <v>9</v>
      </c>
      <c r="AF412">
        <v>1302.6099999999999</v>
      </c>
      <c r="AG412">
        <v>0.2</v>
      </c>
      <c r="AH412">
        <v>0.2</v>
      </c>
      <c r="AI412" t="str">
        <f t="shared" si="119"/>
        <v>Valid</v>
      </c>
      <c r="AJ412">
        <v>9378.7900000000009</v>
      </c>
      <c r="AK412">
        <f t="shared" si="120"/>
        <v>9378.7919999999995</v>
      </c>
      <c r="AL412">
        <v>6774.48</v>
      </c>
      <c r="AM412">
        <v>2604.31</v>
      </c>
      <c r="AN412">
        <f t="shared" si="121"/>
        <v>2604.3119999999999</v>
      </c>
      <c r="AO412">
        <f t="shared" si="122"/>
        <v>-6774.48</v>
      </c>
      <c r="AP412" t="s">
        <v>34</v>
      </c>
      <c r="AQ412" t="str">
        <f t="shared" si="123"/>
        <v>Paid</v>
      </c>
      <c r="AR412" t="s">
        <v>35</v>
      </c>
      <c r="AS412" t="str">
        <f t="shared" si="124"/>
        <v>Completed</v>
      </c>
      <c r="AT412" t="str">
        <f t="shared" si="125"/>
        <v>Clean</v>
      </c>
    </row>
    <row r="413" spans="1:46">
      <c r="A413" t="s">
        <v>2032</v>
      </c>
      <c r="B413">
        <f>COUNTIF($D$2:D413,D413)</f>
        <v>2</v>
      </c>
      <c r="C413" t="str">
        <f>IF(COUNTIF($A:$A,A413)=1,
"Unique",
IF(COUNTIFS($A:$A,A413,$N:$N,N413,$AF:$AF,AF413,$AJ:$AJ,AJ413)&gt;1,
"Exact Duplicate",
"Conflicting Duplicate"))</f>
        <v>Unique</v>
      </c>
      <c r="D413" t="s">
        <v>2033</v>
      </c>
      <c r="E413" t="s">
        <v>2034</v>
      </c>
      <c r="F413" s="3">
        <v>45892</v>
      </c>
      <c r="G413" s="3">
        <v>45897</v>
      </c>
      <c r="H413" s="5" t="str">
        <f t="shared" si="108"/>
        <v>August</v>
      </c>
      <c r="I413" s="5">
        <f t="shared" si="109"/>
        <v>2025</v>
      </c>
      <c r="J413" t="str">
        <f>IF(F413="","Missing Date",
IF(ISNUMBER(F413),"Valid","Invalid Date"))</f>
        <v>Valid</v>
      </c>
      <c r="K413" t="str">
        <f t="shared" si="110"/>
        <v>Valid</v>
      </c>
      <c r="L413">
        <f>G413-F413</f>
        <v>5</v>
      </c>
      <c r="M413" t="s">
        <v>2035</v>
      </c>
      <c r="N413" t="s">
        <v>61</v>
      </c>
      <c r="O413" t="str">
        <f t="shared" si="111"/>
        <v>Arjun Bose</v>
      </c>
      <c r="P413" t="s">
        <v>115</v>
      </c>
      <c r="Q413" t="str">
        <f t="shared" si="112"/>
        <v>Home Office</v>
      </c>
      <c r="R413" t="s">
        <v>73</v>
      </c>
      <c r="S413" t="str">
        <f t="shared" si="113"/>
        <v>West</v>
      </c>
      <c r="T413" t="s">
        <v>28</v>
      </c>
      <c r="U413" t="str">
        <f t="shared" si="114"/>
        <v>Rajasthan</v>
      </c>
      <c r="V413" t="s">
        <v>135</v>
      </c>
      <c r="W413" t="str">
        <f t="shared" si="115"/>
        <v>Udaipur</v>
      </c>
      <c r="X413" t="s">
        <v>45</v>
      </c>
      <c r="Y413" t="str">
        <f t="shared" si="116"/>
        <v>Furniture</v>
      </c>
      <c r="Z413" t="s">
        <v>46</v>
      </c>
      <c r="AA413" t="str">
        <f t="shared" si="117"/>
        <v>Tables</v>
      </c>
      <c r="AB413" t="s">
        <v>2036</v>
      </c>
      <c r="AC413" t="s">
        <v>56</v>
      </c>
      <c r="AD413" t="str">
        <f t="shared" si="118"/>
        <v>First Class</v>
      </c>
      <c r="AE413">
        <v>1</v>
      </c>
      <c r="AF413">
        <v>4167.8100000000004</v>
      </c>
      <c r="AG413">
        <v>0.2</v>
      </c>
      <c r="AH413">
        <v>0.2</v>
      </c>
      <c r="AI413" t="str">
        <f t="shared" si="119"/>
        <v>Valid</v>
      </c>
      <c r="AJ413">
        <v>3334.25</v>
      </c>
      <c r="AK413">
        <f t="shared" si="120"/>
        <v>3334.2480000000005</v>
      </c>
      <c r="AL413">
        <v>2768.77</v>
      </c>
      <c r="AM413">
        <v>565.48</v>
      </c>
      <c r="AN413">
        <f t="shared" si="121"/>
        <v>565.47800000000052</v>
      </c>
      <c r="AO413">
        <f t="shared" si="122"/>
        <v>-2768.77</v>
      </c>
      <c r="AP413" t="s">
        <v>200</v>
      </c>
      <c r="AQ413" t="str">
        <f t="shared" si="123"/>
        <v>Failed</v>
      </c>
      <c r="AR413" t="s">
        <v>125</v>
      </c>
      <c r="AS413" t="str">
        <f t="shared" si="124"/>
        <v>Returned</v>
      </c>
      <c r="AT413" t="str">
        <f t="shared" si="125"/>
        <v>Clean</v>
      </c>
    </row>
    <row r="414" spans="1:46">
      <c r="A414" t="s">
        <v>2037</v>
      </c>
      <c r="B414">
        <f>COUNTIF($D$2:D414,D414)</f>
        <v>4</v>
      </c>
      <c r="C414" t="str">
        <f>IF(COUNTIF($A:$A,A414)=1,
"Unique",
IF(COUNTIFS($A:$A,A414,$N:$N,N414,$AF:$AF,AF414,$AJ:$AJ,AJ414)&gt;1,
"Exact Duplicate",
"Conflicting Duplicate"))</f>
        <v>Unique</v>
      </c>
      <c r="D414" t="s">
        <v>2038</v>
      </c>
      <c r="E414" t="s">
        <v>834</v>
      </c>
      <c r="F414" s="3">
        <v>45313</v>
      </c>
      <c r="G414" s="3">
        <v>45321</v>
      </c>
      <c r="H414" s="5" t="str">
        <f t="shared" si="108"/>
        <v>January</v>
      </c>
      <c r="I414" s="5">
        <f t="shared" si="109"/>
        <v>2024</v>
      </c>
      <c r="J414" t="str">
        <f>IF(F414="","Missing Date",
IF(ISNUMBER(F414),"Valid","Invalid Date"))</f>
        <v>Valid</v>
      </c>
      <c r="K414" t="str">
        <f t="shared" si="110"/>
        <v>Valid</v>
      </c>
      <c r="L414">
        <f>G414-F414</f>
        <v>8</v>
      </c>
      <c r="M414" t="s">
        <v>2039</v>
      </c>
      <c r="N414" t="s">
        <v>53</v>
      </c>
      <c r="O414" t="str">
        <f t="shared" si="111"/>
        <v>Isha Nair</v>
      </c>
      <c r="P414" t="s">
        <v>108</v>
      </c>
      <c r="Q414" t="str">
        <f t="shared" si="112"/>
        <v>Corporate</v>
      </c>
      <c r="R414" t="s">
        <v>62</v>
      </c>
      <c r="S414" t="str">
        <f t="shared" si="113"/>
        <v>South</v>
      </c>
      <c r="T414" t="s">
        <v>229</v>
      </c>
      <c r="U414" t="str">
        <f t="shared" si="114"/>
        <v>Karnataka</v>
      </c>
      <c r="V414" t="s">
        <v>230</v>
      </c>
      <c r="W414" t="str">
        <f t="shared" si="115"/>
        <v>Bengaluru</v>
      </c>
      <c r="X414" t="s">
        <v>45</v>
      </c>
      <c r="Y414" t="str">
        <f t="shared" si="116"/>
        <v>Furniture</v>
      </c>
      <c r="Z414" t="s">
        <v>76</v>
      </c>
      <c r="AA414" t="str">
        <f t="shared" si="117"/>
        <v>Chairs</v>
      </c>
      <c r="AB414" t="s">
        <v>2040</v>
      </c>
      <c r="AC414" t="s">
        <v>48</v>
      </c>
      <c r="AD414" t="str">
        <f t="shared" si="118"/>
        <v>Same Day</v>
      </c>
      <c r="AE414">
        <v>1</v>
      </c>
      <c r="AF414">
        <v>2111.39</v>
      </c>
      <c r="AG414">
        <v>0.25</v>
      </c>
      <c r="AH414">
        <v>0.25</v>
      </c>
      <c r="AI414" t="str">
        <f t="shared" si="119"/>
        <v>Valid</v>
      </c>
      <c r="AJ414">
        <v>1583.54</v>
      </c>
      <c r="AK414">
        <f t="shared" si="120"/>
        <v>1583.5425</v>
      </c>
      <c r="AL414">
        <v>1014.19</v>
      </c>
      <c r="AM414">
        <v>569.35</v>
      </c>
      <c r="AN414">
        <f t="shared" si="121"/>
        <v>569.35249999999996</v>
      </c>
      <c r="AO414">
        <f t="shared" si="122"/>
        <v>-1014.19</v>
      </c>
      <c r="AP414" t="s">
        <v>34</v>
      </c>
      <c r="AQ414" t="str">
        <f t="shared" si="123"/>
        <v>Paid</v>
      </c>
      <c r="AR414" t="s">
        <v>35</v>
      </c>
      <c r="AS414" t="str">
        <f t="shared" si="124"/>
        <v>Completed</v>
      </c>
      <c r="AT414" t="str">
        <f t="shared" si="125"/>
        <v>Clean</v>
      </c>
    </row>
    <row r="415" spans="1:46">
      <c r="A415" t="s">
        <v>2041</v>
      </c>
      <c r="B415">
        <f>COUNTIF($D$2:D415,D415)</f>
        <v>2</v>
      </c>
      <c r="C415" t="str">
        <f>IF(COUNTIF($A:$A,A415)=1,
"Unique",
IF(COUNTIFS($A:$A,A415,$N:$N,N415,$AF:$AF,AF415,$AJ:$AJ,AJ415)&gt;1,
"Exact Duplicate",
"Conflicting Duplicate"))</f>
        <v>Unique</v>
      </c>
      <c r="D415" t="s">
        <v>240</v>
      </c>
      <c r="E415" t="s">
        <v>2042</v>
      </c>
      <c r="F415" s="3">
        <v>45882</v>
      </c>
      <c r="G415" s="3">
        <v>45886</v>
      </c>
      <c r="H415" s="5" t="str">
        <f t="shared" si="108"/>
        <v>August</v>
      </c>
      <c r="I415" s="5">
        <f t="shared" si="109"/>
        <v>2025</v>
      </c>
      <c r="J415" t="str">
        <f>IF(F415="","Missing Date",
IF(ISNUMBER(F415),"Valid","Invalid Date"))</f>
        <v>Valid</v>
      </c>
      <c r="K415" t="str">
        <f t="shared" si="110"/>
        <v>Valid</v>
      </c>
      <c r="L415">
        <f>G415-F415</f>
        <v>4</v>
      </c>
      <c r="M415" t="s">
        <v>2043</v>
      </c>
      <c r="N415" t="s">
        <v>93</v>
      </c>
      <c r="O415" t="str">
        <f t="shared" si="111"/>
        <v>Neha Gupta</v>
      </c>
      <c r="P415" t="s">
        <v>115</v>
      </c>
      <c r="Q415" t="str">
        <f t="shared" si="112"/>
        <v>Home Office</v>
      </c>
      <c r="R415" t="s">
        <v>73</v>
      </c>
      <c r="S415" t="str">
        <f t="shared" si="113"/>
        <v>West</v>
      </c>
      <c r="T415" t="s">
        <v>84</v>
      </c>
      <c r="U415" t="str">
        <f t="shared" si="114"/>
        <v>Madhya Pradesh</v>
      </c>
      <c r="V415" t="s">
        <v>85</v>
      </c>
      <c r="W415" t="str">
        <f t="shared" si="115"/>
        <v>Indore</v>
      </c>
      <c r="X415" t="s">
        <v>86</v>
      </c>
      <c r="Y415" t="str">
        <f t="shared" si="116"/>
        <v>Technology</v>
      </c>
      <c r="Z415" t="s">
        <v>87</v>
      </c>
      <c r="AA415" t="str">
        <f t="shared" si="117"/>
        <v>Accessories</v>
      </c>
      <c r="AB415" t="s">
        <v>2044</v>
      </c>
      <c r="AC415" t="s">
        <v>33</v>
      </c>
      <c r="AD415" t="str">
        <f t="shared" si="118"/>
        <v>Second Class</v>
      </c>
      <c r="AE415">
        <v>8</v>
      </c>
      <c r="AF415">
        <v>1918.23</v>
      </c>
      <c r="AG415">
        <v>0</v>
      </c>
      <c r="AH415">
        <v>0</v>
      </c>
      <c r="AI415" t="str">
        <f t="shared" si="119"/>
        <v>Valid</v>
      </c>
      <c r="AJ415">
        <v>15345.84</v>
      </c>
      <c r="AK415">
        <f t="shared" si="120"/>
        <v>15345.84</v>
      </c>
      <c r="AL415">
        <v>10735.33</v>
      </c>
      <c r="AM415">
        <v>4610.51</v>
      </c>
      <c r="AN415">
        <f t="shared" si="121"/>
        <v>4610.51</v>
      </c>
      <c r="AO415">
        <f t="shared" si="122"/>
        <v>-10735.33</v>
      </c>
      <c r="AP415" t="s">
        <v>137</v>
      </c>
      <c r="AQ415" t="str">
        <f t="shared" si="123"/>
        <v>Pending</v>
      </c>
      <c r="AR415" t="s">
        <v>78</v>
      </c>
      <c r="AS415" t="str">
        <f t="shared" si="124"/>
        <v>Cancelled</v>
      </c>
      <c r="AT415" t="str">
        <f t="shared" si="125"/>
        <v>Clean</v>
      </c>
    </row>
    <row r="416" spans="1:46">
      <c r="A416" t="s">
        <v>2045</v>
      </c>
      <c r="B416">
        <f>COUNTIF($D$2:D416,D416)</f>
        <v>1</v>
      </c>
      <c r="C416" t="str">
        <f>IF(COUNTIF($A:$A,A416)=1,
"Unique",
IF(COUNTIFS($A:$A,A416,$N:$N,N416,$AF:$AF,AF416,$AJ:$AJ,AJ416)&gt;1,
"Exact Duplicate",
"Conflicting Duplicate"))</f>
        <v>Unique</v>
      </c>
      <c r="D416" t="s">
        <v>2046</v>
      </c>
      <c r="E416" t="s">
        <v>2047</v>
      </c>
      <c r="F416" s="3">
        <v>45533</v>
      </c>
      <c r="G416" s="3">
        <v>45534</v>
      </c>
      <c r="H416" s="5" t="str">
        <f t="shared" si="108"/>
        <v>August</v>
      </c>
      <c r="I416" s="5">
        <f t="shared" si="109"/>
        <v>2024</v>
      </c>
      <c r="J416" t="str">
        <f>IF(F416="","Missing Date",
IF(ISNUMBER(F416),"Valid","Invalid Date"))</f>
        <v>Valid</v>
      </c>
      <c r="K416" t="str">
        <f t="shared" si="110"/>
        <v>Valid</v>
      </c>
      <c r="L416">
        <f>G416-F416</f>
        <v>1</v>
      </c>
      <c r="M416" t="s">
        <v>2048</v>
      </c>
      <c r="N416" t="s">
        <v>61</v>
      </c>
      <c r="O416" t="str">
        <f t="shared" si="111"/>
        <v>Arjun Bose</v>
      </c>
      <c r="P416" t="s">
        <v>115</v>
      </c>
      <c r="Q416" t="str">
        <f t="shared" si="112"/>
        <v>Home Office</v>
      </c>
      <c r="R416" t="s">
        <v>42</v>
      </c>
      <c r="S416" t="str">
        <f t="shared" si="113"/>
        <v>East</v>
      </c>
      <c r="T416" t="s">
        <v>216</v>
      </c>
      <c r="U416" t="str">
        <f t="shared" si="114"/>
        <v>Assam</v>
      </c>
      <c r="V416" t="s">
        <v>217</v>
      </c>
      <c r="W416" t="str">
        <f t="shared" si="115"/>
        <v>Guwahati</v>
      </c>
      <c r="X416" t="s">
        <v>30</v>
      </c>
      <c r="Y416" t="str">
        <f t="shared" si="116"/>
        <v>Office Supplies</v>
      </c>
      <c r="Z416" t="s">
        <v>156</v>
      </c>
      <c r="AA416" t="str">
        <f t="shared" si="117"/>
        <v>Storage</v>
      </c>
      <c r="AB416" t="s">
        <v>2049</v>
      </c>
      <c r="AC416" t="s">
        <v>56</v>
      </c>
      <c r="AD416" t="str">
        <f t="shared" si="118"/>
        <v>First Class</v>
      </c>
      <c r="AE416">
        <v>4</v>
      </c>
      <c r="AF416">
        <v>2484.08</v>
      </c>
      <c r="AG416">
        <v>0.05</v>
      </c>
      <c r="AH416">
        <v>0.05</v>
      </c>
      <c r="AI416" t="str">
        <f t="shared" si="119"/>
        <v>Valid</v>
      </c>
      <c r="AJ416">
        <v>9439.5</v>
      </c>
      <c r="AK416">
        <f t="shared" si="120"/>
        <v>9439.503999999999</v>
      </c>
      <c r="AL416">
        <v>5519.39</v>
      </c>
      <c r="AM416">
        <v>3920.11</v>
      </c>
      <c r="AN416">
        <f t="shared" si="121"/>
        <v>3920.1139999999987</v>
      </c>
      <c r="AO416">
        <f t="shared" si="122"/>
        <v>-5519.39</v>
      </c>
      <c r="AP416" t="s">
        <v>34</v>
      </c>
      <c r="AQ416" t="str">
        <f t="shared" si="123"/>
        <v>Paid</v>
      </c>
      <c r="AR416" t="s">
        <v>35</v>
      </c>
      <c r="AS416" t="str">
        <f t="shared" si="124"/>
        <v>Completed</v>
      </c>
      <c r="AT416" t="str">
        <f t="shared" si="125"/>
        <v>Clean</v>
      </c>
    </row>
    <row r="417" spans="1:46">
      <c r="A417" t="s">
        <v>2050</v>
      </c>
      <c r="B417">
        <f>COUNTIF($D$2:D417,D417)</f>
        <v>1</v>
      </c>
      <c r="C417" t="str">
        <f>IF(COUNTIF($A:$A,A417)=1,
"Unique",
IF(COUNTIFS($A:$A,A417,$N:$N,N417,$AF:$AF,AF417,$AJ:$AJ,AJ417)&gt;1,
"Exact Duplicate",
"Conflicting Duplicate"))</f>
        <v>Unique</v>
      </c>
      <c r="D417" t="s">
        <v>2051</v>
      </c>
      <c r="E417" t="s">
        <v>2003</v>
      </c>
      <c r="F417" s="3">
        <v>45316</v>
      </c>
      <c r="G417" s="2">
        <v>45318</v>
      </c>
      <c r="H417" s="5" t="str">
        <f t="shared" si="108"/>
        <v>January</v>
      </c>
      <c r="I417" s="5">
        <f t="shared" si="109"/>
        <v>2024</v>
      </c>
      <c r="J417" t="str">
        <f>IF(F417="","Missing Date",
IF(ISNUMBER(F417),"Valid","Invalid Date"))</f>
        <v>Valid</v>
      </c>
      <c r="K417" t="str">
        <f t="shared" si="110"/>
        <v>Valid</v>
      </c>
      <c r="L417">
        <f>G417-F417</f>
        <v>2</v>
      </c>
      <c r="M417" t="s">
        <v>2052</v>
      </c>
      <c r="N417" t="s">
        <v>162</v>
      </c>
      <c r="O417" t="str">
        <f t="shared" si="111"/>
        <v>Aarav Sharma</v>
      </c>
      <c r="P417" t="s">
        <v>108</v>
      </c>
      <c r="Q417" t="str">
        <f t="shared" si="112"/>
        <v>Corporate</v>
      </c>
      <c r="R417" t="s">
        <v>62</v>
      </c>
      <c r="S417" t="str">
        <f t="shared" si="113"/>
        <v>South</v>
      </c>
      <c r="T417" t="s">
        <v>229</v>
      </c>
      <c r="U417" t="str">
        <f t="shared" si="114"/>
        <v>Karnataka</v>
      </c>
      <c r="V417" t="s">
        <v>230</v>
      </c>
      <c r="W417" t="str">
        <f t="shared" si="115"/>
        <v>Bengaluru</v>
      </c>
      <c r="X417" t="s">
        <v>30</v>
      </c>
      <c r="Y417" t="str">
        <f t="shared" si="116"/>
        <v>Office Supplies</v>
      </c>
      <c r="Z417" t="s">
        <v>156</v>
      </c>
      <c r="AA417" t="str">
        <f t="shared" si="117"/>
        <v>Storage</v>
      </c>
      <c r="AB417" t="s">
        <v>2053</v>
      </c>
      <c r="AC417" t="s">
        <v>48</v>
      </c>
      <c r="AD417" t="str">
        <f t="shared" si="118"/>
        <v>Same Day</v>
      </c>
      <c r="AE417">
        <v>7</v>
      </c>
      <c r="AF417">
        <v>1727.26</v>
      </c>
      <c r="AG417">
        <v>0.15</v>
      </c>
      <c r="AH417">
        <v>0.15</v>
      </c>
      <c r="AI417" t="str">
        <f t="shared" si="119"/>
        <v>Valid</v>
      </c>
      <c r="AJ417">
        <v>10277.200000000001</v>
      </c>
      <c r="AK417">
        <f t="shared" si="120"/>
        <v>10277.197</v>
      </c>
      <c r="AL417">
        <v>7906.5</v>
      </c>
      <c r="AM417">
        <v>2370.6999999999998</v>
      </c>
      <c r="AN417">
        <f t="shared" si="121"/>
        <v>2370.6970000000001</v>
      </c>
      <c r="AO417">
        <f t="shared" si="122"/>
        <v>-7906.5</v>
      </c>
      <c r="AP417" t="s">
        <v>34</v>
      </c>
      <c r="AQ417" t="str">
        <f t="shared" si="123"/>
        <v>Paid</v>
      </c>
      <c r="AR417" t="s">
        <v>125</v>
      </c>
      <c r="AS417" t="str">
        <f t="shared" si="124"/>
        <v>Returned</v>
      </c>
      <c r="AT417" t="str">
        <f t="shared" si="125"/>
        <v>Clean</v>
      </c>
    </row>
    <row r="418" spans="1:46">
      <c r="A418" t="s">
        <v>2054</v>
      </c>
      <c r="B418">
        <f>COUNTIF($D$2:D418,D418)</f>
        <v>3</v>
      </c>
      <c r="C418" t="str">
        <f>IF(COUNTIF($A:$A,A418)=1,
"Unique",
IF(COUNTIFS($A:$A,A418,$N:$N,N418,$AF:$AF,AF418,$AJ:$AJ,AJ418)&gt;1,
"Exact Duplicate",
"Conflicting Duplicate"))</f>
        <v>Unique</v>
      </c>
      <c r="D418" t="s">
        <v>2055</v>
      </c>
      <c r="E418" t="s">
        <v>2056</v>
      </c>
      <c r="F418" s="3">
        <v>45870</v>
      </c>
      <c r="G418" s="3">
        <v>45673</v>
      </c>
      <c r="H418" s="5" t="str">
        <f t="shared" si="108"/>
        <v>August</v>
      </c>
      <c r="I418" s="5">
        <f t="shared" si="109"/>
        <v>2025</v>
      </c>
      <c r="J418" t="str">
        <f>IF(F418="","Missing Date",
IF(ISNUMBER(F418),"Valid","Invalid Date"))</f>
        <v>Valid</v>
      </c>
      <c r="K418" t="str">
        <f t="shared" si="110"/>
        <v>Valid</v>
      </c>
      <c r="L418">
        <f>G418-F418</f>
        <v>-197</v>
      </c>
      <c r="M418" t="s">
        <v>2057</v>
      </c>
      <c r="N418" t="s">
        <v>93</v>
      </c>
      <c r="O418" t="str">
        <f t="shared" si="111"/>
        <v>Neha Gupta</v>
      </c>
      <c r="P418" t="s">
        <v>26</v>
      </c>
      <c r="Q418" t="str">
        <f t="shared" si="112"/>
        <v>Consumer</v>
      </c>
      <c r="R418" t="s">
        <v>62</v>
      </c>
      <c r="S418" t="str">
        <f t="shared" si="113"/>
        <v>South</v>
      </c>
      <c r="T418" t="s">
        <v>63</v>
      </c>
      <c r="U418" t="str">
        <f t="shared" si="114"/>
        <v>Telangana</v>
      </c>
      <c r="V418" t="s">
        <v>64</v>
      </c>
      <c r="W418" t="str">
        <f t="shared" si="115"/>
        <v>Hyderabad</v>
      </c>
      <c r="X418" t="s">
        <v>45</v>
      </c>
      <c r="Y418" t="str">
        <f t="shared" si="116"/>
        <v>Furniture</v>
      </c>
      <c r="Z418" t="s">
        <v>65</v>
      </c>
      <c r="AA418" t="str">
        <f t="shared" si="117"/>
        <v>Furnishings</v>
      </c>
      <c r="AB418" t="s">
        <v>2058</v>
      </c>
      <c r="AC418" t="s">
        <v>56</v>
      </c>
      <c r="AD418" t="str">
        <f t="shared" si="118"/>
        <v>First Class</v>
      </c>
      <c r="AE418">
        <v>8</v>
      </c>
      <c r="AF418">
        <v>638.95000000000005</v>
      </c>
      <c r="AG418">
        <v>0.25</v>
      </c>
      <c r="AH418">
        <v>0.25</v>
      </c>
      <c r="AI418" t="str">
        <f t="shared" si="119"/>
        <v>Valid</v>
      </c>
      <c r="AJ418">
        <v>3833.7</v>
      </c>
      <c r="AK418">
        <f t="shared" si="120"/>
        <v>3833.7000000000003</v>
      </c>
      <c r="AL418">
        <v>2886.35</v>
      </c>
      <c r="AM418">
        <v>947.35</v>
      </c>
      <c r="AN418">
        <f t="shared" si="121"/>
        <v>947.35000000000036</v>
      </c>
      <c r="AO418">
        <f t="shared" si="122"/>
        <v>-2886.35</v>
      </c>
      <c r="AP418" t="s">
        <v>34</v>
      </c>
      <c r="AQ418" t="str">
        <f t="shared" si="123"/>
        <v>Paid</v>
      </c>
      <c r="AR418" t="s">
        <v>35</v>
      </c>
      <c r="AS418" t="str">
        <f t="shared" si="124"/>
        <v>Completed</v>
      </c>
      <c r="AT418" t="str">
        <f t="shared" si="125"/>
        <v>Clean</v>
      </c>
    </row>
    <row r="419" spans="1:46">
      <c r="A419" t="s">
        <v>2059</v>
      </c>
      <c r="B419">
        <f>COUNTIF($D$2:D419,D419)</f>
        <v>1</v>
      </c>
      <c r="C419" t="str">
        <f>IF(COUNTIF($A:$A,A419)=1,
"Unique",
IF(COUNTIFS($A:$A,A419,$N:$N,N419,$AF:$AF,AF419,$AJ:$AJ,AJ419)&gt;1,
"Exact Duplicate",
"Conflicting Duplicate"))</f>
        <v>Unique</v>
      </c>
      <c r="D419" t="s">
        <v>1794</v>
      </c>
      <c r="E419" t="s">
        <v>2060</v>
      </c>
      <c r="F419" s="3">
        <v>45686</v>
      </c>
      <c r="G419" s="3">
        <v>45693</v>
      </c>
      <c r="H419" s="5" t="str">
        <f t="shared" si="108"/>
        <v>January</v>
      </c>
      <c r="I419" s="5">
        <f t="shared" si="109"/>
        <v>2025</v>
      </c>
      <c r="J419" t="str">
        <f>IF(F419="","Missing Date",
IF(ISNUMBER(F419),"Valid","Invalid Date"))</f>
        <v>Valid</v>
      </c>
      <c r="K419" t="str">
        <f t="shared" si="110"/>
        <v>Valid</v>
      </c>
      <c r="L419">
        <f>G419-F419</f>
        <v>7</v>
      </c>
      <c r="M419" t="s">
        <v>2061</v>
      </c>
      <c r="N419" t="s">
        <v>40</v>
      </c>
      <c r="O419" t="str">
        <f t="shared" si="111"/>
        <v>Mira Das</v>
      </c>
      <c r="P419" t="s">
        <v>26</v>
      </c>
      <c r="Q419" t="str">
        <f t="shared" si="112"/>
        <v>Consumer</v>
      </c>
      <c r="R419" t="s">
        <v>73</v>
      </c>
      <c r="S419" t="str">
        <f t="shared" si="113"/>
        <v>West</v>
      </c>
      <c r="T419" t="s">
        <v>235</v>
      </c>
      <c r="U419" t="str">
        <f t="shared" si="114"/>
        <v>Gujarat</v>
      </c>
      <c r="V419" t="s">
        <v>236</v>
      </c>
      <c r="W419" t="str">
        <f t="shared" si="115"/>
        <v>Ahmedabad</v>
      </c>
      <c r="X419" t="s">
        <v>30</v>
      </c>
      <c r="Y419" t="str">
        <f t="shared" si="116"/>
        <v>Office Supplies</v>
      </c>
      <c r="Z419" t="s">
        <v>54</v>
      </c>
      <c r="AA419" t="str">
        <f t="shared" si="117"/>
        <v>Art</v>
      </c>
      <c r="AB419" t="s">
        <v>2062</v>
      </c>
      <c r="AC419" t="s">
        <v>56</v>
      </c>
      <c r="AD419" t="str">
        <f t="shared" si="118"/>
        <v>First Class</v>
      </c>
      <c r="AE419">
        <v>6</v>
      </c>
      <c r="AF419">
        <v>3863</v>
      </c>
      <c r="AG419">
        <v>0.2</v>
      </c>
      <c r="AH419">
        <v>0.2</v>
      </c>
      <c r="AI419" t="str">
        <f t="shared" si="119"/>
        <v>Valid</v>
      </c>
      <c r="AJ419">
        <v>18542.400000000001</v>
      </c>
      <c r="AK419">
        <f t="shared" si="120"/>
        <v>18542.400000000001</v>
      </c>
      <c r="AL419">
        <v>11193.75</v>
      </c>
      <c r="AM419">
        <v>7348.65</v>
      </c>
      <c r="AN419">
        <f t="shared" si="121"/>
        <v>7348.6500000000015</v>
      </c>
      <c r="AO419">
        <f t="shared" si="122"/>
        <v>-11193.75</v>
      </c>
      <c r="AP419" t="s">
        <v>34</v>
      </c>
      <c r="AQ419" t="str">
        <f t="shared" si="123"/>
        <v>Paid</v>
      </c>
      <c r="AR419" t="s">
        <v>35</v>
      </c>
      <c r="AS419" t="str">
        <f t="shared" si="124"/>
        <v>Completed</v>
      </c>
      <c r="AT419" t="str">
        <f t="shared" si="125"/>
        <v>Clean</v>
      </c>
    </row>
    <row r="420" spans="1:46">
      <c r="A420" t="s">
        <v>2063</v>
      </c>
      <c r="B420">
        <f>COUNTIF($D$2:D420,D420)</f>
        <v>1</v>
      </c>
      <c r="C420" t="str">
        <f>IF(COUNTIF($A:$A,A420)=1,
"Unique",
IF(COUNTIFS($A:$A,A420,$N:$N,N420,$AF:$AF,AF420,$AJ:$AJ,AJ420)&gt;1,
"Exact Duplicate",
"Conflicting Duplicate"))</f>
        <v>Unique</v>
      </c>
      <c r="D420" t="s">
        <v>2064</v>
      </c>
      <c r="E420" t="s">
        <v>2065</v>
      </c>
      <c r="F420" s="3">
        <v>45605</v>
      </c>
      <c r="G420" s="3">
        <v>45613</v>
      </c>
      <c r="H420" s="5" t="str">
        <f t="shared" si="108"/>
        <v>November</v>
      </c>
      <c r="I420" s="5">
        <f t="shared" si="109"/>
        <v>2024</v>
      </c>
      <c r="J420" t="str">
        <f>IF(F420="","Missing Date",
IF(ISNUMBER(F420),"Valid","Invalid Date"))</f>
        <v>Valid</v>
      </c>
      <c r="K420" t="str">
        <f t="shared" si="110"/>
        <v>Valid</v>
      </c>
      <c r="L420">
        <f>G420-F420</f>
        <v>8</v>
      </c>
      <c r="M420" t="s">
        <v>2066</v>
      </c>
      <c r="N420" t="s">
        <v>168</v>
      </c>
      <c r="O420" t="str">
        <f t="shared" si="111"/>
        <v>Sneha Kapoor</v>
      </c>
      <c r="P420" t="s">
        <v>108</v>
      </c>
      <c r="Q420" t="str">
        <f t="shared" si="112"/>
        <v>Corporate</v>
      </c>
      <c r="R420" t="s">
        <v>42</v>
      </c>
      <c r="S420" t="str">
        <f t="shared" si="113"/>
        <v>East</v>
      </c>
      <c r="T420" t="s">
        <v>43</v>
      </c>
      <c r="U420" t="str">
        <f t="shared" si="114"/>
        <v>Odisha</v>
      </c>
      <c r="V420" t="s">
        <v>44</v>
      </c>
      <c r="W420" t="str">
        <f t="shared" si="115"/>
        <v>Bhubaneswar</v>
      </c>
      <c r="X420" t="s">
        <v>86</v>
      </c>
      <c r="Y420" t="str">
        <f t="shared" si="116"/>
        <v>Technology</v>
      </c>
      <c r="Z420" t="s">
        <v>94</v>
      </c>
      <c r="AA420" t="str">
        <f t="shared" si="117"/>
        <v>Copiers</v>
      </c>
      <c r="AB420" t="s">
        <v>2067</v>
      </c>
      <c r="AC420" t="s">
        <v>67</v>
      </c>
      <c r="AD420" t="str">
        <f t="shared" si="118"/>
        <v>Standard Class</v>
      </c>
      <c r="AE420">
        <v>6</v>
      </c>
      <c r="AF420">
        <v>3660.4</v>
      </c>
      <c r="AG420">
        <v>0</v>
      </c>
      <c r="AH420">
        <v>0</v>
      </c>
      <c r="AI420" t="str">
        <f t="shared" si="119"/>
        <v>Valid</v>
      </c>
      <c r="AJ420">
        <v>21962.400000000001</v>
      </c>
      <c r="AK420">
        <f t="shared" si="120"/>
        <v>21962.400000000001</v>
      </c>
      <c r="AL420">
        <v>15331.99</v>
      </c>
      <c r="AM420">
        <v>6630.41</v>
      </c>
      <c r="AN420">
        <f t="shared" si="121"/>
        <v>6630.4100000000017</v>
      </c>
      <c r="AO420">
        <f t="shared" si="122"/>
        <v>-15331.99</v>
      </c>
      <c r="AP420" t="s">
        <v>200</v>
      </c>
      <c r="AQ420" t="str">
        <f t="shared" si="123"/>
        <v>Failed</v>
      </c>
      <c r="AR420" t="s">
        <v>78</v>
      </c>
      <c r="AS420" t="str">
        <f t="shared" si="124"/>
        <v>Cancelled</v>
      </c>
      <c r="AT420" t="str">
        <f t="shared" si="125"/>
        <v>Clean</v>
      </c>
    </row>
    <row r="421" spans="1:46">
      <c r="A421" t="s">
        <v>2068</v>
      </c>
      <c r="B421">
        <f>COUNTIF($D$2:D421,D421)</f>
        <v>1</v>
      </c>
      <c r="C421" t="str">
        <f>IF(COUNTIF($A:$A,A421)=1,
"Unique",
IF(COUNTIFS($A:$A,A421,$N:$N,N421,$AF:$AF,AF421,$AJ:$AJ,AJ421)&gt;1,
"Exact Duplicate",
"Conflicting Duplicate"))</f>
        <v>Unique</v>
      </c>
      <c r="D421" t="s">
        <v>2069</v>
      </c>
      <c r="E421" t="s">
        <v>2070</v>
      </c>
      <c r="F421" s="3">
        <v>45926</v>
      </c>
      <c r="G421" s="3">
        <v>45930</v>
      </c>
      <c r="H421" s="5" t="str">
        <f t="shared" si="108"/>
        <v>September</v>
      </c>
      <c r="I421" s="5">
        <f t="shared" si="109"/>
        <v>2025</v>
      </c>
      <c r="J421" t="str">
        <f>IF(F421="","Missing Date",
IF(ISNUMBER(F421),"Valid","Invalid Date"))</f>
        <v>Valid</v>
      </c>
      <c r="K421" t="str">
        <f t="shared" si="110"/>
        <v>Valid</v>
      </c>
      <c r="L421">
        <f>G421-F421</f>
        <v>4</v>
      </c>
      <c r="M421" t="s">
        <v>2071</v>
      </c>
      <c r="N421" t="s">
        <v>168</v>
      </c>
      <c r="O421" t="str">
        <f t="shared" si="111"/>
        <v>Sneha Kapoor</v>
      </c>
      <c r="P421" t="s">
        <v>115</v>
      </c>
      <c r="Q421" t="str">
        <f t="shared" si="112"/>
        <v>Home Office</v>
      </c>
      <c r="R421" t="s">
        <v>27</v>
      </c>
      <c r="S421" t="str">
        <f t="shared" si="113"/>
        <v>North</v>
      </c>
      <c r="T421" t="s">
        <v>323</v>
      </c>
      <c r="U421" t="str">
        <f t="shared" si="114"/>
        <v>Haryana</v>
      </c>
      <c r="V421" t="s">
        <v>324</v>
      </c>
      <c r="W421" t="str">
        <f t="shared" si="115"/>
        <v>Gurugram</v>
      </c>
      <c r="X421" t="s">
        <v>86</v>
      </c>
      <c r="Y421" t="str">
        <f t="shared" si="116"/>
        <v>Technology</v>
      </c>
      <c r="Z421" t="s">
        <v>223</v>
      </c>
      <c r="AA421" t="str">
        <f t="shared" si="117"/>
        <v>Phones</v>
      </c>
      <c r="AB421" t="s">
        <v>2072</v>
      </c>
      <c r="AC421" t="s">
        <v>48</v>
      </c>
      <c r="AD421" t="str">
        <f t="shared" si="118"/>
        <v>Same Day</v>
      </c>
      <c r="AE421">
        <v>2</v>
      </c>
      <c r="AF421">
        <v>688.83</v>
      </c>
      <c r="AG421">
        <v>0.05</v>
      </c>
      <c r="AH421">
        <v>0.05</v>
      </c>
      <c r="AI421" t="str">
        <f t="shared" si="119"/>
        <v>Valid</v>
      </c>
      <c r="AJ421">
        <v>1308.78</v>
      </c>
      <c r="AK421">
        <f t="shared" si="120"/>
        <v>1308.777</v>
      </c>
      <c r="AL421">
        <v>843</v>
      </c>
      <c r="AM421">
        <v>465.78</v>
      </c>
      <c r="AN421">
        <f t="shared" si="121"/>
        <v>465.77700000000004</v>
      </c>
      <c r="AO421">
        <f t="shared" si="122"/>
        <v>-843</v>
      </c>
      <c r="AP421" t="s">
        <v>34</v>
      </c>
      <c r="AQ421" t="str">
        <f t="shared" si="123"/>
        <v>Paid</v>
      </c>
      <c r="AR421" t="s">
        <v>35</v>
      </c>
      <c r="AS421" t="str">
        <f t="shared" si="124"/>
        <v>Completed</v>
      </c>
      <c r="AT421" t="str">
        <f t="shared" si="125"/>
        <v>Clean</v>
      </c>
    </row>
    <row r="422" spans="1:46">
      <c r="A422" t="s">
        <v>2073</v>
      </c>
      <c r="B422">
        <f>COUNTIF($D$2:D422,D422)</f>
        <v>2</v>
      </c>
      <c r="C422" t="str">
        <f>IF(COUNTIF($A:$A,A422)=1,
"Unique",
IF(COUNTIFS($A:$A,A422,$N:$N,N422,$AF:$AF,AF422,$AJ:$AJ,AJ422)&gt;1,
"Exact Duplicate",
"Conflicting Duplicate"))</f>
        <v>Unique</v>
      </c>
      <c r="D422" t="s">
        <v>963</v>
      </c>
      <c r="E422" t="s">
        <v>2074</v>
      </c>
      <c r="F422" s="3">
        <v>45734</v>
      </c>
      <c r="G422" s="3">
        <v>45735</v>
      </c>
      <c r="H422" s="5" t="str">
        <f t="shared" si="108"/>
        <v>March</v>
      </c>
      <c r="I422" s="5">
        <f t="shared" si="109"/>
        <v>2025</v>
      </c>
      <c r="J422" t="str">
        <f>IF(F422="","Missing Date",
IF(ISNUMBER(F422),"Valid","Invalid Date"))</f>
        <v>Valid</v>
      </c>
      <c r="K422" t="str">
        <f t="shared" si="110"/>
        <v>Valid</v>
      </c>
      <c r="L422">
        <f>G422-F422</f>
        <v>1</v>
      </c>
      <c r="M422" t="s">
        <v>2075</v>
      </c>
      <c r="N422" t="s">
        <v>53</v>
      </c>
      <c r="O422" t="str">
        <f t="shared" si="111"/>
        <v>Isha Nair</v>
      </c>
      <c r="P422" t="s">
        <v>108</v>
      </c>
      <c r="Q422" t="str">
        <f t="shared" si="112"/>
        <v>Corporate</v>
      </c>
      <c r="R422" t="s">
        <v>62</v>
      </c>
      <c r="S422" t="str">
        <f t="shared" si="113"/>
        <v>South</v>
      </c>
      <c r="T422" t="s">
        <v>339</v>
      </c>
      <c r="U422" t="str">
        <f t="shared" si="114"/>
        <v>Tamil Nadu</v>
      </c>
      <c r="V422" t="s">
        <v>340</v>
      </c>
      <c r="W422" t="str">
        <f t="shared" si="115"/>
        <v>Chennai</v>
      </c>
      <c r="X422" t="s">
        <v>86</v>
      </c>
      <c r="Y422" t="str">
        <f t="shared" si="116"/>
        <v>Technology</v>
      </c>
      <c r="Z422" t="s">
        <v>382</v>
      </c>
      <c r="AA422" t="str">
        <f t="shared" si="117"/>
        <v>Machines</v>
      </c>
      <c r="AB422" t="s">
        <v>2076</v>
      </c>
      <c r="AC422" t="s">
        <v>67</v>
      </c>
      <c r="AD422" t="str">
        <f t="shared" si="118"/>
        <v>Standard Class</v>
      </c>
      <c r="AE422">
        <v>2</v>
      </c>
      <c r="AF422">
        <v>1209.99</v>
      </c>
      <c r="AG422">
        <v>0.25</v>
      </c>
      <c r="AH422">
        <v>0.25</v>
      </c>
      <c r="AI422" t="str">
        <f t="shared" si="119"/>
        <v>Valid</v>
      </c>
      <c r="AJ422">
        <v>1814.99</v>
      </c>
      <c r="AK422">
        <f t="shared" si="120"/>
        <v>1814.9850000000001</v>
      </c>
      <c r="AL422">
        <v>1120.06</v>
      </c>
      <c r="AM422">
        <v>694.93</v>
      </c>
      <c r="AN422">
        <f t="shared" si="121"/>
        <v>694.92500000000018</v>
      </c>
      <c r="AO422">
        <f t="shared" si="122"/>
        <v>-1120.06</v>
      </c>
      <c r="AP422" t="s">
        <v>137</v>
      </c>
      <c r="AQ422" t="str">
        <f t="shared" si="123"/>
        <v>Pending</v>
      </c>
      <c r="AR422" t="s">
        <v>78</v>
      </c>
      <c r="AS422" t="str">
        <f t="shared" si="124"/>
        <v>Cancelled</v>
      </c>
      <c r="AT422" t="str">
        <f t="shared" si="125"/>
        <v>Clean</v>
      </c>
    </row>
    <row r="423" spans="1:46">
      <c r="A423" t="s">
        <v>2077</v>
      </c>
      <c r="B423">
        <f>COUNTIF($D$2:D423,D423)</f>
        <v>1</v>
      </c>
      <c r="C423" t="str">
        <f>IF(COUNTIF($A:$A,A423)=1,
"Unique",
IF(COUNTIFS($A:$A,A423,$N:$N,N423,$AF:$AF,AF423,$AJ:$AJ,AJ423)&gt;1,
"Exact Duplicate",
"Conflicting Duplicate"))</f>
        <v>Unique</v>
      </c>
      <c r="D423" t="s">
        <v>2078</v>
      </c>
      <c r="E423" t="s">
        <v>2079</v>
      </c>
      <c r="F423" s="3">
        <v>45822</v>
      </c>
      <c r="G423" s="2">
        <v>45827</v>
      </c>
      <c r="H423" s="5" t="str">
        <f t="shared" si="108"/>
        <v>June</v>
      </c>
      <c r="I423" s="5">
        <f t="shared" si="109"/>
        <v>2025</v>
      </c>
      <c r="J423" t="str">
        <f>IF(F423="","Missing Date",
IF(ISNUMBER(F423),"Valid","Invalid Date"))</f>
        <v>Valid</v>
      </c>
      <c r="K423" t="str">
        <f t="shared" si="110"/>
        <v>Valid</v>
      </c>
      <c r="L423">
        <f>G423-F423</f>
        <v>5</v>
      </c>
      <c r="M423" t="s">
        <v>2080</v>
      </c>
      <c r="N423" t="s">
        <v>180</v>
      </c>
      <c r="O423" t="str">
        <f t="shared" si="111"/>
        <v>Rohan Mehta</v>
      </c>
      <c r="P423" t="s">
        <v>41</v>
      </c>
      <c r="Q423" t="str">
        <f t="shared" si="112"/>
        <v>Small Business</v>
      </c>
      <c r="R423" t="s">
        <v>27</v>
      </c>
      <c r="S423" t="str">
        <f t="shared" si="113"/>
        <v>North</v>
      </c>
      <c r="T423" t="s">
        <v>506</v>
      </c>
      <c r="U423" t="str">
        <f t="shared" si="114"/>
        <v>Delhi</v>
      </c>
      <c r="V423" t="s">
        <v>507</v>
      </c>
      <c r="W423" t="str">
        <f t="shared" si="115"/>
        <v>New Delhi</v>
      </c>
      <c r="X423" t="s">
        <v>30</v>
      </c>
      <c r="Y423" t="str">
        <f t="shared" si="116"/>
        <v>Office Supplies</v>
      </c>
      <c r="Z423" t="s">
        <v>198</v>
      </c>
      <c r="AA423" t="str">
        <f t="shared" si="117"/>
        <v>Binders</v>
      </c>
      <c r="AB423" t="s">
        <v>2081</v>
      </c>
      <c r="AC423" t="s">
        <v>48</v>
      </c>
      <c r="AD423" t="str">
        <f t="shared" si="118"/>
        <v>Same Day</v>
      </c>
      <c r="AE423">
        <v>3</v>
      </c>
      <c r="AF423">
        <v>1037.45</v>
      </c>
      <c r="AG423">
        <v>0.2</v>
      </c>
      <c r="AH423">
        <v>0.2</v>
      </c>
      <c r="AI423" t="str">
        <f t="shared" si="119"/>
        <v>Valid</v>
      </c>
      <c r="AJ423">
        <v>2489.88</v>
      </c>
      <c r="AK423">
        <f t="shared" si="120"/>
        <v>2489.8800000000006</v>
      </c>
      <c r="AL423">
        <v>1707.52</v>
      </c>
      <c r="AM423">
        <v>782.36</v>
      </c>
      <c r="AN423">
        <f t="shared" si="121"/>
        <v>782.36000000000058</v>
      </c>
      <c r="AO423">
        <f t="shared" si="122"/>
        <v>-1707.52</v>
      </c>
      <c r="AP423" t="s">
        <v>137</v>
      </c>
      <c r="AQ423" t="str">
        <f t="shared" si="123"/>
        <v>Pending</v>
      </c>
      <c r="AR423" t="s">
        <v>125</v>
      </c>
      <c r="AS423" t="str">
        <f t="shared" si="124"/>
        <v>Returned</v>
      </c>
      <c r="AT423" t="str">
        <f t="shared" si="125"/>
        <v>Clean</v>
      </c>
    </row>
    <row r="424" spans="1:46">
      <c r="A424" t="s">
        <v>2082</v>
      </c>
      <c r="B424">
        <f>COUNTIF($D$2:D424,D424)</f>
        <v>2</v>
      </c>
      <c r="C424" t="str">
        <f>IF(COUNTIF($A:$A,A424)=1,
"Unique",
IF(COUNTIFS($A:$A,A424,$N:$N,N424,$AF:$AF,AF424,$AJ:$AJ,AJ424)&gt;1,
"Exact Duplicate",
"Conflicting Duplicate"))</f>
        <v>Unique</v>
      </c>
      <c r="D424" t="s">
        <v>2083</v>
      </c>
      <c r="E424" t="s">
        <v>2084</v>
      </c>
      <c r="F424" s="3">
        <v>45903</v>
      </c>
      <c r="G424" s="2">
        <v>45817</v>
      </c>
      <c r="H424" s="5" t="str">
        <f t="shared" si="108"/>
        <v>September</v>
      </c>
      <c r="I424" s="5">
        <f t="shared" si="109"/>
        <v>2025</v>
      </c>
      <c r="J424" t="str">
        <f>IF(F424="","Missing Date",
IF(ISNUMBER(F424),"Valid","Invalid Date"))</f>
        <v>Valid</v>
      </c>
      <c r="K424" t="str">
        <f t="shared" si="110"/>
        <v>Valid</v>
      </c>
      <c r="L424">
        <f>G424-F424</f>
        <v>-86</v>
      </c>
      <c r="M424" t="s">
        <v>2085</v>
      </c>
      <c r="N424" t="s">
        <v>366</v>
      </c>
      <c r="O424" t="str">
        <f t="shared" si="111"/>
        <v>Kabir Singh</v>
      </c>
      <c r="P424" t="s">
        <v>26</v>
      </c>
      <c r="Q424" t="str">
        <f t="shared" si="112"/>
        <v>Consumer</v>
      </c>
      <c r="R424" t="s">
        <v>73</v>
      </c>
      <c r="S424" t="str">
        <f t="shared" si="113"/>
        <v>West</v>
      </c>
      <c r="T424" t="s">
        <v>84</v>
      </c>
      <c r="U424" t="str">
        <f t="shared" si="114"/>
        <v>Madhya Pradesh</v>
      </c>
      <c r="V424" t="s">
        <v>85</v>
      </c>
      <c r="W424" t="str">
        <f t="shared" si="115"/>
        <v>Indore</v>
      </c>
      <c r="X424" t="s">
        <v>86</v>
      </c>
      <c r="Y424" t="str">
        <f t="shared" si="116"/>
        <v>Technology</v>
      </c>
      <c r="Z424" t="s">
        <v>94</v>
      </c>
      <c r="AA424" t="str">
        <f t="shared" si="117"/>
        <v>Copiers</v>
      </c>
      <c r="AB424" t="s">
        <v>2086</v>
      </c>
      <c r="AC424" t="s">
        <v>48</v>
      </c>
      <c r="AD424" t="str">
        <f t="shared" si="118"/>
        <v>Same Day</v>
      </c>
      <c r="AE424">
        <v>7</v>
      </c>
      <c r="AF424">
        <v>688.85</v>
      </c>
      <c r="AG424">
        <v>0.15</v>
      </c>
      <c r="AH424">
        <v>0.15</v>
      </c>
      <c r="AI424" t="str">
        <f t="shared" si="119"/>
        <v>Valid</v>
      </c>
      <c r="AJ424">
        <v>4098.66</v>
      </c>
      <c r="AK424">
        <f t="shared" si="120"/>
        <v>4098.6574999999993</v>
      </c>
      <c r="AL424">
        <v>2678.06</v>
      </c>
      <c r="AM424">
        <v>1420.6</v>
      </c>
      <c r="AN424">
        <f t="shared" si="121"/>
        <v>1420.5974999999994</v>
      </c>
      <c r="AO424">
        <f t="shared" si="122"/>
        <v>-2678.06</v>
      </c>
      <c r="AP424" t="s">
        <v>34</v>
      </c>
      <c r="AQ424" t="str">
        <f t="shared" si="123"/>
        <v>Paid</v>
      </c>
      <c r="AR424" t="s">
        <v>35</v>
      </c>
      <c r="AS424" t="str">
        <f t="shared" si="124"/>
        <v>Completed</v>
      </c>
      <c r="AT424" t="str">
        <f t="shared" si="125"/>
        <v>Clean</v>
      </c>
    </row>
    <row r="425" spans="1:46">
      <c r="A425" t="s">
        <v>2087</v>
      </c>
      <c r="B425">
        <f>COUNTIF($D$2:D425,D425)</f>
        <v>2</v>
      </c>
      <c r="C425" t="str">
        <f>IF(COUNTIF($A:$A,A425)=1,
"Unique",
IF(COUNTIFS($A:$A,A425,$N:$N,N425,$AF:$AF,AF425,$AJ:$AJ,AJ425)&gt;1,
"Exact Duplicate",
"Conflicting Duplicate"))</f>
        <v>Conflicting Duplicate</v>
      </c>
      <c r="D425" t="s">
        <v>2088</v>
      </c>
      <c r="E425" t="s">
        <v>2089</v>
      </c>
      <c r="F425" s="3">
        <v>45342</v>
      </c>
      <c r="G425" s="3">
        <v>45349</v>
      </c>
      <c r="H425" s="5" t="str">
        <f t="shared" si="108"/>
        <v>February</v>
      </c>
      <c r="I425" s="5">
        <f t="shared" si="109"/>
        <v>2024</v>
      </c>
      <c r="J425" t="str">
        <f>IF(F425="","Missing Date",
IF(ISNUMBER(F425),"Valid","Invalid Date"))</f>
        <v>Valid</v>
      </c>
      <c r="K425" t="str">
        <f t="shared" si="110"/>
        <v>Valid</v>
      </c>
      <c r="L425">
        <f>G425-F425</f>
        <v>7</v>
      </c>
      <c r="M425" t="s">
        <v>2090</v>
      </c>
      <c r="N425" t="s">
        <v>210</v>
      </c>
      <c r="O425" t="str">
        <f t="shared" si="111"/>
        <v>Diya Patel</v>
      </c>
      <c r="P425" t="s">
        <v>26</v>
      </c>
      <c r="Q425" t="str">
        <f t="shared" si="112"/>
        <v>Consumer</v>
      </c>
      <c r="R425" t="s">
        <v>62</v>
      </c>
      <c r="S425" t="str">
        <f t="shared" si="113"/>
        <v>South</v>
      </c>
      <c r="T425" t="s">
        <v>242</v>
      </c>
      <c r="U425" t="str">
        <f t="shared" si="114"/>
        <v>Kerala</v>
      </c>
      <c r="V425" t="s">
        <v>243</v>
      </c>
      <c r="W425" t="str">
        <f t="shared" si="115"/>
        <v>Kochi</v>
      </c>
      <c r="X425" t="s">
        <v>86</v>
      </c>
      <c r="Y425" t="str">
        <f t="shared" si="116"/>
        <v>Technology</v>
      </c>
      <c r="Z425" t="s">
        <v>87</v>
      </c>
      <c r="AA425" t="str">
        <f t="shared" si="117"/>
        <v>Accessories</v>
      </c>
      <c r="AB425" t="s">
        <v>2091</v>
      </c>
      <c r="AC425" t="s">
        <v>2092</v>
      </c>
      <c r="AD425" t="str">
        <f t="shared" si="118"/>
        <v>First Class</v>
      </c>
      <c r="AE425">
        <v>9</v>
      </c>
      <c r="AF425">
        <v>3779.31</v>
      </c>
      <c r="AG425">
        <v>0.2</v>
      </c>
      <c r="AH425">
        <v>0.2</v>
      </c>
      <c r="AI425" t="str">
        <f t="shared" si="119"/>
        <v>Valid</v>
      </c>
      <c r="AJ425">
        <v>27211.03</v>
      </c>
      <c r="AK425">
        <f t="shared" si="120"/>
        <v>27211.032000000003</v>
      </c>
      <c r="AL425">
        <v>17940.43</v>
      </c>
      <c r="AM425">
        <v>9270.6</v>
      </c>
      <c r="AN425">
        <f t="shared" si="121"/>
        <v>9270.6020000000026</v>
      </c>
      <c r="AO425">
        <f t="shared" si="122"/>
        <v>-17940.43</v>
      </c>
      <c r="AP425" t="s">
        <v>34</v>
      </c>
      <c r="AQ425" t="str">
        <f t="shared" si="123"/>
        <v>Paid</v>
      </c>
      <c r="AR425" t="s">
        <v>35</v>
      </c>
      <c r="AS425" t="str">
        <f t="shared" si="124"/>
        <v>Completed</v>
      </c>
      <c r="AT425" t="str">
        <f t="shared" si="125"/>
        <v>Clean</v>
      </c>
    </row>
    <row r="426" spans="1:46">
      <c r="A426" t="s">
        <v>2093</v>
      </c>
      <c r="B426">
        <f>COUNTIF($D$2:D426,D426)</f>
        <v>1</v>
      </c>
      <c r="C426" t="str">
        <f>IF(COUNTIF($A:$A,A426)=1,
"Unique",
IF(COUNTIFS($A:$A,A426,$N:$N,N426,$AF:$AF,AF426,$AJ:$AJ,AJ426)&gt;1,
"Exact Duplicate",
"Conflicting Duplicate"))</f>
        <v>Unique</v>
      </c>
      <c r="D426" t="s">
        <v>2094</v>
      </c>
      <c r="E426" t="s">
        <v>2095</v>
      </c>
      <c r="F426" s="3">
        <v>45469</v>
      </c>
      <c r="G426" s="3">
        <v>45472</v>
      </c>
      <c r="H426" s="5" t="str">
        <f t="shared" si="108"/>
        <v>June</v>
      </c>
      <c r="I426" s="5">
        <f t="shared" si="109"/>
        <v>2024</v>
      </c>
      <c r="J426" t="str">
        <f>IF(F426="","Missing Date",
IF(ISNUMBER(F426),"Valid","Invalid Date"))</f>
        <v>Valid</v>
      </c>
      <c r="K426" t="str">
        <f t="shared" si="110"/>
        <v>Valid</v>
      </c>
      <c r="L426">
        <f>G426-F426</f>
        <v>3</v>
      </c>
      <c r="M426" t="s">
        <v>2096</v>
      </c>
      <c r="N426" t="s">
        <v>93</v>
      </c>
      <c r="O426" t="str">
        <f t="shared" si="111"/>
        <v>Neha Gupta</v>
      </c>
      <c r="P426" t="s">
        <v>108</v>
      </c>
      <c r="Q426" t="str">
        <f t="shared" si="112"/>
        <v>Corporate</v>
      </c>
      <c r="R426" t="s">
        <v>27</v>
      </c>
      <c r="S426" t="str">
        <f t="shared" si="113"/>
        <v>North</v>
      </c>
      <c r="T426" t="s">
        <v>154</v>
      </c>
      <c r="U426" t="str">
        <f t="shared" si="114"/>
        <v>Punjab</v>
      </c>
      <c r="V426" t="s">
        <v>155</v>
      </c>
      <c r="W426" t="str">
        <f t="shared" si="115"/>
        <v>Ludhiana</v>
      </c>
      <c r="X426" t="s">
        <v>86</v>
      </c>
      <c r="Y426" t="str">
        <f t="shared" si="116"/>
        <v>Technology</v>
      </c>
      <c r="Z426" t="s">
        <v>223</v>
      </c>
      <c r="AA426" t="str">
        <f t="shared" si="117"/>
        <v>Phones</v>
      </c>
      <c r="AB426" t="s">
        <v>2097</v>
      </c>
      <c r="AC426" t="s">
        <v>67</v>
      </c>
      <c r="AD426" t="str">
        <f t="shared" si="118"/>
        <v>Standard Class</v>
      </c>
      <c r="AE426">
        <v>8</v>
      </c>
      <c r="AF426">
        <v>804.52</v>
      </c>
      <c r="AG426">
        <v>0</v>
      </c>
      <c r="AH426">
        <v>0</v>
      </c>
      <c r="AI426" t="str">
        <f t="shared" si="119"/>
        <v>Valid</v>
      </c>
      <c r="AJ426">
        <v>6436.16</v>
      </c>
      <c r="AK426">
        <f t="shared" si="120"/>
        <v>6436.16</v>
      </c>
      <c r="AL426">
        <v>4263.83</v>
      </c>
      <c r="AM426">
        <v>2172.33</v>
      </c>
      <c r="AN426">
        <f t="shared" si="121"/>
        <v>2172.33</v>
      </c>
      <c r="AO426">
        <f t="shared" si="122"/>
        <v>-4263.83</v>
      </c>
      <c r="AP426" t="s">
        <v>34</v>
      </c>
      <c r="AQ426" t="str">
        <f t="shared" si="123"/>
        <v>Paid</v>
      </c>
      <c r="AR426" t="s">
        <v>35</v>
      </c>
      <c r="AS426" t="str">
        <f t="shared" si="124"/>
        <v>Completed</v>
      </c>
      <c r="AT426" t="str">
        <f t="shared" si="125"/>
        <v>Clean</v>
      </c>
    </row>
    <row r="427" spans="1:46">
      <c r="A427" t="s">
        <v>2098</v>
      </c>
      <c r="B427">
        <f>COUNTIF($D$2:D427,D427)</f>
        <v>1</v>
      </c>
      <c r="C427" t="str">
        <f>IF(COUNTIF($A:$A,A427)=1,
"Unique",
IF(COUNTIFS($A:$A,A427,$N:$N,N427,$AF:$AF,AF427,$AJ:$AJ,AJ427)&gt;1,
"Exact Duplicate",
"Conflicting Duplicate"))</f>
        <v>Unique</v>
      </c>
      <c r="D427" t="s">
        <v>2099</v>
      </c>
      <c r="E427" t="s">
        <v>2100</v>
      </c>
      <c r="F427" s="3">
        <v>45561</v>
      </c>
      <c r="G427" s="3">
        <v>45562</v>
      </c>
      <c r="H427" s="5" t="str">
        <f t="shared" si="108"/>
        <v>September</v>
      </c>
      <c r="I427" s="5">
        <f t="shared" si="109"/>
        <v>2024</v>
      </c>
      <c r="J427" t="str">
        <f>IF(F427="","Missing Date",
IF(ISNUMBER(F427),"Valid","Invalid Date"))</f>
        <v>Valid</v>
      </c>
      <c r="K427" t="str">
        <f t="shared" si="110"/>
        <v>Valid</v>
      </c>
      <c r="L427">
        <f>G427-F427</f>
        <v>1</v>
      </c>
      <c r="M427" t="s">
        <v>2101</v>
      </c>
      <c r="N427" t="s">
        <v>53</v>
      </c>
      <c r="O427" t="str">
        <f t="shared" si="111"/>
        <v>Isha Nair</v>
      </c>
      <c r="P427" t="s">
        <v>115</v>
      </c>
      <c r="Q427" t="str">
        <f t="shared" si="112"/>
        <v>Home Office</v>
      </c>
      <c r="R427" t="s">
        <v>27</v>
      </c>
      <c r="S427" t="str">
        <f t="shared" si="113"/>
        <v>North</v>
      </c>
      <c r="T427" t="s">
        <v>506</v>
      </c>
      <c r="U427" t="str">
        <f t="shared" si="114"/>
        <v>Delhi</v>
      </c>
      <c r="V427" t="s">
        <v>507</v>
      </c>
      <c r="W427" t="str">
        <f t="shared" si="115"/>
        <v>New Delhi</v>
      </c>
      <c r="X427" t="s">
        <v>30</v>
      </c>
      <c r="Y427" t="str">
        <f t="shared" si="116"/>
        <v>Office Supplies</v>
      </c>
      <c r="Z427" t="s">
        <v>109</v>
      </c>
      <c r="AA427" t="str">
        <f t="shared" si="117"/>
        <v>Labels</v>
      </c>
      <c r="AB427" t="s">
        <v>2102</v>
      </c>
      <c r="AC427" t="s">
        <v>56</v>
      </c>
      <c r="AD427" t="str">
        <f t="shared" si="118"/>
        <v>First Class</v>
      </c>
      <c r="AE427">
        <v>2</v>
      </c>
      <c r="AF427">
        <v>1065.69</v>
      </c>
      <c r="AG427">
        <v>0.1</v>
      </c>
      <c r="AH427">
        <v>0.1</v>
      </c>
      <c r="AI427" t="str">
        <f t="shared" si="119"/>
        <v>Valid</v>
      </c>
      <c r="AJ427">
        <v>1918.24</v>
      </c>
      <c r="AK427">
        <f t="shared" si="120"/>
        <v>1918.2420000000002</v>
      </c>
      <c r="AL427">
        <v>1373.52</v>
      </c>
      <c r="AM427">
        <v>544.72</v>
      </c>
      <c r="AN427">
        <f t="shared" si="121"/>
        <v>544.72200000000021</v>
      </c>
      <c r="AO427">
        <f t="shared" si="122"/>
        <v>-1373.52</v>
      </c>
      <c r="AP427" t="s">
        <v>124</v>
      </c>
      <c r="AQ427" t="str">
        <f t="shared" si="123"/>
        <v>Refunded</v>
      </c>
      <c r="AR427" t="s">
        <v>78</v>
      </c>
      <c r="AS427" t="str">
        <f t="shared" si="124"/>
        <v>Cancelled</v>
      </c>
      <c r="AT427" t="str">
        <f t="shared" si="125"/>
        <v>Clean</v>
      </c>
    </row>
    <row r="428" spans="1:46">
      <c r="A428" t="s">
        <v>2103</v>
      </c>
      <c r="B428">
        <f>COUNTIF($D$2:D428,D428)</f>
        <v>1</v>
      </c>
      <c r="C428" t="str">
        <f>IF(COUNTIF($A:$A,A428)=1,
"Unique",
IF(COUNTIFS($A:$A,A428,$N:$N,N428,$AF:$AF,AF428,$AJ:$AJ,AJ428)&gt;1,
"Exact Duplicate",
"Conflicting Duplicate"))</f>
        <v>Unique</v>
      </c>
      <c r="D428" t="s">
        <v>2104</v>
      </c>
      <c r="E428" t="s">
        <v>2105</v>
      </c>
      <c r="F428" s="3">
        <v>45473</v>
      </c>
      <c r="G428" s="3">
        <v>45298</v>
      </c>
      <c r="H428" s="5" t="str">
        <f t="shared" si="108"/>
        <v>June</v>
      </c>
      <c r="I428" s="5">
        <f t="shared" si="109"/>
        <v>2024</v>
      </c>
      <c r="J428" t="str">
        <f>IF(F428="","Missing Date",
IF(ISNUMBER(F428),"Valid","Invalid Date"))</f>
        <v>Valid</v>
      </c>
      <c r="K428" t="str">
        <f t="shared" si="110"/>
        <v>Valid</v>
      </c>
      <c r="L428">
        <f>G428-F428</f>
        <v>-175</v>
      </c>
      <c r="M428" t="s">
        <v>2106</v>
      </c>
      <c r="N428" t="s">
        <v>107</v>
      </c>
      <c r="O428" t="str">
        <f t="shared" si="111"/>
        <v>Aditi Sen</v>
      </c>
      <c r="P428" t="s">
        <v>26</v>
      </c>
      <c r="Q428" t="str">
        <f t="shared" si="112"/>
        <v>Consumer</v>
      </c>
      <c r="R428" t="s">
        <v>27</v>
      </c>
      <c r="S428" t="str">
        <f t="shared" si="113"/>
        <v>North</v>
      </c>
      <c r="T428" t="s">
        <v>323</v>
      </c>
      <c r="U428" t="str">
        <f t="shared" si="114"/>
        <v>Haryana</v>
      </c>
      <c r="V428" t="s">
        <v>324</v>
      </c>
      <c r="W428" t="str">
        <f t="shared" si="115"/>
        <v>Gurugram</v>
      </c>
      <c r="X428" t="s">
        <v>86</v>
      </c>
      <c r="Y428" t="str">
        <f t="shared" si="116"/>
        <v>Technology</v>
      </c>
      <c r="Z428" t="s">
        <v>94</v>
      </c>
      <c r="AA428" t="str">
        <f t="shared" si="117"/>
        <v>Copiers</v>
      </c>
      <c r="AB428" t="s">
        <v>2107</v>
      </c>
      <c r="AC428" t="s">
        <v>48</v>
      </c>
      <c r="AD428" t="str">
        <f t="shared" si="118"/>
        <v>Same Day</v>
      </c>
      <c r="AE428">
        <v>8</v>
      </c>
      <c r="AF428">
        <v>3756.66</v>
      </c>
      <c r="AG428">
        <v>0.1</v>
      </c>
      <c r="AH428">
        <v>0.1</v>
      </c>
      <c r="AI428" t="str">
        <f t="shared" si="119"/>
        <v>Valid</v>
      </c>
      <c r="AJ428">
        <v>27047.95</v>
      </c>
      <c r="AK428">
        <f t="shared" si="120"/>
        <v>27047.952000000001</v>
      </c>
      <c r="AL428">
        <v>18431.330000000002</v>
      </c>
      <c r="AM428">
        <v>8616.6200000000008</v>
      </c>
      <c r="AN428">
        <f t="shared" si="121"/>
        <v>8616.6219999999994</v>
      </c>
      <c r="AO428">
        <f t="shared" si="122"/>
        <v>-18431.330000000002</v>
      </c>
      <c r="AP428" t="s">
        <v>34</v>
      </c>
      <c r="AQ428" t="str">
        <f t="shared" si="123"/>
        <v>Paid</v>
      </c>
      <c r="AR428" t="s">
        <v>35</v>
      </c>
      <c r="AS428" t="str">
        <f t="shared" si="124"/>
        <v>Completed</v>
      </c>
      <c r="AT428" t="str">
        <f t="shared" si="125"/>
        <v>Clean</v>
      </c>
    </row>
    <row r="429" spans="1:46">
      <c r="A429" t="s">
        <v>2108</v>
      </c>
      <c r="B429">
        <f>COUNTIF($D$2:D429,D429)</f>
        <v>1</v>
      </c>
      <c r="C429" t="str">
        <f>IF(COUNTIF($A:$A,A429)=1,
"Unique",
IF(COUNTIFS($A:$A,A429,$N:$N,N429,$AF:$AF,AF429,$AJ:$AJ,AJ429)&gt;1,
"Exact Duplicate",
"Conflicting Duplicate"))</f>
        <v>Unique</v>
      </c>
      <c r="D429" t="s">
        <v>2109</v>
      </c>
      <c r="E429" t="s">
        <v>2110</v>
      </c>
      <c r="F429" s="3">
        <v>45769</v>
      </c>
      <c r="G429" s="3">
        <v>45771</v>
      </c>
      <c r="H429" s="5" t="str">
        <f t="shared" si="108"/>
        <v>April</v>
      </c>
      <c r="I429" s="5">
        <f t="shared" si="109"/>
        <v>2025</v>
      </c>
      <c r="J429" t="str">
        <f>IF(F429="","Missing Date",
IF(ISNUMBER(F429),"Valid","Invalid Date"))</f>
        <v>Valid</v>
      </c>
      <c r="K429" t="str">
        <f t="shared" si="110"/>
        <v>Valid</v>
      </c>
      <c r="L429">
        <f>G429-F429</f>
        <v>2</v>
      </c>
      <c r="M429" t="s">
        <v>2111</v>
      </c>
      <c r="N429" t="s">
        <v>53</v>
      </c>
      <c r="O429" t="str">
        <f t="shared" si="111"/>
        <v>Isha Nair</v>
      </c>
      <c r="P429" t="s">
        <v>108</v>
      </c>
      <c r="Q429" t="str">
        <f t="shared" si="112"/>
        <v>Corporate</v>
      </c>
      <c r="R429" t="s">
        <v>4104</v>
      </c>
      <c r="S429" t="s">
        <v>4104</v>
      </c>
      <c r="T429" t="s">
        <v>311</v>
      </c>
      <c r="U429" t="str">
        <f t="shared" si="114"/>
        <v>Jharkhand</v>
      </c>
      <c r="V429" t="s">
        <v>312</v>
      </c>
      <c r="W429" t="str">
        <f t="shared" si="115"/>
        <v>Ranchi</v>
      </c>
      <c r="X429" t="s">
        <v>86</v>
      </c>
      <c r="Y429" t="str">
        <f t="shared" si="116"/>
        <v>Technology</v>
      </c>
      <c r="Z429" t="s">
        <v>87</v>
      </c>
      <c r="AA429" t="str">
        <f t="shared" si="117"/>
        <v>Accessories</v>
      </c>
      <c r="AB429" t="s">
        <v>2112</v>
      </c>
      <c r="AC429" t="s">
        <v>286</v>
      </c>
      <c r="AD429" t="str">
        <f t="shared" si="118"/>
        <v>Standard Class</v>
      </c>
      <c r="AE429">
        <v>9</v>
      </c>
      <c r="AF429">
        <v>2939.44</v>
      </c>
      <c r="AG429">
        <v>0</v>
      </c>
      <c r="AH429">
        <v>0</v>
      </c>
      <c r="AI429" t="str">
        <f t="shared" si="119"/>
        <v>Valid</v>
      </c>
      <c r="AJ429">
        <v>26454.959999999999</v>
      </c>
      <c r="AK429">
        <f t="shared" si="120"/>
        <v>26454.959999999999</v>
      </c>
      <c r="AL429">
        <v>17630.25</v>
      </c>
      <c r="AM429">
        <v>8824.7099999999991</v>
      </c>
      <c r="AN429">
        <f t="shared" si="121"/>
        <v>8824.7099999999991</v>
      </c>
      <c r="AO429">
        <f t="shared" si="122"/>
        <v>-17630.25</v>
      </c>
      <c r="AP429" t="s">
        <v>34</v>
      </c>
      <c r="AQ429" t="str">
        <f t="shared" si="123"/>
        <v>Paid</v>
      </c>
      <c r="AR429" t="s">
        <v>35</v>
      </c>
      <c r="AS429" t="str">
        <f t="shared" si="124"/>
        <v>Completed</v>
      </c>
      <c r="AT429" t="str">
        <f t="shared" si="125"/>
        <v>Clean</v>
      </c>
    </row>
    <row r="430" spans="1:46">
      <c r="A430" t="s">
        <v>2113</v>
      </c>
      <c r="B430">
        <f>COUNTIF($D$2:D430,D430)</f>
        <v>1</v>
      </c>
      <c r="C430" t="str">
        <f>IF(COUNTIF($A:$A,A430)=1,
"Unique",
IF(COUNTIFS($A:$A,A430,$N:$N,N430,$AF:$AF,AF430,$AJ:$AJ,AJ430)&gt;1,
"Exact Duplicate",
"Conflicting Duplicate"))</f>
        <v>Unique</v>
      </c>
      <c r="D430" t="s">
        <v>2114</v>
      </c>
      <c r="E430" t="s">
        <v>2115</v>
      </c>
      <c r="F430" s="3">
        <v>45731</v>
      </c>
      <c r="G430" s="2">
        <v>45738</v>
      </c>
      <c r="H430" s="5" t="str">
        <f t="shared" si="108"/>
        <v>March</v>
      </c>
      <c r="I430" s="5">
        <f t="shared" si="109"/>
        <v>2025</v>
      </c>
      <c r="J430" t="str">
        <f>IF(F430="","Missing Date",
IF(ISNUMBER(F430),"Valid","Invalid Date"))</f>
        <v>Valid</v>
      </c>
      <c r="K430" t="str">
        <f t="shared" si="110"/>
        <v>Valid</v>
      </c>
      <c r="L430">
        <f>G430-F430</f>
        <v>7</v>
      </c>
      <c r="M430" t="s">
        <v>2116</v>
      </c>
      <c r="N430" t="s">
        <v>25</v>
      </c>
      <c r="O430" t="str">
        <f t="shared" si="111"/>
        <v>Karan Malhotra</v>
      </c>
      <c r="P430" t="s">
        <v>41</v>
      </c>
      <c r="Q430" t="str">
        <f t="shared" si="112"/>
        <v>Small Business</v>
      </c>
      <c r="R430" t="s">
        <v>42</v>
      </c>
      <c r="S430" t="str">
        <f t="shared" si="113"/>
        <v>East</v>
      </c>
      <c r="T430" t="s">
        <v>121</v>
      </c>
      <c r="U430" t="str">
        <f t="shared" si="114"/>
        <v>West Bengal</v>
      </c>
      <c r="V430" t="s">
        <v>122</v>
      </c>
      <c r="W430" t="str">
        <f t="shared" si="115"/>
        <v>Kolkata</v>
      </c>
      <c r="X430" t="s">
        <v>86</v>
      </c>
      <c r="Y430" t="str">
        <f t="shared" si="116"/>
        <v>Technology</v>
      </c>
      <c r="Z430" t="s">
        <v>223</v>
      </c>
      <c r="AA430" t="str">
        <f t="shared" si="117"/>
        <v>Phones</v>
      </c>
      <c r="AB430" t="s">
        <v>2117</v>
      </c>
      <c r="AC430" t="s">
        <v>48</v>
      </c>
      <c r="AD430" t="str">
        <f t="shared" si="118"/>
        <v>Same Day</v>
      </c>
      <c r="AE430">
        <v>2</v>
      </c>
      <c r="AF430">
        <v>1235.93</v>
      </c>
      <c r="AG430">
        <v>0.25</v>
      </c>
      <c r="AH430">
        <v>0.25</v>
      </c>
      <c r="AI430" t="str">
        <f t="shared" si="119"/>
        <v>Valid</v>
      </c>
      <c r="AJ430">
        <v>1853.89</v>
      </c>
      <c r="AK430">
        <f t="shared" si="120"/>
        <v>1853.895</v>
      </c>
      <c r="AL430">
        <v>1101.23</v>
      </c>
      <c r="AM430">
        <v>752.66</v>
      </c>
      <c r="AN430">
        <f t="shared" si="121"/>
        <v>752.66499999999996</v>
      </c>
      <c r="AO430">
        <f t="shared" si="122"/>
        <v>-1101.23</v>
      </c>
      <c r="AP430" t="s">
        <v>137</v>
      </c>
      <c r="AQ430" t="str">
        <f t="shared" si="123"/>
        <v>Pending</v>
      </c>
      <c r="AR430" t="s">
        <v>78</v>
      </c>
      <c r="AS430" t="str">
        <f t="shared" si="124"/>
        <v>Cancelled</v>
      </c>
      <c r="AT430" t="str">
        <f t="shared" si="125"/>
        <v>Clean</v>
      </c>
    </row>
    <row r="431" spans="1:46">
      <c r="A431" t="s">
        <v>2118</v>
      </c>
      <c r="B431">
        <f>COUNTIF($D$2:D431,D431)</f>
        <v>1</v>
      </c>
      <c r="C431" t="str">
        <f>IF(COUNTIF($A:$A,A431)=1,
"Unique",
IF(COUNTIFS($A:$A,A431,$N:$N,N431,$AF:$AF,AF431,$AJ:$AJ,AJ431)&gt;1,
"Exact Duplicate",
"Conflicting Duplicate"))</f>
        <v>Unique</v>
      </c>
      <c r="D431" t="s">
        <v>2119</v>
      </c>
      <c r="E431" t="s">
        <v>2120</v>
      </c>
      <c r="F431" s="2">
        <v>45660</v>
      </c>
      <c r="G431" s="3">
        <v>45872</v>
      </c>
      <c r="H431" s="5" t="str">
        <f t="shared" si="108"/>
        <v>January</v>
      </c>
      <c r="I431" s="5">
        <f t="shared" si="109"/>
        <v>2025</v>
      </c>
      <c r="J431" t="str">
        <f>IF(F431="","Missing Date",
IF(ISNUMBER(F431),"Valid","Invalid Date"))</f>
        <v>Valid</v>
      </c>
      <c r="K431" t="str">
        <f t="shared" si="110"/>
        <v>Valid</v>
      </c>
      <c r="L431">
        <f>G431-F431</f>
        <v>212</v>
      </c>
      <c r="M431" t="s">
        <v>2121</v>
      </c>
      <c r="N431" t="s">
        <v>93</v>
      </c>
      <c r="O431" t="str">
        <f t="shared" si="111"/>
        <v>Neha Gupta</v>
      </c>
      <c r="P431" t="s">
        <v>115</v>
      </c>
      <c r="Q431" t="str">
        <f t="shared" si="112"/>
        <v>Home Office</v>
      </c>
      <c r="R431" t="s">
        <v>27</v>
      </c>
      <c r="S431" t="str">
        <f t="shared" si="113"/>
        <v>North</v>
      </c>
      <c r="T431" t="s">
        <v>28</v>
      </c>
      <c r="U431" t="str">
        <f t="shared" si="114"/>
        <v>Rajasthan</v>
      </c>
      <c r="V431" t="s">
        <v>29</v>
      </c>
      <c r="W431" t="str">
        <f t="shared" si="115"/>
        <v>Jaipur</v>
      </c>
      <c r="X431" t="s">
        <v>86</v>
      </c>
      <c r="Y431" t="str">
        <f t="shared" si="116"/>
        <v>Technology</v>
      </c>
      <c r="Z431" t="s">
        <v>94</v>
      </c>
      <c r="AA431" t="str">
        <f t="shared" si="117"/>
        <v>Copiers</v>
      </c>
      <c r="AB431" t="s">
        <v>2122</v>
      </c>
      <c r="AC431" t="s">
        <v>48</v>
      </c>
      <c r="AD431" t="str">
        <f t="shared" si="118"/>
        <v>Same Day</v>
      </c>
      <c r="AE431">
        <v>8</v>
      </c>
      <c r="AF431">
        <v>2943.1</v>
      </c>
      <c r="AG431">
        <v>0.25</v>
      </c>
      <c r="AH431">
        <v>0.25</v>
      </c>
      <c r="AI431" t="str">
        <f t="shared" si="119"/>
        <v>Valid</v>
      </c>
      <c r="AJ431">
        <v>17658.599999999999</v>
      </c>
      <c r="AK431">
        <f t="shared" si="120"/>
        <v>17658.599999999999</v>
      </c>
      <c r="AL431">
        <v>13842.48</v>
      </c>
      <c r="AM431">
        <v>3816.12</v>
      </c>
      <c r="AN431">
        <f t="shared" si="121"/>
        <v>3816.119999999999</v>
      </c>
      <c r="AO431">
        <f t="shared" si="122"/>
        <v>-13842.48</v>
      </c>
      <c r="AP431" t="s">
        <v>34</v>
      </c>
      <c r="AQ431" t="str">
        <f t="shared" si="123"/>
        <v>Paid</v>
      </c>
      <c r="AR431" t="s">
        <v>35</v>
      </c>
      <c r="AS431" t="str">
        <f t="shared" si="124"/>
        <v>Completed</v>
      </c>
      <c r="AT431" t="str">
        <f t="shared" si="125"/>
        <v>Clean</v>
      </c>
    </row>
    <row r="432" spans="1:46">
      <c r="A432" t="s">
        <v>2123</v>
      </c>
      <c r="B432">
        <f>COUNTIF($D$2:D432,D432)</f>
        <v>1</v>
      </c>
      <c r="C432" t="str">
        <f>IF(COUNTIF($A:$A,A432)=1,
"Unique",
IF(COUNTIFS($A:$A,A432,$N:$N,N432,$AF:$AF,AF432,$AJ:$AJ,AJ432)&gt;1,
"Exact Duplicate",
"Conflicting Duplicate"))</f>
        <v>Unique</v>
      </c>
      <c r="D432" t="s">
        <v>2124</v>
      </c>
      <c r="E432" t="s">
        <v>2125</v>
      </c>
      <c r="F432" s="2">
        <v>45534</v>
      </c>
      <c r="G432" s="3">
        <v>45331</v>
      </c>
      <c r="H432" s="5" t="str">
        <f t="shared" si="108"/>
        <v>August</v>
      </c>
      <c r="I432" s="5">
        <f t="shared" si="109"/>
        <v>2024</v>
      </c>
      <c r="J432" t="str">
        <f>IF(F432="","Missing Date",
IF(ISNUMBER(F432),"Valid","Invalid Date"))</f>
        <v>Valid</v>
      </c>
      <c r="K432" t="str">
        <f t="shared" si="110"/>
        <v>Valid</v>
      </c>
      <c r="L432">
        <f>G432-F432</f>
        <v>-203</v>
      </c>
      <c r="M432" t="s">
        <v>2126</v>
      </c>
      <c r="N432" t="s">
        <v>93</v>
      </c>
      <c r="O432" t="str">
        <f t="shared" si="111"/>
        <v>Neha Gupta</v>
      </c>
      <c r="P432" t="s">
        <v>41</v>
      </c>
      <c r="Q432" t="str">
        <f t="shared" si="112"/>
        <v>Small Business</v>
      </c>
      <c r="R432" t="s">
        <v>27</v>
      </c>
      <c r="S432" t="str">
        <f t="shared" si="113"/>
        <v>North</v>
      </c>
      <c r="T432" t="s">
        <v>323</v>
      </c>
      <c r="U432" t="str">
        <f t="shared" si="114"/>
        <v>Haryana</v>
      </c>
      <c r="V432" t="s">
        <v>324</v>
      </c>
      <c r="W432" t="str">
        <f t="shared" si="115"/>
        <v>Gurugram</v>
      </c>
      <c r="X432" t="s">
        <v>30</v>
      </c>
      <c r="Y432" t="str">
        <f t="shared" si="116"/>
        <v>Office Supplies</v>
      </c>
      <c r="Z432" t="s">
        <v>31</v>
      </c>
      <c r="AA432" t="str">
        <f t="shared" si="117"/>
        <v>Paper</v>
      </c>
      <c r="AB432" t="s">
        <v>2127</v>
      </c>
      <c r="AC432" t="s">
        <v>33</v>
      </c>
      <c r="AD432" t="str">
        <f t="shared" si="118"/>
        <v>Second Class</v>
      </c>
      <c r="AE432">
        <v>1</v>
      </c>
      <c r="AF432">
        <v>4320.84</v>
      </c>
      <c r="AG432">
        <v>0.15</v>
      </c>
      <c r="AH432">
        <v>0.15</v>
      </c>
      <c r="AI432" t="str">
        <f t="shared" si="119"/>
        <v>Valid</v>
      </c>
      <c r="AJ432">
        <v>3672.71</v>
      </c>
      <c r="AK432">
        <f t="shared" si="120"/>
        <v>3672.7139999999999</v>
      </c>
      <c r="AL432">
        <v>2714.23</v>
      </c>
      <c r="AM432">
        <v>763.38</v>
      </c>
      <c r="AN432">
        <f t="shared" si="121"/>
        <v>958.48399999999992</v>
      </c>
      <c r="AO432">
        <f t="shared" si="122"/>
        <v>-2714.23</v>
      </c>
      <c r="AP432" t="s">
        <v>34</v>
      </c>
      <c r="AQ432" t="str">
        <f t="shared" si="123"/>
        <v>Paid</v>
      </c>
      <c r="AR432" t="s">
        <v>35</v>
      </c>
      <c r="AS432" t="str">
        <f t="shared" si="124"/>
        <v>Completed</v>
      </c>
      <c r="AT432" t="str">
        <f t="shared" si="125"/>
        <v>Clean</v>
      </c>
    </row>
    <row r="433" spans="1:46">
      <c r="A433" t="s">
        <v>2128</v>
      </c>
      <c r="B433">
        <f>COUNTIF($D$2:D433,D433)</f>
        <v>1</v>
      </c>
      <c r="C433" t="str">
        <f>IF(COUNTIF($A:$A,A433)=1,
"Unique",
IF(COUNTIFS($A:$A,A433,$N:$N,N433,$AF:$AF,AF433,$AJ:$AJ,AJ433)&gt;1,
"Exact Duplicate",
"Conflicting Duplicate"))</f>
        <v>Unique</v>
      </c>
      <c r="D433" t="s">
        <v>2129</v>
      </c>
      <c r="E433" t="s">
        <v>2130</v>
      </c>
      <c r="F433" s="2">
        <v>45567</v>
      </c>
      <c r="G433" s="3">
        <v>45335</v>
      </c>
      <c r="H433" s="5" t="str">
        <f t="shared" si="108"/>
        <v>October</v>
      </c>
      <c r="I433" s="5">
        <f t="shared" si="109"/>
        <v>2024</v>
      </c>
      <c r="J433" t="str">
        <f>IF(F433="","Missing Date",
IF(ISNUMBER(F433),"Valid","Invalid Date"))</f>
        <v>Valid</v>
      </c>
      <c r="K433" t="str">
        <f t="shared" si="110"/>
        <v>Valid</v>
      </c>
      <c r="L433">
        <f>G433-F433</f>
        <v>-232</v>
      </c>
      <c r="M433" t="s">
        <v>2131</v>
      </c>
      <c r="N433" t="s">
        <v>25</v>
      </c>
      <c r="O433" t="str">
        <f t="shared" si="111"/>
        <v>Karan Malhotra</v>
      </c>
      <c r="P433" t="s">
        <v>115</v>
      </c>
      <c r="Q433" t="str">
        <f t="shared" si="112"/>
        <v>Home Office</v>
      </c>
      <c r="R433" t="s">
        <v>73</v>
      </c>
      <c r="S433" t="str">
        <f t="shared" si="113"/>
        <v>West</v>
      </c>
      <c r="T433" t="s">
        <v>249</v>
      </c>
      <c r="U433" t="str">
        <f t="shared" si="114"/>
        <v>Goa</v>
      </c>
      <c r="V433" t="s">
        <v>250</v>
      </c>
      <c r="W433" t="str">
        <f t="shared" si="115"/>
        <v>Panaji</v>
      </c>
      <c r="X433" t="s">
        <v>86</v>
      </c>
      <c r="Y433" t="str">
        <f t="shared" si="116"/>
        <v>Technology</v>
      </c>
      <c r="Z433" t="s">
        <v>382</v>
      </c>
      <c r="AA433" t="str">
        <f t="shared" si="117"/>
        <v>Machines</v>
      </c>
      <c r="AB433" t="s">
        <v>2132</v>
      </c>
      <c r="AC433" t="s">
        <v>48</v>
      </c>
      <c r="AD433" t="str">
        <f t="shared" si="118"/>
        <v>Same Day</v>
      </c>
      <c r="AE433">
        <v>2</v>
      </c>
      <c r="AF433">
        <v>4118.45</v>
      </c>
      <c r="AG433">
        <v>0.25</v>
      </c>
      <c r="AH433">
        <v>0.25</v>
      </c>
      <c r="AI433" t="str">
        <f t="shared" si="119"/>
        <v>Valid</v>
      </c>
      <c r="AJ433">
        <v>6177.67</v>
      </c>
      <c r="AK433">
        <f t="shared" si="120"/>
        <v>6177.6749999999993</v>
      </c>
      <c r="AL433">
        <v>4520.75</v>
      </c>
      <c r="AM433">
        <v>1656.92</v>
      </c>
      <c r="AN433">
        <f t="shared" si="121"/>
        <v>1656.9249999999993</v>
      </c>
      <c r="AO433">
        <f t="shared" si="122"/>
        <v>-4520.75</v>
      </c>
      <c r="AP433" t="s">
        <v>34</v>
      </c>
      <c r="AQ433" t="str">
        <f t="shared" si="123"/>
        <v>Paid</v>
      </c>
      <c r="AR433" t="s">
        <v>35</v>
      </c>
      <c r="AS433" t="str">
        <f t="shared" si="124"/>
        <v>Completed</v>
      </c>
      <c r="AT433" t="str">
        <f t="shared" si="125"/>
        <v>Clean</v>
      </c>
    </row>
    <row r="434" spans="1:46">
      <c r="A434" t="s">
        <v>2133</v>
      </c>
      <c r="B434">
        <f>COUNTIF($D$2:D434,D434)</f>
        <v>1</v>
      </c>
      <c r="C434" t="str">
        <f>IF(COUNTIF($A:$A,A434)=1,
"Unique",
IF(COUNTIFS($A:$A,A434,$N:$N,N434,$AF:$AF,AF434,$AJ:$AJ,AJ434)&gt;1,
"Exact Duplicate",
"Conflicting Duplicate"))</f>
        <v>Unique</v>
      </c>
      <c r="D434" t="s">
        <v>1950</v>
      </c>
      <c r="E434" t="s">
        <v>2125</v>
      </c>
      <c r="F434" s="3">
        <v>45533</v>
      </c>
      <c r="G434" s="3">
        <v>45331</v>
      </c>
      <c r="H434" s="5" t="str">
        <f t="shared" si="108"/>
        <v>August</v>
      </c>
      <c r="I434" s="5">
        <f t="shared" si="109"/>
        <v>2024</v>
      </c>
      <c r="J434" t="str">
        <f>IF(F434="","Missing Date",
IF(ISNUMBER(F434),"Valid","Invalid Date"))</f>
        <v>Valid</v>
      </c>
      <c r="K434" t="str">
        <f t="shared" si="110"/>
        <v>Valid</v>
      </c>
      <c r="L434">
        <f>G434-F434</f>
        <v>-202</v>
      </c>
      <c r="M434" t="s">
        <v>2134</v>
      </c>
      <c r="N434" t="s">
        <v>142</v>
      </c>
      <c r="O434" t="str">
        <f t="shared" si="111"/>
        <v>Priya Menon</v>
      </c>
      <c r="P434" t="s">
        <v>41</v>
      </c>
      <c r="Q434" t="str">
        <f t="shared" si="112"/>
        <v>Small Business</v>
      </c>
      <c r="R434" t="s">
        <v>73</v>
      </c>
      <c r="S434" t="str">
        <f t="shared" si="113"/>
        <v>West</v>
      </c>
      <c r="T434" t="s">
        <v>74</v>
      </c>
      <c r="U434" t="str">
        <f t="shared" si="114"/>
        <v>Maharashtra</v>
      </c>
      <c r="V434" t="s">
        <v>75</v>
      </c>
      <c r="W434" t="str">
        <f t="shared" si="115"/>
        <v>Mumbai</v>
      </c>
      <c r="X434" t="s">
        <v>45</v>
      </c>
      <c r="Y434" t="str">
        <f t="shared" si="116"/>
        <v>Furniture</v>
      </c>
      <c r="Z434" t="s">
        <v>204</v>
      </c>
      <c r="AA434" t="str">
        <f t="shared" si="117"/>
        <v>Bookcases</v>
      </c>
      <c r="AB434" t="s">
        <v>2135</v>
      </c>
      <c r="AC434" t="s">
        <v>67</v>
      </c>
      <c r="AD434" t="str">
        <f t="shared" si="118"/>
        <v>Standard Class</v>
      </c>
      <c r="AE434">
        <v>6</v>
      </c>
      <c r="AF434">
        <v>172.82</v>
      </c>
      <c r="AG434">
        <v>0.05</v>
      </c>
      <c r="AH434">
        <v>0.05</v>
      </c>
      <c r="AI434" t="str">
        <f t="shared" si="119"/>
        <v>Valid</v>
      </c>
      <c r="AJ434">
        <v>985.07</v>
      </c>
      <c r="AK434">
        <f t="shared" si="120"/>
        <v>985.07400000000007</v>
      </c>
      <c r="AL434">
        <v>844.48</v>
      </c>
      <c r="AM434">
        <v>140.59</v>
      </c>
      <c r="AN434">
        <f t="shared" si="121"/>
        <v>140.59400000000005</v>
      </c>
      <c r="AO434">
        <f t="shared" si="122"/>
        <v>-844.48</v>
      </c>
      <c r="AP434" t="s">
        <v>34</v>
      </c>
      <c r="AQ434" t="str">
        <f t="shared" si="123"/>
        <v>Paid</v>
      </c>
      <c r="AR434" t="s">
        <v>35</v>
      </c>
      <c r="AS434" t="str">
        <f t="shared" si="124"/>
        <v>Completed</v>
      </c>
      <c r="AT434" t="str">
        <f t="shared" si="125"/>
        <v>Clean</v>
      </c>
    </row>
    <row r="435" spans="1:46">
      <c r="A435" t="s">
        <v>2136</v>
      </c>
      <c r="B435">
        <f>COUNTIF($D$2:D435,D435)</f>
        <v>1</v>
      </c>
      <c r="C435" t="str">
        <f>IF(COUNTIF($A:$A,A435)=1,
"Unique",
IF(COUNTIFS($A:$A,A435,$N:$N,N435,$AF:$AF,AF435,$AJ:$AJ,AJ435)&gt;1,
"Exact Duplicate",
"Conflicting Duplicate"))</f>
        <v>Unique</v>
      </c>
      <c r="D435" t="s">
        <v>2137</v>
      </c>
      <c r="E435" t="s">
        <v>2138</v>
      </c>
      <c r="F435" s="3">
        <v>45401</v>
      </c>
      <c r="G435" s="3">
        <v>45402</v>
      </c>
      <c r="H435" s="5" t="str">
        <f t="shared" si="108"/>
        <v>April</v>
      </c>
      <c r="I435" s="5">
        <f t="shared" si="109"/>
        <v>2024</v>
      </c>
      <c r="J435" t="str">
        <f>IF(F435="","Missing Date",
IF(ISNUMBER(F435),"Valid","Invalid Date"))</f>
        <v>Valid</v>
      </c>
      <c r="K435" t="str">
        <f t="shared" si="110"/>
        <v>Valid</v>
      </c>
      <c r="L435">
        <f>G435-F435</f>
        <v>1</v>
      </c>
      <c r="M435" t="s">
        <v>2139</v>
      </c>
      <c r="N435" t="s">
        <v>142</v>
      </c>
      <c r="O435" t="str">
        <f t="shared" si="111"/>
        <v>Priya Menon</v>
      </c>
      <c r="P435" t="s">
        <v>108</v>
      </c>
      <c r="Q435" t="str">
        <f t="shared" si="112"/>
        <v>Corporate</v>
      </c>
      <c r="R435" t="s">
        <v>62</v>
      </c>
      <c r="S435" t="str">
        <f t="shared" si="113"/>
        <v>South</v>
      </c>
      <c r="T435" t="s">
        <v>242</v>
      </c>
      <c r="U435" t="str">
        <f t="shared" si="114"/>
        <v>Kerala</v>
      </c>
      <c r="V435" t="s">
        <v>243</v>
      </c>
      <c r="W435" t="str">
        <f t="shared" si="115"/>
        <v>Kochi</v>
      </c>
      <c r="X435" t="s">
        <v>30</v>
      </c>
      <c r="Y435" t="str">
        <f t="shared" si="116"/>
        <v>Office Supplies</v>
      </c>
      <c r="Z435" t="s">
        <v>54</v>
      </c>
      <c r="AA435" t="str">
        <f t="shared" si="117"/>
        <v>Art</v>
      </c>
      <c r="AB435" t="s">
        <v>2140</v>
      </c>
      <c r="AC435" t="s">
        <v>33</v>
      </c>
      <c r="AD435" t="str">
        <f t="shared" si="118"/>
        <v>Second Class</v>
      </c>
      <c r="AE435">
        <v>4</v>
      </c>
      <c r="AF435">
        <v>1540.22</v>
      </c>
      <c r="AG435">
        <v>0</v>
      </c>
      <c r="AH435">
        <v>0</v>
      </c>
      <c r="AI435" t="str">
        <f t="shared" si="119"/>
        <v>Valid</v>
      </c>
      <c r="AJ435">
        <v>6160.88</v>
      </c>
      <c r="AK435">
        <f t="shared" si="120"/>
        <v>6160.88</v>
      </c>
      <c r="AL435">
        <v>4938.7</v>
      </c>
      <c r="AM435">
        <v>1222.18</v>
      </c>
      <c r="AN435">
        <f t="shared" si="121"/>
        <v>1222.1800000000003</v>
      </c>
      <c r="AO435">
        <f t="shared" si="122"/>
        <v>-4938.7</v>
      </c>
      <c r="AP435" t="s">
        <v>124</v>
      </c>
      <c r="AQ435" t="str">
        <f t="shared" si="123"/>
        <v>Refunded</v>
      </c>
      <c r="AR435" t="s">
        <v>125</v>
      </c>
      <c r="AS435" t="str">
        <f t="shared" si="124"/>
        <v>Returned</v>
      </c>
      <c r="AT435" t="str">
        <f t="shared" si="125"/>
        <v>Clean</v>
      </c>
    </row>
    <row r="436" spans="1:46">
      <c r="A436" t="s">
        <v>2141</v>
      </c>
      <c r="B436">
        <f>COUNTIF($D$2:D436,D436)</f>
        <v>1</v>
      </c>
      <c r="C436" t="str">
        <f>IF(COUNTIF($A:$A,A436)=1,
"Unique",
IF(COUNTIFS($A:$A,A436,$N:$N,N436,$AF:$AF,AF436,$AJ:$AJ,AJ436)&gt;1,
"Exact Duplicate",
"Conflicting Duplicate"))</f>
        <v>Unique</v>
      </c>
      <c r="D436" t="s">
        <v>2142</v>
      </c>
      <c r="E436" t="s">
        <v>2143</v>
      </c>
      <c r="F436" s="3">
        <v>45758</v>
      </c>
      <c r="G436" s="3">
        <v>45762</v>
      </c>
      <c r="H436" s="5" t="str">
        <f t="shared" si="108"/>
        <v>April</v>
      </c>
      <c r="I436" s="5">
        <f t="shared" si="109"/>
        <v>2025</v>
      </c>
      <c r="J436" t="str">
        <f>IF(F436="","Missing Date",
IF(ISNUMBER(F436),"Valid","Invalid Date"))</f>
        <v>Valid</v>
      </c>
      <c r="K436" t="str">
        <f t="shared" si="110"/>
        <v>Valid</v>
      </c>
      <c r="L436">
        <f>G436-F436</f>
        <v>4</v>
      </c>
      <c r="M436" t="s">
        <v>2144</v>
      </c>
      <c r="N436" t="s">
        <v>40</v>
      </c>
      <c r="O436" t="str">
        <f t="shared" si="111"/>
        <v>Mira Das</v>
      </c>
      <c r="P436" t="s">
        <v>115</v>
      </c>
      <c r="Q436" t="str">
        <f t="shared" si="112"/>
        <v>Home Office</v>
      </c>
      <c r="R436" t="s">
        <v>27</v>
      </c>
      <c r="S436" t="str">
        <f t="shared" si="113"/>
        <v>North</v>
      </c>
      <c r="T436" t="s">
        <v>174</v>
      </c>
      <c r="U436" t="str">
        <f t="shared" si="114"/>
        <v>Uttar Pradesh</v>
      </c>
      <c r="V436" t="s">
        <v>175</v>
      </c>
      <c r="W436" t="str">
        <f t="shared" si="115"/>
        <v>Noida</v>
      </c>
      <c r="X436" t="s">
        <v>86</v>
      </c>
      <c r="Y436" t="str">
        <f t="shared" si="116"/>
        <v>Technology</v>
      </c>
      <c r="Z436" t="s">
        <v>87</v>
      </c>
      <c r="AA436" t="str">
        <f t="shared" si="117"/>
        <v>Accessories</v>
      </c>
      <c r="AB436" t="s">
        <v>2145</v>
      </c>
      <c r="AC436" t="s">
        <v>33</v>
      </c>
      <c r="AD436" t="str">
        <f t="shared" si="118"/>
        <v>Second Class</v>
      </c>
      <c r="AE436">
        <v>5</v>
      </c>
      <c r="AF436">
        <v>652.78</v>
      </c>
      <c r="AG436">
        <v>0</v>
      </c>
      <c r="AH436">
        <v>0</v>
      </c>
      <c r="AI436" t="str">
        <f t="shared" si="119"/>
        <v>Valid</v>
      </c>
      <c r="AJ436">
        <v>3263.9</v>
      </c>
      <c r="AK436">
        <f t="shared" si="120"/>
        <v>3263.8999999999996</v>
      </c>
      <c r="AL436">
        <v>2068.44</v>
      </c>
      <c r="AM436">
        <v>1195.46</v>
      </c>
      <c r="AN436">
        <f t="shared" si="121"/>
        <v>1195.4599999999996</v>
      </c>
      <c r="AO436">
        <f t="shared" si="122"/>
        <v>-2068.44</v>
      </c>
      <c r="AP436" t="s">
        <v>34</v>
      </c>
      <c r="AQ436" t="str">
        <f t="shared" si="123"/>
        <v>Paid</v>
      </c>
      <c r="AR436" t="s">
        <v>35</v>
      </c>
      <c r="AS436" t="str">
        <f t="shared" si="124"/>
        <v>Completed</v>
      </c>
      <c r="AT436" t="str">
        <f t="shared" si="125"/>
        <v>Clean</v>
      </c>
    </row>
    <row r="437" spans="1:46">
      <c r="A437" t="s">
        <v>2146</v>
      </c>
      <c r="B437">
        <f>COUNTIF($D$2:D437,D437)</f>
        <v>1</v>
      </c>
      <c r="C437" t="str">
        <f>IF(COUNTIF($A:$A,A437)=1,
"Unique",
IF(COUNTIFS($A:$A,A437,$N:$N,N437,$AF:$AF,AF437,$AJ:$AJ,AJ437)&gt;1,
"Exact Duplicate",
"Conflicting Duplicate"))</f>
        <v>Unique</v>
      </c>
      <c r="D437" t="s">
        <v>2147</v>
      </c>
      <c r="E437" t="s">
        <v>1028</v>
      </c>
      <c r="F437" s="3">
        <v>45995</v>
      </c>
      <c r="G437" s="3">
        <v>45767</v>
      </c>
      <c r="H437" s="5" t="str">
        <f t="shared" si="108"/>
        <v>December</v>
      </c>
      <c r="I437" s="5">
        <f t="shared" si="109"/>
        <v>2025</v>
      </c>
      <c r="J437" t="str">
        <f>IF(F437="","Missing Date",
IF(ISNUMBER(F437),"Valid","Invalid Date"))</f>
        <v>Valid</v>
      </c>
      <c r="K437" t="str">
        <f t="shared" si="110"/>
        <v>Valid</v>
      </c>
      <c r="L437">
        <f>G437-F437</f>
        <v>-228</v>
      </c>
      <c r="M437" t="s">
        <v>2148</v>
      </c>
      <c r="N437" t="s">
        <v>366</v>
      </c>
      <c r="O437" t="str">
        <f t="shared" si="111"/>
        <v>Kabir Singh</v>
      </c>
      <c r="P437" t="s">
        <v>115</v>
      </c>
      <c r="Q437" t="str">
        <f t="shared" si="112"/>
        <v>Home Office</v>
      </c>
      <c r="R437" t="s">
        <v>27</v>
      </c>
      <c r="S437" t="str">
        <f t="shared" si="113"/>
        <v>North</v>
      </c>
      <c r="T437" t="s">
        <v>506</v>
      </c>
      <c r="U437" t="str">
        <f t="shared" si="114"/>
        <v>Delhi</v>
      </c>
      <c r="V437" t="s">
        <v>507</v>
      </c>
      <c r="W437" t="str">
        <f t="shared" si="115"/>
        <v>New Delhi</v>
      </c>
      <c r="X437" t="s">
        <v>86</v>
      </c>
      <c r="Y437" t="str">
        <f t="shared" si="116"/>
        <v>Technology</v>
      </c>
      <c r="Z437" t="s">
        <v>382</v>
      </c>
      <c r="AA437" t="str">
        <f t="shared" si="117"/>
        <v>Machines</v>
      </c>
      <c r="AB437" t="s">
        <v>2149</v>
      </c>
      <c r="AC437" t="s">
        <v>67</v>
      </c>
      <c r="AD437" t="str">
        <f t="shared" si="118"/>
        <v>Standard Class</v>
      </c>
      <c r="AE437">
        <v>1</v>
      </c>
      <c r="AF437">
        <v>2737.71</v>
      </c>
      <c r="AG437">
        <v>0.15</v>
      </c>
      <c r="AH437">
        <v>0.15</v>
      </c>
      <c r="AI437" t="str">
        <f t="shared" si="119"/>
        <v>Valid</v>
      </c>
      <c r="AJ437">
        <v>2327.0500000000002</v>
      </c>
      <c r="AK437">
        <f t="shared" si="120"/>
        <v>2327.0535</v>
      </c>
      <c r="AL437">
        <v>1919.42</v>
      </c>
      <c r="AM437">
        <v>407.63</v>
      </c>
      <c r="AN437">
        <f t="shared" si="121"/>
        <v>407.63349999999991</v>
      </c>
      <c r="AO437">
        <f t="shared" si="122"/>
        <v>-1919.42</v>
      </c>
      <c r="AP437" t="s">
        <v>34</v>
      </c>
      <c r="AQ437" t="str">
        <f t="shared" si="123"/>
        <v>Paid</v>
      </c>
      <c r="AR437" t="s">
        <v>78</v>
      </c>
      <c r="AS437" t="str">
        <f t="shared" si="124"/>
        <v>Cancelled</v>
      </c>
      <c r="AT437" t="str">
        <f t="shared" si="125"/>
        <v>Clean</v>
      </c>
    </row>
    <row r="438" spans="1:46">
      <c r="A438" t="s">
        <v>2150</v>
      </c>
      <c r="B438">
        <f>COUNTIF($D$2:D438,D438)</f>
        <v>1</v>
      </c>
      <c r="C438" t="str">
        <f>IF(COUNTIF($A:$A,A438)=1,
"Unique",
IF(COUNTIFS($A:$A,A438,$N:$N,N438,$AF:$AF,AF438,$AJ:$AJ,AJ438)&gt;1,
"Exact Duplicate",
"Conflicting Duplicate"))</f>
        <v>Unique</v>
      </c>
      <c r="D438" t="s">
        <v>2151</v>
      </c>
      <c r="E438" t="s">
        <v>2152</v>
      </c>
      <c r="F438" s="2">
        <v>45459</v>
      </c>
      <c r="G438" s="2">
        <v>45464</v>
      </c>
      <c r="H438" s="5" t="str">
        <f t="shared" si="108"/>
        <v>June</v>
      </c>
      <c r="I438" s="5">
        <f t="shared" si="109"/>
        <v>2024</v>
      </c>
      <c r="J438" t="str">
        <f>IF(F438="","Missing Date",
IF(ISNUMBER(F438),"Valid","Invalid Date"))</f>
        <v>Valid</v>
      </c>
      <c r="K438" t="str">
        <f t="shared" si="110"/>
        <v>Valid</v>
      </c>
      <c r="L438">
        <f>G438-F438</f>
        <v>5</v>
      </c>
      <c r="M438" t="s">
        <v>2153</v>
      </c>
      <c r="N438" t="s">
        <v>93</v>
      </c>
      <c r="O438" t="str">
        <f t="shared" si="111"/>
        <v>Neha Gupta</v>
      </c>
      <c r="P438" t="s">
        <v>26</v>
      </c>
      <c r="Q438" t="str">
        <f t="shared" si="112"/>
        <v>Consumer</v>
      </c>
      <c r="R438" t="s">
        <v>62</v>
      </c>
      <c r="S438" t="str">
        <f t="shared" si="113"/>
        <v>South</v>
      </c>
      <c r="T438" t="s">
        <v>242</v>
      </c>
      <c r="U438" t="str">
        <f t="shared" si="114"/>
        <v>Kerala</v>
      </c>
      <c r="V438" t="s">
        <v>243</v>
      </c>
      <c r="W438" t="str">
        <f t="shared" si="115"/>
        <v>Kochi</v>
      </c>
      <c r="X438" t="s">
        <v>45</v>
      </c>
      <c r="Y438" t="str">
        <f t="shared" si="116"/>
        <v>Furniture</v>
      </c>
      <c r="Z438" t="s">
        <v>65</v>
      </c>
      <c r="AA438" t="str">
        <f t="shared" si="117"/>
        <v>Furnishings</v>
      </c>
      <c r="AB438" t="s">
        <v>2154</v>
      </c>
      <c r="AC438" t="s">
        <v>48</v>
      </c>
      <c r="AD438" t="str">
        <f t="shared" si="118"/>
        <v>Same Day</v>
      </c>
      <c r="AE438">
        <v>6</v>
      </c>
      <c r="AF438">
        <v>1156.78</v>
      </c>
      <c r="AG438">
        <v>0.05</v>
      </c>
      <c r="AH438">
        <v>0.05</v>
      </c>
      <c r="AI438" t="str">
        <f t="shared" si="119"/>
        <v>Valid</v>
      </c>
      <c r="AJ438">
        <v>6593.65</v>
      </c>
      <c r="AK438">
        <f t="shared" si="120"/>
        <v>6593.6459999999997</v>
      </c>
      <c r="AL438">
        <v>4359.3900000000003</v>
      </c>
      <c r="AM438">
        <v>2234.2600000000002</v>
      </c>
      <c r="AN438">
        <f t="shared" si="121"/>
        <v>2234.2559999999994</v>
      </c>
      <c r="AO438">
        <f t="shared" si="122"/>
        <v>-4359.3900000000003</v>
      </c>
      <c r="AP438" t="s">
        <v>34</v>
      </c>
      <c r="AQ438" t="str">
        <f t="shared" si="123"/>
        <v>Paid</v>
      </c>
      <c r="AR438" t="s">
        <v>125</v>
      </c>
      <c r="AS438" t="str">
        <f t="shared" si="124"/>
        <v>Returned</v>
      </c>
      <c r="AT438" t="str">
        <f t="shared" si="125"/>
        <v>Clean</v>
      </c>
    </row>
    <row r="439" spans="1:46">
      <c r="A439" t="s">
        <v>2155</v>
      </c>
      <c r="B439">
        <f>COUNTIF($D$2:D439,D439)</f>
        <v>3</v>
      </c>
      <c r="C439" t="str">
        <f>IF(COUNTIF($A:$A,A439)=1,
"Unique",
IF(COUNTIFS($A:$A,A439,$N:$N,N439,$AF:$AF,AF439,$AJ:$AJ,AJ439)&gt;1,
"Exact Duplicate",
"Conflicting Duplicate"))</f>
        <v>Unique</v>
      </c>
      <c r="D439" t="s">
        <v>2156</v>
      </c>
      <c r="E439" t="s">
        <v>2157</v>
      </c>
      <c r="F439" s="3">
        <v>45337</v>
      </c>
      <c r="G439" s="3">
        <v>45340</v>
      </c>
      <c r="H439" s="5" t="str">
        <f t="shared" si="108"/>
        <v>February</v>
      </c>
      <c r="I439" s="5">
        <f t="shared" si="109"/>
        <v>2024</v>
      </c>
      <c r="J439" t="str">
        <f>IF(F439="","Missing Date",
IF(ISNUMBER(F439),"Valid","Invalid Date"))</f>
        <v>Valid</v>
      </c>
      <c r="K439" t="str">
        <f t="shared" si="110"/>
        <v>Valid</v>
      </c>
      <c r="L439">
        <f>G439-F439</f>
        <v>3</v>
      </c>
      <c r="M439" t="s">
        <v>2158</v>
      </c>
      <c r="N439" t="s">
        <v>107</v>
      </c>
      <c r="O439" t="str">
        <f t="shared" si="111"/>
        <v>Aditi Sen</v>
      </c>
      <c r="P439" t="s">
        <v>41</v>
      </c>
      <c r="Q439" t="str">
        <f t="shared" si="112"/>
        <v>Small Business</v>
      </c>
      <c r="R439" t="s">
        <v>62</v>
      </c>
      <c r="S439" t="str">
        <f t="shared" si="113"/>
        <v>South</v>
      </c>
      <c r="T439" t="s">
        <v>242</v>
      </c>
      <c r="U439" t="str">
        <f t="shared" si="114"/>
        <v>Kerala</v>
      </c>
      <c r="V439" t="s">
        <v>243</v>
      </c>
      <c r="W439" t="str">
        <f t="shared" si="115"/>
        <v>Kochi</v>
      </c>
      <c r="X439" t="s">
        <v>86</v>
      </c>
      <c r="Y439" t="str">
        <f t="shared" si="116"/>
        <v>Technology</v>
      </c>
      <c r="Z439" t="s">
        <v>87</v>
      </c>
      <c r="AA439" t="str">
        <f t="shared" si="117"/>
        <v>Accessories</v>
      </c>
      <c r="AB439" t="s">
        <v>2159</v>
      </c>
      <c r="AC439" t="s">
        <v>48</v>
      </c>
      <c r="AD439" t="str">
        <f t="shared" si="118"/>
        <v>Same Day</v>
      </c>
      <c r="AE439">
        <v>8</v>
      </c>
      <c r="AF439">
        <v>379.82</v>
      </c>
      <c r="AG439">
        <v>0.05</v>
      </c>
      <c r="AH439">
        <v>0.05</v>
      </c>
      <c r="AI439" t="str">
        <f t="shared" si="119"/>
        <v>Valid</v>
      </c>
      <c r="AJ439">
        <v>2886.63</v>
      </c>
      <c r="AK439">
        <f t="shared" si="120"/>
        <v>2886.6319999999996</v>
      </c>
      <c r="AL439">
        <v>1588.23</v>
      </c>
      <c r="AM439">
        <v>1298.4000000000001</v>
      </c>
      <c r="AN439">
        <f t="shared" si="121"/>
        <v>1298.4019999999996</v>
      </c>
      <c r="AO439">
        <f t="shared" si="122"/>
        <v>-1588.23</v>
      </c>
      <c r="AP439" t="s">
        <v>200</v>
      </c>
      <c r="AQ439" t="str">
        <f t="shared" si="123"/>
        <v>Failed</v>
      </c>
      <c r="AR439" t="s">
        <v>125</v>
      </c>
      <c r="AS439" t="str">
        <f t="shared" si="124"/>
        <v>Returned</v>
      </c>
      <c r="AT439" t="str">
        <f t="shared" si="125"/>
        <v>Clean</v>
      </c>
    </row>
    <row r="440" spans="1:46">
      <c r="A440" t="s">
        <v>2160</v>
      </c>
      <c r="B440">
        <f>COUNTIF($D$2:D440,D440)</f>
        <v>1</v>
      </c>
      <c r="C440" t="str">
        <f>IF(COUNTIF($A:$A,A440)=1,
"Unique",
IF(COUNTIFS($A:$A,A440,$N:$N,N440,$AF:$AF,AF440,$AJ:$AJ,AJ440)&gt;1,
"Exact Duplicate",
"Conflicting Duplicate"))</f>
        <v>Unique</v>
      </c>
      <c r="D440" t="s">
        <v>1023</v>
      </c>
      <c r="E440" t="s">
        <v>2161</v>
      </c>
      <c r="F440" s="2">
        <v>45843</v>
      </c>
      <c r="G440" s="3">
        <v>45782</v>
      </c>
      <c r="H440" s="5" t="str">
        <f t="shared" si="108"/>
        <v>July</v>
      </c>
      <c r="I440" s="5">
        <f t="shared" si="109"/>
        <v>2025</v>
      </c>
      <c r="J440" t="str">
        <f>IF(F440="","Missing Date",
IF(ISNUMBER(F440),"Valid","Invalid Date"))</f>
        <v>Valid</v>
      </c>
      <c r="K440" t="str">
        <f t="shared" si="110"/>
        <v>Valid</v>
      </c>
      <c r="L440">
        <f>G440-F440</f>
        <v>-61</v>
      </c>
      <c r="M440" t="s">
        <v>2162</v>
      </c>
      <c r="N440" t="s">
        <v>93</v>
      </c>
      <c r="O440" t="str">
        <f t="shared" si="111"/>
        <v>Neha Gupta</v>
      </c>
      <c r="P440" t="s">
        <v>108</v>
      </c>
      <c r="Q440" t="str">
        <f t="shared" si="112"/>
        <v>Corporate</v>
      </c>
      <c r="R440" t="s">
        <v>42</v>
      </c>
      <c r="S440" t="str">
        <f t="shared" si="113"/>
        <v>East</v>
      </c>
      <c r="T440" t="s">
        <v>311</v>
      </c>
      <c r="U440" t="str">
        <f t="shared" si="114"/>
        <v>Jharkhand</v>
      </c>
      <c r="V440" t="s">
        <v>312</v>
      </c>
      <c r="W440" t="str">
        <f t="shared" si="115"/>
        <v>Ranchi</v>
      </c>
      <c r="X440" t="s">
        <v>86</v>
      </c>
      <c r="Y440" t="str">
        <f t="shared" si="116"/>
        <v>Technology</v>
      </c>
      <c r="Z440" t="s">
        <v>223</v>
      </c>
      <c r="AA440" t="str">
        <f t="shared" si="117"/>
        <v>Phones</v>
      </c>
      <c r="AB440" t="s">
        <v>2163</v>
      </c>
      <c r="AC440" t="s">
        <v>67</v>
      </c>
      <c r="AD440" t="str">
        <f t="shared" si="118"/>
        <v>Standard Class</v>
      </c>
      <c r="AE440">
        <v>1</v>
      </c>
      <c r="AF440">
        <v>2266.4699999999998</v>
      </c>
      <c r="AG440">
        <v>0.2</v>
      </c>
      <c r="AH440">
        <v>0.2</v>
      </c>
      <c r="AI440" t="str">
        <f t="shared" si="119"/>
        <v>Valid</v>
      </c>
      <c r="AJ440">
        <v>1813.18</v>
      </c>
      <c r="AK440">
        <f t="shared" si="120"/>
        <v>1813.1759999999999</v>
      </c>
      <c r="AL440">
        <v>1363.64</v>
      </c>
      <c r="AM440">
        <v>449.54</v>
      </c>
      <c r="AN440">
        <f t="shared" si="121"/>
        <v>449.53599999999983</v>
      </c>
      <c r="AO440">
        <f t="shared" si="122"/>
        <v>-1363.64</v>
      </c>
      <c r="AP440" t="s">
        <v>34</v>
      </c>
      <c r="AQ440" t="str">
        <f t="shared" si="123"/>
        <v>Paid</v>
      </c>
      <c r="AR440" t="s">
        <v>35</v>
      </c>
      <c r="AS440" t="str">
        <f t="shared" si="124"/>
        <v>Completed</v>
      </c>
      <c r="AT440" t="str">
        <f t="shared" si="125"/>
        <v>Clean</v>
      </c>
    </row>
    <row r="441" spans="1:46">
      <c r="A441" t="s">
        <v>2164</v>
      </c>
      <c r="B441">
        <f>COUNTIF($D$2:D441,D441)</f>
        <v>1</v>
      </c>
      <c r="C441" t="str">
        <f>IF(COUNTIF($A:$A,A441)=1,
"Unique",
IF(COUNTIFS($A:$A,A441,$N:$N,N441,$AF:$AF,AF441,$AJ:$AJ,AJ441)&gt;1,
"Exact Duplicate",
"Conflicting Duplicate"))</f>
        <v>Unique</v>
      </c>
      <c r="D441" t="s">
        <v>2165</v>
      </c>
      <c r="E441" t="s">
        <v>2166</v>
      </c>
      <c r="F441" s="3">
        <v>45838</v>
      </c>
      <c r="G441" s="2">
        <v>45723</v>
      </c>
      <c r="H441" s="5" t="str">
        <f t="shared" si="108"/>
        <v>June</v>
      </c>
      <c r="I441" s="5">
        <f t="shared" si="109"/>
        <v>2025</v>
      </c>
      <c r="J441" t="str">
        <f>IF(F441="","Missing Date",
IF(ISNUMBER(F441),"Valid","Invalid Date"))</f>
        <v>Valid</v>
      </c>
      <c r="K441" t="str">
        <f t="shared" si="110"/>
        <v>Valid</v>
      </c>
      <c r="L441">
        <f>G441-F441</f>
        <v>-115</v>
      </c>
      <c r="M441" t="s">
        <v>2167</v>
      </c>
      <c r="N441" t="s">
        <v>162</v>
      </c>
      <c r="O441" t="str">
        <f t="shared" si="111"/>
        <v>Aarav Sharma</v>
      </c>
      <c r="P441" t="s">
        <v>115</v>
      </c>
      <c r="Q441" t="str">
        <f t="shared" si="112"/>
        <v>Home Office</v>
      </c>
      <c r="R441" t="s">
        <v>73</v>
      </c>
      <c r="S441" t="str">
        <f t="shared" si="113"/>
        <v>West</v>
      </c>
      <c r="T441" t="s">
        <v>249</v>
      </c>
      <c r="U441" t="str">
        <f t="shared" si="114"/>
        <v>Goa</v>
      </c>
      <c r="V441" t="s">
        <v>250</v>
      </c>
      <c r="W441" t="str">
        <f t="shared" si="115"/>
        <v>Panaji</v>
      </c>
      <c r="X441" t="s">
        <v>30</v>
      </c>
      <c r="Y441" t="str">
        <f t="shared" si="116"/>
        <v>Office Supplies</v>
      </c>
      <c r="Z441" t="s">
        <v>156</v>
      </c>
      <c r="AA441" t="str">
        <f t="shared" si="117"/>
        <v>Storage</v>
      </c>
      <c r="AB441" t="s">
        <v>2168</v>
      </c>
      <c r="AC441" t="s">
        <v>48</v>
      </c>
      <c r="AD441" t="str">
        <f t="shared" si="118"/>
        <v>Same Day</v>
      </c>
      <c r="AE441">
        <v>5</v>
      </c>
      <c r="AF441">
        <v>665.25</v>
      </c>
      <c r="AG441">
        <v>0</v>
      </c>
      <c r="AH441">
        <v>0</v>
      </c>
      <c r="AI441" t="str">
        <f t="shared" si="119"/>
        <v>Valid</v>
      </c>
      <c r="AJ441">
        <v>3326.25</v>
      </c>
      <c r="AK441">
        <f t="shared" si="120"/>
        <v>3326.25</v>
      </c>
      <c r="AL441">
        <v>2689.36</v>
      </c>
      <c r="AM441">
        <v>636.89</v>
      </c>
      <c r="AN441">
        <f t="shared" si="121"/>
        <v>636.88999999999987</v>
      </c>
      <c r="AO441">
        <f t="shared" si="122"/>
        <v>-2689.36</v>
      </c>
      <c r="AP441" t="s">
        <v>124</v>
      </c>
      <c r="AQ441" t="str">
        <f t="shared" si="123"/>
        <v>Refunded</v>
      </c>
      <c r="AR441" t="s">
        <v>125</v>
      </c>
      <c r="AS441" t="str">
        <f t="shared" si="124"/>
        <v>Returned</v>
      </c>
      <c r="AT441" t="str">
        <f t="shared" si="125"/>
        <v>Clean</v>
      </c>
    </row>
    <row r="442" spans="1:46">
      <c r="A442" t="s">
        <v>2169</v>
      </c>
      <c r="B442">
        <f>COUNTIF($D$2:D442,D442)</f>
        <v>1</v>
      </c>
      <c r="C442" t="str">
        <f>IF(COUNTIF($A:$A,A442)=1,
"Unique",
IF(COUNTIFS($A:$A,A442,$N:$N,N442,$AF:$AF,AF442,$AJ:$AJ,AJ442)&gt;1,
"Exact Duplicate",
"Conflicting Duplicate"))</f>
        <v>Unique</v>
      </c>
      <c r="D442" t="s">
        <v>2170</v>
      </c>
      <c r="E442" t="s">
        <v>2171</v>
      </c>
      <c r="F442" s="3">
        <v>45384</v>
      </c>
      <c r="G442" s="3">
        <v>45390</v>
      </c>
      <c r="H442" s="5" t="str">
        <f t="shared" si="108"/>
        <v>April</v>
      </c>
      <c r="I442" s="5">
        <f t="shared" si="109"/>
        <v>2024</v>
      </c>
      <c r="J442" t="str">
        <f>IF(F442="","Missing Date",
IF(ISNUMBER(F442),"Valid","Invalid Date"))</f>
        <v>Valid</v>
      </c>
      <c r="K442" t="str">
        <f t="shared" si="110"/>
        <v>Valid</v>
      </c>
      <c r="L442">
        <f>G442-F442</f>
        <v>6</v>
      </c>
      <c r="M442" t="s">
        <v>376</v>
      </c>
      <c r="N442" t="s">
        <v>83</v>
      </c>
      <c r="O442" t="str">
        <f t="shared" si="111"/>
        <v>Vikram Iyer</v>
      </c>
      <c r="P442" t="s">
        <v>108</v>
      </c>
      <c r="Q442" t="str">
        <f t="shared" si="112"/>
        <v>Corporate</v>
      </c>
      <c r="R442" t="s">
        <v>42</v>
      </c>
      <c r="S442" t="str">
        <f t="shared" si="113"/>
        <v>East</v>
      </c>
      <c r="T442" t="s">
        <v>43</v>
      </c>
      <c r="U442" t="str">
        <f t="shared" si="114"/>
        <v>Odisha</v>
      </c>
      <c r="V442" t="s">
        <v>44</v>
      </c>
      <c r="W442" t="str">
        <f t="shared" si="115"/>
        <v>Bhubaneswar</v>
      </c>
      <c r="X442" t="s">
        <v>86</v>
      </c>
      <c r="Y442" t="str">
        <f t="shared" si="116"/>
        <v>Technology</v>
      </c>
      <c r="Z442" t="s">
        <v>382</v>
      </c>
      <c r="AA442" t="str">
        <f t="shared" si="117"/>
        <v>Machines</v>
      </c>
      <c r="AB442" t="s">
        <v>2172</v>
      </c>
      <c r="AC442" t="s">
        <v>33</v>
      </c>
      <c r="AD442" t="str">
        <f t="shared" si="118"/>
        <v>Second Class</v>
      </c>
      <c r="AE442">
        <v>6</v>
      </c>
      <c r="AF442">
        <v>3722.84</v>
      </c>
      <c r="AG442">
        <v>0.2</v>
      </c>
      <c r="AH442">
        <v>0.2</v>
      </c>
      <c r="AI442" t="str">
        <f t="shared" si="119"/>
        <v>Valid</v>
      </c>
      <c r="AJ442">
        <v>17869.63</v>
      </c>
      <c r="AK442">
        <f t="shared" si="120"/>
        <v>17869.632000000001</v>
      </c>
      <c r="AL442">
        <v>12163.8</v>
      </c>
      <c r="AM442">
        <v>5705.83</v>
      </c>
      <c r="AN442">
        <f t="shared" si="121"/>
        <v>5705.8320000000022</v>
      </c>
      <c r="AO442">
        <f t="shared" si="122"/>
        <v>-12163.8</v>
      </c>
      <c r="AP442" t="s">
        <v>34</v>
      </c>
      <c r="AQ442" t="str">
        <f t="shared" si="123"/>
        <v>Paid</v>
      </c>
      <c r="AR442" t="s">
        <v>35</v>
      </c>
      <c r="AS442" t="str">
        <f t="shared" si="124"/>
        <v>Completed</v>
      </c>
      <c r="AT442" t="str">
        <f t="shared" si="125"/>
        <v>Clean</v>
      </c>
    </row>
    <row r="443" spans="1:46">
      <c r="A443" t="s">
        <v>2173</v>
      </c>
      <c r="B443">
        <f>COUNTIF($D$2:D443,D443)</f>
        <v>1</v>
      </c>
      <c r="C443" t="str">
        <f>IF(COUNTIF($A:$A,A443)=1,
"Unique",
IF(COUNTIFS($A:$A,A443,$N:$N,N443,$AF:$AF,AF443,$AJ:$AJ,AJ443)&gt;1,
"Exact Duplicate",
"Conflicting Duplicate"))</f>
        <v>Unique</v>
      </c>
      <c r="D443" t="s">
        <v>2174</v>
      </c>
      <c r="E443" t="s">
        <v>525</v>
      </c>
      <c r="F443" s="3">
        <v>45361</v>
      </c>
      <c r="G443" s="3">
        <v>45361</v>
      </c>
      <c r="H443" s="5" t="str">
        <f t="shared" si="108"/>
        <v>March</v>
      </c>
      <c r="I443" s="5">
        <f t="shared" si="109"/>
        <v>2024</v>
      </c>
      <c r="J443" t="str">
        <f>IF(F443="","Missing Date",
IF(ISNUMBER(F443),"Valid","Invalid Date"))</f>
        <v>Valid</v>
      </c>
      <c r="K443" t="str">
        <f t="shared" si="110"/>
        <v>Valid</v>
      </c>
      <c r="L443">
        <f>G443-F443</f>
        <v>0</v>
      </c>
      <c r="M443" t="s">
        <v>2175</v>
      </c>
      <c r="N443" t="s">
        <v>25</v>
      </c>
      <c r="O443" t="str">
        <f t="shared" si="111"/>
        <v>Karan Malhotra</v>
      </c>
      <c r="P443" t="s">
        <v>26</v>
      </c>
      <c r="Q443" t="str">
        <f t="shared" si="112"/>
        <v>Consumer</v>
      </c>
      <c r="R443" t="s">
        <v>42</v>
      </c>
      <c r="S443" t="str">
        <f t="shared" si="113"/>
        <v>East</v>
      </c>
      <c r="T443" t="s">
        <v>186</v>
      </c>
      <c r="U443" t="str">
        <f t="shared" si="114"/>
        <v>Bihar</v>
      </c>
      <c r="V443" t="s">
        <v>187</v>
      </c>
      <c r="W443" t="str">
        <f t="shared" si="115"/>
        <v>Patna</v>
      </c>
      <c r="X443" t="s">
        <v>45</v>
      </c>
      <c r="Y443" t="str">
        <f t="shared" si="116"/>
        <v>Furniture</v>
      </c>
      <c r="Z443" t="s">
        <v>204</v>
      </c>
      <c r="AA443" t="str">
        <f t="shared" si="117"/>
        <v>Bookcases</v>
      </c>
      <c r="AB443" t="s">
        <v>2176</v>
      </c>
      <c r="AC443" t="s">
        <v>67</v>
      </c>
      <c r="AD443" t="str">
        <f t="shared" si="118"/>
        <v>Standard Class</v>
      </c>
      <c r="AE443">
        <v>6</v>
      </c>
      <c r="AF443">
        <v>4217.49</v>
      </c>
      <c r="AG443">
        <v>0</v>
      </c>
      <c r="AH443">
        <v>0</v>
      </c>
      <c r="AI443" t="str">
        <f t="shared" si="119"/>
        <v>Valid</v>
      </c>
      <c r="AJ443">
        <v>25304.94</v>
      </c>
      <c r="AK443">
        <f t="shared" si="120"/>
        <v>25304.94</v>
      </c>
      <c r="AL443">
        <v>20771.95</v>
      </c>
      <c r="AM443">
        <v>4532.99</v>
      </c>
      <c r="AN443">
        <f t="shared" si="121"/>
        <v>4532.989999999998</v>
      </c>
      <c r="AO443">
        <f t="shared" si="122"/>
        <v>-20771.95</v>
      </c>
      <c r="AP443" t="s">
        <v>34</v>
      </c>
      <c r="AQ443" t="str">
        <f t="shared" si="123"/>
        <v>Paid</v>
      </c>
      <c r="AR443" t="s">
        <v>78</v>
      </c>
      <c r="AS443" t="str">
        <f t="shared" si="124"/>
        <v>Cancelled</v>
      </c>
      <c r="AT443" t="str">
        <f t="shared" si="125"/>
        <v>Clean</v>
      </c>
    </row>
    <row r="444" spans="1:46">
      <c r="A444" t="s">
        <v>2177</v>
      </c>
      <c r="B444">
        <f>COUNTIF($D$2:D444,D444)</f>
        <v>2</v>
      </c>
      <c r="C444" t="str">
        <f>IF(COUNTIF($A:$A,A444)=1,
"Unique",
IF(COUNTIFS($A:$A,A444,$N:$N,N444,$AF:$AF,AF444,$AJ:$AJ,AJ444)&gt;1,
"Exact Duplicate",
"Conflicting Duplicate"))</f>
        <v>Unique</v>
      </c>
      <c r="D444" t="s">
        <v>2178</v>
      </c>
      <c r="E444" t="s">
        <v>2179</v>
      </c>
      <c r="F444" s="2">
        <v>45992</v>
      </c>
      <c r="G444" s="3">
        <v>45676</v>
      </c>
      <c r="H444" s="5" t="str">
        <f t="shared" si="108"/>
        <v>December</v>
      </c>
      <c r="I444" s="5">
        <f t="shared" si="109"/>
        <v>2025</v>
      </c>
      <c r="J444" t="str">
        <f>IF(F444="","Missing Date",
IF(ISNUMBER(F444),"Valid","Invalid Date"))</f>
        <v>Valid</v>
      </c>
      <c r="K444" t="str">
        <f t="shared" si="110"/>
        <v>Valid</v>
      </c>
      <c r="L444">
        <f>G444-F444</f>
        <v>-316</v>
      </c>
      <c r="M444" t="s">
        <v>2180</v>
      </c>
      <c r="N444" t="s">
        <v>162</v>
      </c>
      <c r="O444" t="str">
        <f t="shared" si="111"/>
        <v>Aarav Sharma</v>
      </c>
      <c r="P444" t="s">
        <v>26</v>
      </c>
      <c r="Q444" t="str">
        <f t="shared" si="112"/>
        <v>Consumer</v>
      </c>
      <c r="R444" t="s">
        <v>42</v>
      </c>
      <c r="S444" t="str">
        <f t="shared" si="113"/>
        <v>East</v>
      </c>
      <c r="T444" t="s">
        <v>311</v>
      </c>
      <c r="U444" t="str">
        <f t="shared" si="114"/>
        <v>Jharkhand</v>
      </c>
      <c r="V444" t="s">
        <v>312</v>
      </c>
      <c r="W444" t="str">
        <f t="shared" si="115"/>
        <v>Ranchi</v>
      </c>
      <c r="X444" t="s">
        <v>45</v>
      </c>
      <c r="Y444" t="str">
        <f t="shared" si="116"/>
        <v>Furniture</v>
      </c>
      <c r="Z444" t="s">
        <v>46</v>
      </c>
      <c r="AA444" t="str">
        <f t="shared" si="117"/>
        <v>Tables</v>
      </c>
      <c r="AB444" t="s">
        <v>2181</v>
      </c>
      <c r="AC444" t="s">
        <v>56</v>
      </c>
      <c r="AD444" t="str">
        <f t="shared" si="118"/>
        <v>First Class</v>
      </c>
      <c r="AE444">
        <v>1</v>
      </c>
      <c r="AF444">
        <v>1842.31</v>
      </c>
      <c r="AG444">
        <v>0</v>
      </c>
      <c r="AH444">
        <v>0</v>
      </c>
      <c r="AI444" t="str">
        <f t="shared" si="119"/>
        <v>Valid</v>
      </c>
      <c r="AJ444">
        <v>1842.31</v>
      </c>
      <c r="AK444">
        <f t="shared" si="120"/>
        <v>1842.31</v>
      </c>
      <c r="AL444">
        <v>1019.17</v>
      </c>
      <c r="AM444">
        <v>823.14</v>
      </c>
      <c r="AN444">
        <f t="shared" si="121"/>
        <v>823.14</v>
      </c>
      <c r="AO444">
        <f t="shared" si="122"/>
        <v>-1019.17</v>
      </c>
      <c r="AP444" t="s">
        <v>34</v>
      </c>
      <c r="AQ444" t="str">
        <f t="shared" si="123"/>
        <v>Paid</v>
      </c>
      <c r="AR444" t="s">
        <v>35</v>
      </c>
      <c r="AS444" t="str">
        <f t="shared" si="124"/>
        <v>Completed</v>
      </c>
      <c r="AT444" t="str">
        <f t="shared" si="125"/>
        <v>Clean</v>
      </c>
    </row>
    <row r="445" spans="1:46">
      <c r="A445" t="s">
        <v>2182</v>
      </c>
      <c r="B445">
        <f>COUNTIF($D$2:D445,D445)</f>
        <v>1</v>
      </c>
      <c r="C445" t="str">
        <f>IF(COUNTIF($A:$A,A445)=1,
"Unique",
IF(COUNTIFS($A:$A,A445,$N:$N,N445,$AF:$AF,AF445,$AJ:$AJ,AJ445)&gt;1,
"Exact Duplicate",
"Conflicting Duplicate"))</f>
        <v>Unique</v>
      </c>
      <c r="D445" t="s">
        <v>2183</v>
      </c>
      <c r="E445" t="s">
        <v>1894</v>
      </c>
      <c r="F445" s="3">
        <v>45386</v>
      </c>
      <c r="G445" s="2">
        <v>45477</v>
      </c>
      <c r="H445" s="5" t="str">
        <f t="shared" si="108"/>
        <v>April</v>
      </c>
      <c r="I445" s="5">
        <f t="shared" si="109"/>
        <v>2024</v>
      </c>
      <c r="J445" t="str">
        <f>IF(F445="","Missing Date",
IF(ISNUMBER(F445),"Valid","Invalid Date"))</f>
        <v>Valid</v>
      </c>
      <c r="K445" t="str">
        <f t="shared" si="110"/>
        <v>Valid</v>
      </c>
      <c r="L445">
        <f>G445-F445</f>
        <v>91</v>
      </c>
      <c r="M445" t="s">
        <v>2184</v>
      </c>
      <c r="N445" t="s">
        <v>180</v>
      </c>
      <c r="O445" t="str">
        <f t="shared" si="111"/>
        <v>Rohan Mehta</v>
      </c>
      <c r="P445" t="s">
        <v>115</v>
      </c>
      <c r="Q445" t="str">
        <f t="shared" si="112"/>
        <v>Home Office</v>
      </c>
      <c r="R445" t="s">
        <v>42</v>
      </c>
      <c r="S445" t="str">
        <f t="shared" si="113"/>
        <v>East</v>
      </c>
      <c r="T445" t="s">
        <v>43</v>
      </c>
      <c r="U445" t="str">
        <f t="shared" si="114"/>
        <v>Odisha</v>
      </c>
      <c r="V445" t="s">
        <v>44</v>
      </c>
      <c r="W445" t="str">
        <f t="shared" si="115"/>
        <v>Bhubaneswar</v>
      </c>
      <c r="X445" t="s">
        <v>45</v>
      </c>
      <c r="Y445" t="str">
        <f t="shared" si="116"/>
        <v>Furniture</v>
      </c>
      <c r="Z445" t="s">
        <v>65</v>
      </c>
      <c r="AA445" t="str">
        <f t="shared" si="117"/>
        <v>Furnishings</v>
      </c>
      <c r="AB445" t="s">
        <v>2185</v>
      </c>
      <c r="AC445" t="s">
        <v>56</v>
      </c>
      <c r="AD445" t="str">
        <f t="shared" si="118"/>
        <v>First Class</v>
      </c>
      <c r="AE445">
        <v>1</v>
      </c>
      <c r="AF445">
        <v>3683.75</v>
      </c>
      <c r="AG445">
        <v>0.1</v>
      </c>
      <c r="AH445">
        <v>0.1</v>
      </c>
      <c r="AI445" t="str">
        <f t="shared" si="119"/>
        <v>Valid</v>
      </c>
      <c r="AJ445">
        <v>3315.38</v>
      </c>
      <c r="AK445">
        <f t="shared" si="120"/>
        <v>3315.375</v>
      </c>
      <c r="AL445">
        <v>2347.6799999999998</v>
      </c>
      <c r="AM445">
        <v>967.7</v>
      </c>
      <c r="AN445">
        <f t="shared" si="121"/>
        <v>967.69500000000016</v>
      </c>
      <c r="AO445">
        <f t="shared" si="122"/>
        <v>-2347.6799999999998</v>
      </c>
      <c r="AP445" t="s">
        <v>34</v>
      </c>
      <c r="AQ445" t="str">
        <f t="shared" si="123"/>
        <v>Paid</v>
      </c>
      <c r="AR445" t="s">
        <v>35</v>
      </c>
      <c r="AS445" t="str">
        <f t="shared" si="124"/>
        <v>Completed</v>
      </c>
      <c r="AT445" t="str">
        <f t="shared" si="125"/>
        <v>Clean</v>
      </c>
    </row>
    <row r="446" spans="1:46">
      <c r="A446" t="s">
        <v>2186</v>
      </c>
      <c r="B446">
        <f>COUNTIF($D$2:D446,D446)</f>
        <v>1</v>
      </c>
      <c r="C446" t="str">
        <f>IF(COUNTIF($A:$A,A446)=1,
"Unique",
IF(COUNTIFS($A:$A,A446,$N:$N,N446,$AF:$AF,AF446,$AJ:$AJ,AJ446)&gt;1,
"Exact Duplicate",
"Conflicting Duplicate"))</f>
        <v>Unique</v>
      </c>
      <c r="D446" t="s">
        <v>2187</v>
      </c>
      <c r="E446" t="s">
        <v>1859</v>
      </c>
      <c r="F446" s="2">
        <v>45999</v>
      </c>
      <c r="G446" s="3">
        <v>45885</v>
      </c>
      <c r="H446" s="5" t="str">
        <f t="shared" si="108"/>
        <v>December</v>
      </c>
      <c r="I446" s="5">
        <f t="shared" si="109"/>
        <v>2025</v>
      </c>
      <c r="J446" t="str">
        <f>IF(F446="","Missing Date",
IF(ISNUMBER(F446),"Valid","Invalid Date"))</f>
        <v>Valid</v>
      </c>
      <c r="K446" t="str">
        <f t="shared" si="110"/>
        <v>Valid</v>
      </c>
      <c r="L446">
        <f>G446-F446</f>
        <v>-114</v>
      </c>
      <c r="M446" t="s">
        <v>2188</v>
      </c>
      <c r="N446" t="s">
        <v>72</v>
      </c>
      <c r="O446" t="str">
        <f t="shared" si="111"/>
        <v>Ananya Rao</v>
      </c>
      <c r="P446" t="s">
        <v>26</v>
      </c>
      <c r="Q446" t="str">
        <f t="shared" si="112"/>
        <v>Consumer</v>
      </c>
      <c r="R446" t="s">
        <v>42</v>
      </c>
      <c r="S446" t="str">
        <f t="shared" si="113"/>
        <v>East</v>
      </c>
      <c r="T446" t="s">
        <v>216</v>
      </c>
      <c r="U446" t="str">
        <f t="shared" si="114"/>
        <v>Assam</v>
      </c>
      <c r="V446" t="s">
        <v>217</v>
      </c>
      <c r="W446" t="str">
        <f t="shared" si="115"/>
        <v>Guwahati</v>
      </c>
      <c r="X446" t="s">
        <v>86</v>
      </c>
      <c r="Y446" t="str">
        <f t="shared" si="116"/>
        <v>Technology</v>
      </c>
      <c r="Z446" t="s">
        <v>87</v>
      </c>
      <c r="AA446" t="str">
        <f t="shared" si="117"/>
        <v>Accessories</v>
      </c>
      <c r="AB446" t="s">
        <v>2189</v>
      </c>
      <c r="AC446" t="s">
        <v>48</v>
      </c>
      <c r="AD446" t="str">
        <f t="shared" si="118"/>
        <v>Same Day</v>
      </c>
      <c r="AE446">
        <v>9</v>
      </c>
      <c r="AF446">
        <v>2379.2399999999998</v>
      </c>
      <c r="AG446">
        <v>0.05</v>
      </c>
      <c r="AH446">
        <v>0.05</v>
      </c>
      <c r="AI446" t="str">
        <f t="shared" si="119"/>
        <v>Valid</v>
      </c>
      <c r="AJ446">
        <v>20342.5</v>
      </c>
      <c r="AK446">
        <f t="shared" si="120"/>
        <v>20342.501999999997</v>
      </c>
      <c r="AL446">
        <v>12407.51</v>
      </c>
      <c r="AM446">
        <v>7934.99</v>
      </c>
      <c r="AN446">
        <f t="shared" si="121"/>
        <v>7934.9919999999966</v>
      </c>
      <c r="AO446">
        <f t="shared" si="122"/>
        <v>-12407.51</v>
      </c>
      <c r="AP446" t="s">
        <v>34</v>
      </c>
      <c r="AQ446" t="str">
        <f t="shared" si="123"/>
        <v>Paid</v>
      </c>
      <c r="AR446" t="s">
        <v>35</v>
      </c>
      <c r="AS446" t="str">
        <f t="shared" si="124"/>
        <v>Completed</v>
      </c>
      <c r="AT446" t="str">
        <f t="shared" si="125"/>
        <v>Clean</v>
      </c>
    </row>
    <row r="447" spans="1:46">
      <c r="A447" t="s">
        <v>2190</v>
      </c>
      <c r="B447">
        <f>COUNTIF($D$2:D447,D447)</f>
        <v>2</v>
      </c>
      <c r="C447" t="str">
        <f>IF(COUNTIF($A:$A,A447)=1,
"Unique",
IF(COUNTIFS($A:$A,A447,$N:$N,N447,$AF:$AF,AF447,$AJ:$AJ,AJ447)&gt;1,
"Exact Duplicate",
"Conflicting Duplicate"))</f>
        <v>Unique</v>
      </c>
      <c r="D447" t="s">
        <v>2191</v>
      </c>
      <c r="E447" t="s">
        <v>2192</v>
      </c>
      <c r="F447" s="3">
        <v>45421</v>
      </c>
      <c r="G447" s="3">
        <v>45417</v>
      </c>
      <c r="H447" s="5" t="str">
        <f t="shared" si="108"/>
        <v>May</v>
      </c>
      <c r="I447" s="5">
        <f t="shared" si="109"/>
        <v>2024</v>
      </c>
      <c r="J447" t="str">
        <f>IF(F447="","Missing Date",
IF(ISNUMBER(F447),"Valid","Invalid Date"))</f>
        <v>Valid</v>
      </c>
      <c r="K447" t="str">
        <f t="shared" si="110"/>
        <v>Valid</v>
      </c>
      <c r="L447">
        <f>G447-F447</f>
        <v>-4</v>
      </c>
      <c r="M447" t="s">
        <v>2193</v>
      </c>
      <c r="N447" t="s">
        <v>61</v>
      </c>
      <c r="O447" t="str">
        <f t="shared" si="111"/>
        <v>Arjun Bose</v>
      </c>
      <c r="P447" t="s">
        <v>26</v>
      </c>
      <c r="Q447" t="str">
        <f t="shared" si="112"/>
        <v>Consumer</v>
      </c>
      <c r="R447" t="s">
        <v>42</v>
      </c>
      <c r="S447" t="str">
        <f t="shared" si="113"/>
        <v>East</v>
      </c>
      <c r="T447" t="s">
        <v>216</v>
      </c>
      <c r="U447" t="str">
        <f t="shared" si="114"/>
        <v>Assam</v>
      </c>
      <c r="V447" t="s">
        <v>217</v>
      </c>
      <c r="W447" t="str">
        <f t="shared" si="115"/>
        <v>Guwahati</v>
      </c>
      <c r="X447" t="s">
        <v>45</v>
      </c>
      <c r="Y447" t="str">
        <f t="shared" si="116"/>
        <v>Furniture</v>
      </c>
      <c r="Z447" t="s">
        <v>204</v>
      </c>
      <c r="AA447" t="str">
        <f t="shared" si="117"/>
        <v>Bookcases</v>
      </c>
      <c r="AB447" t="s">
        <v>2194</v>
      </c>
      <c r="AC447" t="s">
        <v>48</v>
      </c>
      <c r="AD447" t="str">
        <f t="shared" si="118"/>
        <v>Same Day</v>
      </c>
      <c r="AE447">
        <v>2</v>
      </c>
      <c r="AF447">
        <v>2111.23</v>
      </c>
      <c r="AG447">
        <v>0.2</v>
      </c>
      <c r="AH447">
        <v>0.2</v>
      </c>
      <c r="AI447" t="str">
        <f t="shared" si="119"/>
        <v>Valid</v>
      </c>
      <c r="AJ447">
        <v>3377.97</v>
      </c>
      <c r="AK447">
        <f t="shared" si="120"/>
        <v>3377.9680000000003</v>
      </c>
      <c r="AL447">
        <v>2496.29</v>
      </c>
      <c r="AM447">
        <v>881.68</v>
      </c>
      <c r="AN447">
        <f t="shared" si="121"/>
        <v>881.67800000000034</v>
      </c>
      <c r="AO447">
        <f t="shared" si="122"/>
        <v>-2496.29</v>
      </c>
      <c r="AP447" t="s">
        <v>34</v>
      </c>
      <c r="AQ447" t="str">
        <f t="shared" si="123"/>
        <v>Paid</v>
      </c>
      <c r="AR447" t="s">
        <v>35</v>
      </c>
      <c r="AS447" t="str">
        <f t="shared" si="124"/>
        <v>Completed</v>
      </c>
      <c r="AT447" t="str">
        <f t="shared" si="125"/>
        <v>Clean</v>
      </c>
    </row>
    <row r="448" spans="1:46">
      <c r="A448" t="s">
        <v>2195</v>
      </c>
      <c r="B448">
        <f>COUNTIF($D$2:D448,D448)</f>
        <v>1</v>
      </c>
      <c r="C448" t="str">
        <f>IF(COUNTIF($A:$A,A448)=1,
"Unique",
IF(COUNTIFS($A:$A,A448,$N:$N,N448,$AF:$AF,AF448,$AJ:$AJ,AJ448)&gt;1,
"Exact Duplicate",
"Conflicting Duplicate"))</f>
        <v>Unique</v>
      </c>
      <c r="D448" t="s">
        <v>2196</v>
      </c>
      <c r="E448" t="s">
        <v>2197</v>
      </c>
      <c r="F448" s="3">
        <v>45918</v>
      </c>
      <c r="G448" s="3">
        <v>45919</v>
      </c>
      <c r="H448" s="5" t="str">
        <f t="shared" si="108"/>
        <v>September</v>
      </c>
      <c r="I448" s="5">
        <f t="shared" si="109"/>
        <v>2025</v>
      </c>
      <c r="J448" t="str">
        <f>IF(F448="","Missing Date",
IF(ISNUMBER(F448),"Valid","Invalid Date"))</f>
        <v>Valid</v>
      </c>
      <c r="K448" t="str">
        <f t="shared" si="110"/>
        <v>Valid</v>
      </c>
      <c r="L448">
        <f>G448-F448</f>
        <v>1</v>
      </c>
      <c r="M448" t="s">
        <v>2198</v>
      </c>
      <c r="N448" t="s">
        <v>168</v>
      </c>
      <c r="O448" t="str">
        <f t="shared" si="111"/>
        <v>Sneha Kapoor</v>
      </c>
      <c r="P448" t="s">
        <v>115</v>
      </c>
      <c r="Q448" t="str">
        <f t="shared" si="112"/>
        <v>Home Office</v>
      </c>
      <c r="R448" t="s">
        <v>62</v>
      </c>
      <c r="S448" t="str">
        <f t="shared" si="113"/>
        <v>South</v>
      </c>
      <c r="T448" t="s">
        <v>100</v>
      </c>
      <c r="U448" t="str">
        <f t="shared" si="114"/>
        <v>Andhra Pradesh</v>
      </c>
      <c r="V448" t="s">
        <v>101</v>
      </c>
      <c r="W448" t="str">
        <f t="shared" si="115"/>
        <v>Vijayawada</v>
      </c>
      <c r="X448" t="s">
        <v>30</v>
      </c>
      <c r="Y448" t="str">
        <f t="shared" si="116"/>
        <v>Office Supplies</v>
      </c>
      <c r="Z448" t="s">
        <v>156</v>
      </c>
      <c r="AA448" t="str">
        <f t="shared" si="117"/>
        <v>Storage</v>
      </c>
      <c r="AB448" t="s">
        <v>2199</v>
      </c>
      <c r="AC448" t="s">
        <v>48</v>
      </c>
      <c r="AD448" t="str">
        <f t="shared" si="118"/>
        <v>Same Day</v>
      </c>
      <c r="AE448">
        <v>8</v>
      </c>
      <c r="AF448">
        <v>4242.51</v>
      </c>
      <c r="AG448">
        <v>0</v>
      </c>
      <c r="AH448">
        <v>0</v>
      </c>
      <c r="AI448" t="str">
        <f t="shared" si="119"/>
        <v>Valid</v>
      </c>
      <c r="AJ448">
        <v>33940.080000000002</v>
      </c>
      <c r="AK448">
        <f t="shared" si="120"/>
        <v>33940.080000000002</v>
      </c>
      <c r="AL448">
        <v>23754.19</v>
      </c>
      <c r="AM448">
        <v>10185.89</v>
      </c>
      <c r="AN448">
        <f t="shared" si="121"/>
        <v>10185.890000000003</v>
      </c>
      <c r="AO448">
        <f t="shared" si="122"/>
        <v>-23754.19</v>
      </c>
      <c r="AP448" t="s">
        <v>34</v>
      </c>
      <c r="AQ448" t="str">
        <f t="shared" si="123"/>
        <v>Paid</v>
      </c>
      <c r="AR448" t="s">
        <v>35</v>
      </c>
      <c r="AS448" t="str">
        <f t="shared" si="124"/>
        <v>Completed</v>
      </c>
      <c r="AT448" t="str">
        <f t="shared" si="125"/>
        <v>Clean</v>
      </c>
    </row>
    <row r="449" spans="1:46">
      <c r="A449" t="s">
        <v>2200</v>
      </c>
      <c r="B449">
        <f>COUNTIF($D$2:D449,D449)</f>
        <v>2</v>
      </c>
      <c r="C449" t="str">
        <f>IF(COUNTIF($A:$A,A449)=1,
"Unique",
IF(COUNTIFS($A:$A,A449,$N:$N,N449,$AF:$AF,AF449,$AJ:$AJ,AJ449)&gt;1,
"Exact Duplicate",
"Conflicting Duplicate"))</f>
        <v>Unique</v>
      </c>
      <c r="D449" t="s">
        <v>944</v>
      </c>
      <c r="E449" t="s">
        <v>2201</v>
      </c>
      <c r="F449" s="3">
        <v>45938</v>
      </c>
      <c r="G449" s="2">
        <v>45938</v>
      </c>
      <c r="H449" s="5" t="str">
        <f t="shared" si="108"/>
        <v>October</v>
      </c>
      <c r="I449" s="5">
        <f t="shared" si="109"/>
        <v>2025</v>
      </c>
      <c r="J449" t="str">
        <f>IF(F449="","Missing Date",
IF(ISNUMBER(F449),"Valid","Invalid Date"))</f>
        <v>Valid</v>
      </c>
      <c r="K449" t="str">
        <f t="shared" si="110"/>
        <v>Valid</v>
      </c>
      <c r="L449">
        <f>G449-F449</f>
        <v>0</v>
      </c>
      <c r="M449" t="s">
        <v>2202</v>
      </c>
      <c r="N449" t="s">
        <v>180</v>
      </c>
      <c r="O449" t="str">
        <f t="shared" si="111"/>
        <v>Rohan Mehta</v>
      </c>
      <c r="P449" t="s">
        <v>115</v>
      </c>
      <c r="Q449" t="str">
        <f t="shared" si="112"/>
        <v>Home Office</v>
      </c>
      <c r="R449" t="s">
        <v>62</v>
      </c>
      <c r="S449" t="str">
        <f t="shared" si="113"/>
        <v>South</v>
      </c>
      <c r="T449" t="s">
        <v>63</v>
      </c>
      <c r="U449" t="str">
        <f t="shared" si="114"/>
        <v>Telangana</v>
      </c>
      <c r="V449" t="s">
        <v>64</v>
      </c>
      <c r="W449" t="str">
        <f t="shared" si="115"/>
        <v>Hyderabad</v>
      </c>
      <c r="X449" t="s">
        <v>45</v>
      </c>
      <c r="Y449" t="str">
        <f t="shared" si="116"/>
        <v>Furniture</v>
      </c>
      <c r="Z449" t="s">
        <v>204</v>
      </c>
      <c r="AA449" t="str">
        <f t="shared" si="117"/>
        <v>Bookcases</v>
      </c>
      <c r="AB449" t="s">
        <v>2203</v>
      </c>
      <c r="AC449" t="s">
        <v>67</v>
      </c>
      <c r="AD449" t="str">
        <f t="shared" si="118"/>
        <v>Standard Class</v>
      </c>
      <c r="AE449">
        <v>6</v>
      </c>
      <c r="AF449">
        <v>4288.7</v>
      </c>
      <c r="AG449">
        <v>0.15</v>
      </c>
      <c r="AH449">
        <v>0.15</v>
      </c>
      <c r="AI449" t="str">
        <f t="shared" si="119"/>
        <v>Valid</v>
      </c>
      <c r="AJ449">
        <v>21872.37</v>
      </c>
      <c r="AK449">
        <f t="shared" si="120"/>
        <v>21872.369999999995</v>
      </c>
      <c r="AL449">
        <v>13829.5</v>
      </c>
      <c r="AM449">
        <v>8042.87</v>
      </c>
      <c r="AN449">
        <f t="shared" si="121"/>
        <v>8042.8699999999953</v>
      </c>
      <c r="AO449">
        <f t="shared" si="122"/>
        <v>-13829.5</v>
      </c>
      <c r="AP449" t="s">
        <v>137</v>
      </c>
      <c r="AQ449" t="str">
        <f t="shared" si="123"/>
        <v>Pending</v>
      </c>
      <c r="AR449" t="s">
        <v>125</v>
      </c>
      <c r="AS449" t="str">
        <f t="shared" si="124"/>
        <v>Returned</v>
      </c>
      <c r="AT449" t="str">
        <f t="shared" si="125"/>
        <v>Clean</v>
      </c>
    </row>
    <row r="450" spans="1:46">
      <c r="A450" t="s">
        <v>2204</v>
      </c>
      <c r="B450">
        <f>COUNTIF($D$2:D450,D450)</f>
        <v>1</v>
      </c>
      <c r="C450" t="str">
        <f>IF(COUNTIF($A:$A,A450)=1,
"Unique",
IF(COUNTIFS($A:$A,A450,$N:$N,N450,$AF:$AF,AF450,$AJ:$AJ,AJ450)&gt;1,
"Exact Duplicate",
"Conflicting Duplicate"))</f>
        <v>Unique</v>
      </c>
      <c r="D450" t="s">
        <v>2205</v>
      </c>
      <c r="E450" t="s">
        <v>327</v>
      </c>
      <c r="F450" s="3">
        <v>45306</v>
      </c>
      <c r="G450" s="2">
        <v>45309</v>
      </c>
      <c r="H450" s="5" t="str">
        <f t="shared" si="108"/>
        <v>January</v>
      </c>
      <c r="I450" s="5">
        <f t="shared" si="109"/>
        <v>2024</v>
      </c>
      <c r="J450" t="str">
        <f>IF(F450="","Missing Date",
IF(ISNUMBER(F450),"Valid","Invalid Date"))</f>
        <v>Valid</v>
      </c>
      <c r="K450" t="str">
        <f t="shared" si="110"/>
        <v>Valid</v>
      </c>
      <c r="L450">
        <f>G450-F450</f>
        <v>3</v>
      </c>
      <c r="M450" t="s">
        <v>2206</v>
      </c>
      <c r="N450" t="s">
        <v>40</v>
      </c>
      <c r="O450" t="str">
        <f t="shared" si="111"/>
        <v>Mira Das</v>
      </c>
      <c r="P450" t="s">
        <v>41</v>
      </c>
      <c r="Q450" t="str">
        <f t="shared" si="112"/>
        <v>Small Business</v>
      </c>
      <c r="R450" t="s">
        <v>62</v>
      </c>
      <c r="S450" t="str">
        <f t="shared" si="113"/>
        <v>South</v>
      </c>
      <c r="T450" t="s">
        <v>100</v>
      </c>
      <c r="U450" t="str">
        <f t="shared" si="114"/>
        <v>Andhra Pradesh</v>
      </c>
      <c r="V450" t="s">
        <v>101</v>
      </c>
      <c r="W450" t="str">
        <f t="shared" si="115"/>
        <v>Vijayawada</v>
      </c>
      <c r="X450" t="s">
        <v>45</v>
      </c>
      <c r="Y450" t="str">
        <f t="shared" si="116"/>
        <v>Furniture</v>
      </c>
      <c r="Z450" t="s">
        <v>76</v>
      </c>
      <c r="AA450" t="str">
        <f t="shared" si="117"/>
        <v>Chairs</v>
      </c>
      <c r="AB450" t="s">
        <v>2207</v>
      </c>
      <c r="AC450" t="s">
        <v>56</v>
      </c>
      <c r="AD450" t="str">
        <f t="shared" si="118"/>
        <v>First Class</v>
      </c>
      <c r="AE450">
        <v>2</v>
      </c>
      <c r="AF450">
        <v>201.21</v>
      </c>
      <c r="AG450">
        <v>0.15</v>
      </c>
      <c r="AH450">
        <v>0.15</v>
      </c>
      <c r="AI450" t="str">
        <f t="shared" si="119"/>
        <v>Valid</v>
      </c>
      <c r="AJ450">
        <v>342.06</v>
      </c>
      <c r="AK450">
        <f t="shared" si="120"/>
        <v>342.05700000000002</v>
      </c>
      <c r="AL450">
        <v>244.57</v>
      </c>
      <c r="AM450">
        <v>97.49</v>
      </c>
      <c r="AN450">
        <f t="shared" si="121"/>
        <v>97.487000000000023</v>
      </c>
      <c r="AO450">
        <f t="shared" si="122"/>
        <v>-244.57</v>
      </c>
      <c r="AP450" t="s">
        <v>34</v>
      </c>
      <c r="AQ450" t="str">
        <f t="shared" si="123"/>
        <v>Paid</v>
      </c>
      <c r="AR450" t="s">
        <v>35</v>
      </c>
      <c r="AS450" t="str">
        <f t="shared" si="124"/>
        <v>Completed</v>
      </c>
      <c r="AT450" t="str">
        <f t="shared" si="125"/>
        <v>Clean</v>
      </c>
    </row>
    <row r="451" spans="1:46">
      <c r="A451" t="s">
        <v>2208</v>
      </c>
      <c r="B451">
        <f>COUNTIF($D$2:D451,D451)</f>
        <v>2</v>
      </c>
      <c r="C451" t="str">
        <f>IF(COUNTIF($A:$A,A451)=1,
"Unique",
IF(COUNTIFS($A:$A,A451,$N:$N,N451,$AF:$AF,AF451,$AJ:$AJ,AJ451)&gt;1,
"Exact Duplicate",
"Conflicting Duplicate"))</f>
        <v>Unique</v>
      </c>
      <c r="D451" t="s">
        <v>2209</v>
      </c>
      <c r="E451" t="s">
        <v>2210</v>
      </c>
      <c r="F451" s="3">
        <v>45449</v>
      </c>
      <c r="G451" s="2">
        <v>45456</v>
      </c>
      <c r="H451" s="5" t="str">
        <f t="shared" ref="H451:H514" si="126">TEXT(DATE(2024,MONTH(F451),1),"MMMM")</f>
        <v>June</v>
      </c>
      <c r="I451" s="5">
        <f t="shared" ref="I451:I514" si="127">YEAR(F451)</f>
        <v>2024</v>
      </c>
      <c r="J451" t="str">
        <f>IF(F451="","Missing Date",
IF(ISNUMBER(F451),"Valid","Invalid Date"))</f>
        <v>Valid</v>
      </c>
      <c r="K451" t="str">
        <f t="shared" ref="K451:K514" si="128">IF(G451="","Missing Date",
IF(ISNUMBER(G451),"Valid","Invalid Date"))</f>
        <v>Valid</v>
      </c>
      <c r="L451">
        <f>G451-F451</f>
        <v>7</v>
      </c>
      <c r="M451" t="s">
        <v>2043</v>
      </c>
      <c r="N451" t="s">
        <v>107</v>
      </c>
      <c r="O451" t="str">
        <f t="shared" ref="O451:O514" si="129">TRIM(PROPER(CLEAN(N451)))</f>
        <v>Aditi Sen</v>
      </c>
      <c r="P451" t="s">
        <v>108</v>
      </c>
      <c r="Q451" t="str">
        <f t="shared" ref="Q451:Q514" si="130">TRIM(PROPER(CLEAN(P451)))</f>
        <v>Corporate</v>
      </c>
      <c r="R451" t="s">
        <v>42</v>
      </c>
      <c r="S451" t="str">
        <f t="shared" ref="S451:S514" si="131">TRIM(PROPER(CLEAN(R451)))</f>
        <v>East</v>
      </c>
      <c r="T451" t="s">
        <v>216</v>
      </c>
      <c r="U451" t="str">
        <f t="shared" ref="U451:U514" si="132">TRIM(PROPER(CLEAN(T451)))</f>
        <v>Assam</v>
      </c>
      <c r="V451" t="s">
        <v>217</v>
      </c>
      <c r="W451" t="str">
        <f t="shared" ref="W451:W514" si="133">TRIM(PROPER(CLEAN(V451)))</f>
        <v>Guwahati</v>
      </c>
      <c r="X451" t="s">
        <v>86</v>
      </c>
      <c r="Y451" t="str">
        <f t="shared" ref="Y451:Y514" si="134">TRIM(PROPER(CLEAN(X451)))</f>
        <v>Technology</v>
      </c>
      <c r="Z451" t="s">
        <v>382</v>
      </c>
      <c r="AA451" t="str">
        <f t="shared" ref="AA451:AA514" si="135">TRIM(PROPER(CLEAN(Z451)))</f>
        <v>Machines</v>
      </c>
      <c r="AB451" t="s">
        <v>2211</v>
      </c>
      <c r="AC451" t="s">
        <v>33</v>
      </c>
      <c r="AD451" t="str">
        <f t="shared" ref="AD451:AD514" si="136">TRIM(PROPER(CLEAN(AC451)))</f>
        <v>Second Class</v>
      </c>
      <c r="AE451">
        <v>6</v>
      </c>
      <c r="AF451">
        <v>3270.36</v>
      </c>
      <c r="AG451">
        <v>0</v>
      </c>
      <c r="AH451">
        <v>0</v>
      </c>
      <c r="AI451" t="str">
        <f t="shared" ref="AI451:AI514" si="137">IF(AG451="","Missing Discount",IF(AG451&lt;0,"Invalid - Negative Discount",IF(AG451&gt;1,"Invalid - Above Range","Valid")))</f>
        <v>Valid</v>
      </c>
      <c r="AJ451">
        <v>19622.16</v>
      </c>
      <c r="AK451">
        <f t="shared" ref="AK451:AK514" si="138">AE451*AF451*(1-AH451)</f>
        <v>19622.16</v>
      </c>
      <c r="AL451">
        <v>14271.27</v>
      </c>
      <c r="AM451">
        <v>5350.89</v>
      </c>
      <c r="AN451">
        <f t="shared" ref="AN451:AN514" si="139">AK451-AL451</f>
        <v>5350.8899999999994</v>
      </c>
      <c r="AO451">
        <f t="shared" ref="AO451:AO514" si="140">AN451-AK451</f>
        <v>-14271.27</v>
      </c>
      <c r="AP451" t="s">
        <v>34</v>
      </c>
      <c r="AQ451" t="str">
        <f t="shared" ref="AQ451:AQ514" si="141">TRIM(PROPER(CLEAN(AP451)))</f>
        <v>Paid</v>
      </c>
      <c r="AR451" t="s">
        <v>35</v>
      </c>
      <c r="AS451" t="str">
        <f t="shared" ref="AS451:AS514" si="142">TRIM(PROPER(CLEAN(AR451)))</f>
        <v>Completed</v>
      </c>
      <c r="AT451" t="str">
        <f t="shared" ref="AT451:AT514" si="143">IF(OR(AH451="Unknown",AJ451="Unknown",AM451="Unknown",A451="Unknown"),"Needs Review","Clean")</f>
        <v>Clean</v>
      </c>
    </row>
    <row r="452" spans="1:46">
      <c r="A452" t="s">
        <v>2212</v>
      </c>
      <c r="B452">
        <f>COUNTIF($D$2:D452,D452)</f>
        <v>1</v>
      </c>
      <c r="C452" t="str">
        <f>IF(COUNTIF($A:$A,A452)=1,
"Unique",
IF(COUNTIFS($A:$A,A452,$N:$N,N452,$AF:$AF,AF452,$AJ:$AJ,AJ452)&gt;1,
"Exact Duplicate",
"Conflicting Duplicate"))</f>
        <v>Unique</v>
      </c>
      <c r="D452" t="s">
        <v>2213</v>
      </c>
      <c r="E452" t="s">
        <v>1577</v>
      </c>
      <c r="F452" s="3">
        <v>45820</v>
      </c>
      <c r="G452" s="3">
        <v>45827</v>
      </c>
      <c r="H452" s="5" t="str">
        <f t="shared" si="126"/>
        <v>June</v>
      </c>
      <c r="I452" s="5">
        <f t="shared" si="127"/>
        <v>2025</v>
      </c>
      <c r="J452" t="str">
        <f>IF(F452="","Missing Date",
IF(ISNUMBER(F452),"Valid","Invalid Date"))</f>
        <v>Valid</v>
      </c>
      <c r="K452" t="str">
        <f t="shared" si="128"/>
        <v>Valid</v>
      </c>
      <c r="L452">
        <f>G452-F452</f>
        <v>7</v>
      </c>
      <c r="M452" t="s">
        <v>2214</v>
      </c>
      <c r="N452" t="s">
        <v>72</v>
      </c>
      <c r="O452" t="str">
        <f t="shared" si="129"/>
        <v>Ananya Rao</v>
      </c>
      <c r="P452" t="s">
        <v>108</v>
      </c>
      <c r="Q452" t="str">
        <f t="shared" si="130"/>
        <v>Corporate</v>
      </c>
      <c r="R452" t="s">
        <v>27</v>
      </c>
      <c r="S452" t="str">
        <f t="shared" si="131"/>
        <v>North</v>
      </c>
      <c r="T452" t="s">
        <v>506</v>
      </c>
      <c r="U452" t="str">
        <f t="shared" si="132"/>
        <v>Delhi</v>
      </c>
      <c r="V452" t="s">
        <v>507</v>
      </c>
      <c r="W452" t="str">
        <f t="shared" si="133"/>
        <v>New Delhi</v>
      </c>
      <c r="X452" t="s">
        <v>45</v>
      </c>
      <c r="Y452" t="str">
        <f t="shared" si="134"/>
        <v>Furniture</v>
      </c>
      <c r="Z452" t="s">
        <v>76</v>
      </c>
      <c r="AA452" t="str">
        <f t="shared" si="135"/>
        <v>Chairs</v>
      </c>
      <c r="AB452" t="s">
        <v>2215</v>
      </c>
      <c r="AC452" t="s">
        <v>67</v>
      </c>
      <c r="AD452" t="str">
        <f t="shared" si="136"/>
        <v>Standard Class</v>
      </c>
      <c r="AE452">
        <v>9</v>
      </c>
      <c r="AF452">
        <v>2278.5700000000002</v>
      </c>
      <c r="AG452">
        <v>0.25</v>
      </c>
      <c r="AH452">
        <v>0.25</v>
      </c>
      <c r="AI452" t="str">
        <f t="shared" si="137"/>
        <v>Valid</v>
      </c>
      <c r="AJ452">
        <v>15380.35</v>
      </c>
      <c r="AK452">
        <f t="shared" si="138"/>
        <v>15380.3475</v>
      </c>
      <c r="AL452">
        <v>9907.3700000000008</v>
      </c>
      <c r="AM452">
        <v>5472.98</v>
      </c>
      <c r="AN452">
        <f t="shared" si="139"/>
        <v>5472.9774999999991</v>
      </c>
      <c r="AO452">
        <f t="shared" si="140"/>
        <v>-9907.3700000000008</v>
      </c>
      <c r="AP452" t="s">
        <v>34</v>
      </c>
      <c r="AQ452" t="str">
        <f t="shared" si="141"/>
        <v>Paid</v>
      </c>
      <c r="AR452" t="s">
        <v>35</v>
      </c>
      <c r="AS452" t="str">
        <f t="shared" si="142"/>
        <v>Completed</v>
      </c>
      <c r="AT452" t="str">
        <f t="shared" si="143"/>
        <v>Clean</v>
      </c>
    </row>
    <row r="453" spans="1:46">
      <c r="A453" t="s">
        <v>2216</v>
      </c>
      <c r="B453">
        <f>COUNTIF($D$2:D453,D453)</f>
        <v>1</v>
      </c>
      <c r="C453" t="str">
        <f>IF(COUNTIF($A:$A,A453)=1,
"Unique",
IF(COUNTIFS($A:$A,A453,$N:$N,N453,$AF:$AF,AF453,$AJ:$AJ,AJ453)&gt;1,
"Exact Duplicate",
"Conflicting Duplicate"))</f>
        <v>Unique</v>
      </c>
      <c r="D453" t="s">
        <v>2217</v>
      </c>
      <c r="E453" t="s">
        <v>2218</v>
      </c>
      <c r="F453" s="3">
        <v>45375</v>
      </c>
      <c r="G453" s="3">
        <v>45377</v>
      </c>
      <c r="H453" s="5" t="str">
        <f t="shared" si="126"/>
        <v>March</v>
      </c>
      <c r="I453" s="5">
        <f t="shared" si="127"/>
        <v>2024</v>
      </c>
      <c r="J453" t="str">
        <f>IF(F453="","Missing Date",
IF(ISNUMBER(F453),"Valid","Invalid Date"))</f>
        <v>Valid</v>
      </c>
      <c r="K453" t="str">
        <f t="shared" si="128"/>
        <v>Valid</v>
      </c>
      <c r="L453">
        <f>G453-F453</f>
        <v>2</v>
      </c>
      <c r="M453" t="s">
        <v>2219</v>
      </c>
      <c r="N453" t="s">
        <v>180</v>
      </c>
      <c r="O453" t="str">
        <f t="shared" si="129"/>
        <v>Rohan Mehta</v>
      </c>
      <c r="P453" t="s">
        <v>41</v>
      </c>
      <c r="Q453" t="str">
        <f t="shared" si="130"/>
        <v>Small Business</v>
      </c>
      <c r="R453" t="s">
        <v>27</v>
      </c>
      <c r="S453" t="str">
        <f t="shared" si="131"/>
        <v>North</v>
      </c>
      <c r="T453" t="s">
        <v>323</v>
      </c>
      <c r="U453" t="str">
        <f t="shared" si="132"/>
        <v>Haryana</v>
      </c>
      <c r="V453" t="s">
        <v>324</v>
      </c>
      <c r="W453" t="str">
        <f t="shared" si="133"/>
        <v>Gurugram</v>
      </c>
      <c r="X453" t="s">
        <v>30</v>
      </c>
      <c r="Y453" t="str">
        <f t="shared" si="134"/>
        <v>Office Supplies</v>
      </c>
      <c r="Z453" t="s">
        <v>31</v>
      </c>
      <c r="AA453" t="str">
        <f t="shared" si="135"/>
        <v>Paper</v>
      </c>
      <c r="AB453" t="s">
        <v>2220</v>
      </c>
      <c r="AC453" t="s">
        <v>33</v>
      </c>
      <c r="AD453" t="str">
        <f t="shared" si="136"/>
        <v>Second Class</v>
      </c>
      <c r="AE453">
        <v>8</v>
      </c>
      <c r="AF453">
        <v>1917.64</v>
      </c>
      <c r="AG453">
        <v>0.15</v>
      </c>
      <c r="AH453">
        <v>0.15</v>
      </c>
      <c r="AI453" t="str">
        <f t="shared" si="137"/>
        <v>Valid</v>
      </c>
      <c r="AJ453">
        <v>13039.95</v>
      </c>
      <c r="AK453">
        <f t="shared" si="138"/>
        <v>13039.952000000001</v>
      </c>
      <c r="AL453">
        <v>11127.82</v>
      </c>
      <c r="AM453">
        <v>1912.13</v>
      </c>
      <c r="AN453">
        <f t="shared" si="139"/>
        <v>1912.1320000000014</v>
      </c>
      <c r="AO453">
        <f t="shared" si="140"/>
        <v>-11127.82</v>
      </c>
      <c r="AP453" t="s">
        <v>34</v>
      </c>
      <c r="AQ453" t="str">
        <f t="shared" si="141"/>
        <v>Paid</v>
      </c>
      <c r="AR453" t="s">
        <v>78</v>
      </c>
      <c r="AS453" t="str">
        <f t="shared" si="142"/>
        <v>Cancelled</v>
      </c>
      <c r="AT453" t="str">
        <f t="shared" si="143"/>
        <v>Clean</v>
      </c>
    </row>
    <row r="454" spans="1:46">
      <c r="A454" t="s">
        <v>2221</v>
      </c>
      <c r="B454">
        <f>COUNTIF($D$2:D454,D454)</f>
        <v>1</v>
      </c>
      <c r="C454" t="str">
        <f>IF(COUNTIF($A:$A,A454)=1,
"Unique",
IF(COUNTIFS($A:$A,A454,$N:$N,N454,$AF:$AF,AF454,$AJ:$AJ,AJ454)&gt;1,
"Exact Duplicate",
"Conflicting Duplicate"))</f>
        <v>Unique</v>
      </c>
      <c r="D454" t="s">
        <v>2222</v>
      </c>
      <c r="E454" t="s">
        <v>1375</v>
      </c>
      <c r="F454" s="3">
        <v>45570</v>
      </c>
      <c r="G454" s="3">
        <v>45428</v>
      </c>
      <c r="H454" s="5" t="str">
        <f t="shared" si="126"/>
        <v>October</v>
      </c>
      <c r="I454" s="5">
        <f t="shared" si="127"/>
        <v>2024</v>
      </c>
      <c r="J454" t="str">
        <f>IF(F454="","Missing Date",
IF(ISNUMBER(F454),"Valid","Invalid Date"))</f>
        <v>Valid</v>
      </c>
      <c r="K454" t="str">
        <f t="shared" si="128"/>
        <v>Valid</v>
      </c>
      <c r="L454">
        <f>G454-F454</f>
        <v>-142</v>
      </c>
      <c r="M454" t="s">
        <v>2223</v>
      </c>
      <c r="N454" t="s">
        <v>210</v>
      </c>
      <c r="O454" t="str">
        <f t="shared" si="129"/>
        <v>Diya Patel</v>
      </c>
      <c r="P454" t="s">
        <v>115</v>
      </c>
      <c r="Q454" t="str">
        <f t="shared" si="130"/>
        <v>Home Office</v>
      </c>
      <c r="R454" t="s">
        <v>42</v>
      </c>
      <c r="S454" t="str">
        <f t="shared" si="131"/>
        <v>East</v>
      </c>
      <c r="T454" t="s">
        <v>311</v>
      </c>
      <c r="U454" t="str">
        <f t="shared" si="132"/>
        <v>Jharkhand</v>
      </c>
      <c r="V454" t="s">
        <v>312</v>
      </c>
      <c r="W454" t="str">
        <f t="shared" si="133"/>
        <v>Ranchi</v>
      </c>
      <c r="X454" t="s">
        <v>86</v>
      </c>
      <c r="Y454" t="str">
        <f t="shared" si="134"/>
        <v>Technology</v>
      </c>
      <c r="Z454" t="s">
        <v>87</v>
      </c>
      <c r="AA454" t="str">
        <f t="shared" si="135"/>
        <v>Accessories</v>
      </c>
      <c r="AB454" t="s">
        <v>2224</v>
      </c>
      <c r="AC454" t="s">
        <v>33</v>
      </c>
      <c r="AD454" t="str">
        <f t="shared" si="136"/>
        <v>Second Class</v>
      </c>
      <c r="AE454">
        <v>6</v>
      </c>
      <c r="AF454">
        <v>2013.33</v>
      </c>
      <c r="AG454">
        <v>0.2</v>
      </c>
      <c r="AH454">
        <v>0.2</v>
      </c>
      <c r="AI454" t="str">
        <f t="shared" si="137"/>
        <v>Valid</v>
      </c>
      <c r="AJ454">
        <v>9663.98</v>
      </c>
      <c r="AK454">
        <f t="shared" si="138"/>
        <v>9663.9840000000004</v>
      </c>
      <c r="AL454">
        <v>5628.93</v>
      </c>
      <c r="AM454">
        <v>4035.05</v>
      </c>
      <c r="AN454">
        <f t="shared" si="139"/>
        <v>4035.0540000000001</v>
      </c>
      <c r="AO454">
        <f t="shared" si="140"/>
        <v>-5628.93</v>
      </c>
      <c r="AP454" t="s">
        <v>34</v>
      </c>
      <c r="AQ454" t="str">
        <f t="shared" si="141"/>
        <v>Paid</v>
      </c>
      <c r="AR454" t="s">
        <v>35</v>
      </c>
      <c r="AS454" t="str">
        <f t="shared" si="142"/>
        <v>Completed</v>
      </c>
      <c r="AT454" t="str">
        <f t="shared" si="143"/>
        <v>Clean</v>
      </c>
    </row>
    <row r="455" spans="1:46">
      <c r="A455" t="s">
        <v>2225</v>
      </c>
      <c r="B455">
        <f>COUNTIF($D$2:D455,D455)</f>
        <v>1</v>
      </c>
      <c r="C455" t="str">
        <f>IF(COUNTIF($A:$A,A455)=1,
"Unique",
IF(COUNTIFS($A:$A,A455,$N:$N,N455,$AF:$AF,AF455,$AJ:$AJ,AJ455)&gt;1,
"Exact Duplicate",
"Conflicting Duplicate"))</f>
        <v>Unique</v>
      </c>
      <c r="D455" t="s">
        <v>2226</v>
      </c>
      <c r="E455" t="s">
        <v>2227</v>
      </c>
      <c r="F455" s="3">
        <v>45780</v>
      </c>
      <c r="G455" s="3">
        <v>45966</v>
      </c>
      <c r="H455" s="5" t="str">
        <f t="shared" si="126"/>
        <v>May</v>
      </c>
      <c r="I455" s="5">
        <f t="shared" si="127"/>
        <v>2025</v>
      </c>
      <c r="J455" t="str">
        <f>IF(F455="","Missing Date",
IF(ISNUMBER(F455),"Valid","Invalid Date"))</f>
        <v>Valid</v>
      </c>
      <c r="K455" t="str">
        <f t="shared" si="128"/>
        <v>Valid</v>
      </c>
      <c r="L455">
        <f>G455-F455</f>
        <v>186</v>
      </c>
      <c r="M455" t="s">
        <v>2228</v>
      </c>
      <c r="N455" t="s">
        <v>180</v>
      </c>
      <c r="O455" t="str">
        <f t="shared" si="129"/>
        <v>Rohan Mehta</v>
      </c>
      <c r="P455" t="s">
        <v>41</v>
      </c>
      <c r="Q455" t="str">
        <f t="shared" si="130"/>
        <v>Small Business</v>
      </c>
      <c r="R455" t="s">
        <v>73</v>
      </c>
      <c r="S455" t="str">
        <f t="shared" si="131"/>
        <v>West</v>
      </c>
      <c r="T455" t="s">
        <v>84</v>
      </c>
      <c r="U455" t="str">
        <f t="shared" si="132"/>
        <v>Madhya Pradesh</v>
      </c>
      <c r="V455" t="s">
        <v>85</v>
      </c>
      <c r="W455" t="str">
        <f t="shared" si="133"/>
        <v>Indore</v>
      </c>
      <c r="X455" t="s">
        <v>30</v>
      </c>
      <c r="Y455" t="str">
        <f t="shared" si="134"/>
        <v>Office Supplies</v>
      </c>
      <c r="Z455" t="s">
        <v>109</v>
      </c>
      <c r="AA455" t="str">
        <f t="shared" si="135"/>
        <v>Labels</v>
      </c>
      <c r="AB455" t="s">
        <v>2229</v>
      </c>
      <c r="AC455" t="s">
        <v>48</v>
      </c>
      <c r="AD455" t="str">
        <f t="shared" si="136"/>
        <v>Same Day</v>
      </c>
      <c r="AE455">
        <v>5</v>
      </c>
      <c r="AF455">
        <v>1483.52</v>
      </c>
      <c r="AG455">
        <v>0</v>
      </c>
      <c r="AH455">
        <v>0</v>
      </c>
      <c r="AI455" t="str">
        <f t="shared" si="137"/>
        <v>Valid</v>
      </c>
      <c r="AJ455">
        <v>7417.6</v>
      </c>
      <c r="AK455">
        <f t="shared" si="138"/>
        <v>7417.6</v>
      </c>
      <c r="AL455">
        <v>4955.8599999999997</v>
      </c>
      <c r="AM455">
        <v>2461.7399999999998</v>
      </c>
      <c r="AN455">
        <f t="shared" si="139"/>
        <v>2461.7400000000007</v>
      </c>
      <c r="AO455">
        <f t="shared" si="140"/>
        <v>-4955.8599999999997</v>
      </c>
      <c r="AP455" t="s">
        <v>34</v>
      </c>
      <c r="AQ455" t="str">
        <f t="shared" si="141"/>
        <v>Paid</v>
      </c>
      <c r="AR455" t="s">
        <v>35</v>
      </c>
      <c r="AS455" t="str">
        <f t="shared" si="142"/>
        <v>Completed</v>
      </c>
      <c r="AT455" t="str">
        <f t="shared" si="143"/>
        <v>Clean</v>
      </c>
    </row>
    <row r="456" spans="1:46">
      <c r="A456" t="s">
        <v>2230</v>
      </c>
      <c r="B456">
        <f>COUNTIF($D$2:D456,D456)</f>
        <v>1</v>
      </c>
      <c r="C456" t="str">
        <f>IF(COUNTIF($A:$A,A456)=1,
"Unique",
IF(COUNTIFS($A:$A,A456,$N:$N,N456,$AF:$AF,AF456,$AJ:$AJ,AJ456)&gt;1,
"Exact Duplicate",
"Conflicting Duplicate"))</f>
        <v>Unique</v>
      </c>
      <c r="D456" t="s">
        <v>2231</v>
      </c>
      <c r="E456" t="s">
        <v>2232</v>
      </c>
      <c r="F456" s="3">
        <v>45739</v>
      </c>
      <c r="G456" s="3">
        <v>45744</v>
      </c>
      <c r="H456" s="5" t="str">
        <f t="shared" si="126"/>
        <v>March</v>
      </c>
      <c r="I456" s="5">
        <f t="shared" si="127"/>
        <v>2025</v>
      </c>
      <c r="J456" t="str">
        <f>IF(F456="","Missing Date",
IF(ISNUMBER(F456),"Valid","Invalid Date"))</f>
        <v>Valid</v>
      </c>
      <c r="K456" t="str">
        <f t="shared" si="128"/>
        <v>Valid</v>
      </c>
      <c r="L456">
        <f>G456-F456</f>
        <v>5</v>
      </c>
      <c r="M456" t="s">
        <v>2233</v>
      </c>
      <c r="N456" t="s">
        <v>83</v>
      </c>
      <c r="O456" t="str">
        <f t="shared" si="129"/>
        <v>Vikram Iyer</v>
      </c>
      <c r="P456" t="s">
        <v>41</v>
      </c>
      <c r="Q456" t="str">
        <f t="shared" si="130"/>
        <v>Small Business</v>
      </c>
      <c r="R456" t="s">
        <v>27</v>
      </c>
      <c r="S456" t="str">
        <f t="shared" si="131"/>
        <v>North</v>
      </c>
      <c r="T456" t="s">
        <v>28</v>
      </c>
      <c r="U456" t="str">
        <f t="shared" si="132"/>
        <v>Rajasthan</v>
      </c>
      <c r="V456" t="s">
        <v>29</v>
      </c>
      <c r="W456" t="str">
        <f t="shared" si="133"/>
        <v>Jaipur</v>
      </c>
      <c r="X456" t="s">
        <v>45</v>
      </c>
      <c r="Y456" t="str">
        <f t="shared" si="134"/>
        <v>Furniture</v>
      </c>
      <c r="Z456" t="s">
        <v>65</v>
      </c>
      <c r="AA456" t="str">
        <f t="shared" si="135"/>
        <v>Furnishings</v>
      </c>
      <c r="AB456" t="s">
        <v>2234</v>
      </c>
      <c r="AC456" t="s">
        <v>67</v>
      </c>
      <c r="AD456" t="str">
        <f t="shared" si="136"/>
        <v>Standard Class</v>
      </c>
      <c r="AE456">
        <v>9</v>
      </c>
      <c r="AF456">
        <v>3298</v>
      </c>
      <c r="AG456">
        <v>0.15</v>
      </c>
      <c r="AH456">
        <v>0.15</v>
      </c>
      <c r="AI456" t="str">
        <f t="shared" si="137"/>
        <v>Valid</v>
      </c>
      <c r="AJ456">
        <v>25229.7</v>
      </c>
      <c r="AK456">
        <f t="shared" si="138"/>
        <v>25229.7</v>
      </c>
      <c r="AL456">
        <v>20170.43</v>
      </c>
      <c r="AM456">
        <v>5059.2700000000004</v>
      </c>
      <c r="AN456">
        <f t="shared" si="139"/>
        <v>5059.2700000000004</v>
      </c>
      <c r="AO456">
        <f t="shared" si="140"/>
        <v>-20170.43</v>
      </c>
      <c r="AP456" t="s">
        <v>34</v>
      </c>
      <c r="AQ456" t="str">
        <f t="shared" si="141"/>
        <v>Paid</v>
      </c>
      <c r="AR456" t="s">
        <v>35</v>
      </c>
      <c r="AS456" t="str">
        <f t="shared" si="142"/>
        <v>Completed</v>
      </c>
      <c r="AT456" t="str">
        <f t="shared" si="143"/>
        <v>Clean</v>
      </c>
    </row>
    <row r="457" spans="1:46">
      <c r="A457" t="s">
        <v>2235</v>
      </c>
      <c r="B457">
        <f>COUNTIF($D$2:D457,D457)</f>
        <v>1</v>
      </c>
      <c r="C457" t="str">
        <f>IF(COUNTIF($A:$A,A457)=1,
"Unique",
IF(COUNTIFS($A:$A,A457,$N:$N,N457,$AF:$AF,AF457,$AJ:$AJ,AJ457)&gt;1,
"Exact Duplicate",
"Conflicting Duplicate"))</f>
        <v>Unique</v>
      </c>
      <c r="D457" t="s">
        <v>2236</v>
      </c>
      <c r="E457" t="s">
        <v>2237</v>
      </c>
      <c r="F457" s="2">
        <v>45491</v>
      </c>
      <c r="G457" s="3">
        <v>45495</v>
      </c>
      <c r="H457" s="5" t="str">
        <f t="shared" si="126"/>
        <v>July</v>
      </c>
      <c r="I457" s="5">
        <f t="shared" si="127"/>
        <v>2024</v>
      </c>
      <c r="J457" t="str">
        <f>IF(F457="","Missing Date",
IF(ISNUMBER(F457),"Valid","Invalid Date"))</f>
        <v>Valid</v>
      </c>
      <c r="K457" t="str">
        <f t="shared" si="128"/>
        <v>Valid</v>
      </c>
      <c r="L457">
        <f>G457-F457</f>
        <v>4</v>
      </c>
      <c r="M457" t="s">
        <v>2238</v>
      </c>
      <c r="N457" t="s">
        <v>93</v>
      </c>
      <c r="O457" t="str">
        <f t="shared" si="129"/>
        <v>Neha Gupta</v>
      </c>
      <c r="P457" t="s">
        <v>41</v>
      </c>
      <c r="Q457" t="str">
        <f t="shared" si="130"/>
        <v>Small Business</v>
      </c>
      <c r="R457" t="s">
        <v>62</v>
      </c>
      <c r="S457" t="str">
        <f t="shared" si="131"/>
        <v>South</v>
      </c>
      <c r="T457" t="s">
        <v>63</v>
      </c>
      <c r="U457" t="str">
        <f t="shared" si="132"/>
        <v>Telangana</v>
      </c>
      <c r="V457" t="s">
        <v>64</v>
      </c>
      <c r="W457" t="str">
        <f t="shared" si="133"/>
        <v>Hyderabad</v>
      </c>
      <c r="X457" t="s">
        <v>30</v>
      </c>
      <c r="Y457" t="str">
        <f t="shared" si="134"/>
        <v>Office Supplies</v>
      </c>
      <c r="Z457" t="s">
        <v>54</v>
      </c>
      <c r="AA457" t="str">
        <f t="shared" si="135"/>
        <v>Art</v>
      </c>
      <c r="AB457" t="s">
        <v>2239</v>
      </c>
      <c r="AC457" t="s">
        <v>67</v>
      </c>
      <c r="AD457" t="str">
        <f t="shared" si="136"/>
        <v>Standard Class</v>
      </c>
      <c r="AE457">
        <v>4</v>
      </c>
      <c r="AF457">
        <v>808.77</v>
      </c>
      <c r="AG457">
        <v>0</v>
      </c>
      <c r="AH457">
        <v>0</v>
      </c>
      <c r="AI457" t="str">
        <f t="shared" si="137"/>
        <v>Valid</v>
      </c>
      <c r="AJ457">
        <v>3235.08</v>
      </c>
      <c r="AK457">
        <f t="shared" si="138"/>
        <v>3235.08</v>
      </c>
      <c r="AL457">
        <v>1848.6</v>
      </c>
      <c r="AM457">
        <v>1386.48</v>
      </c>
      <c r="AN457">
        <f t="shared" si="139"/>
        <v>1386.48</v>
      </c>
      <c r="AO457">
        <f t="shared" si="140"/>
        <v>-1848.6</v>
      </c>
      <c r="AP457" t="s">
        <v>34</v>
      </c>
      <c r="AQ457" t="str">
        <f t="shared" si="141"/>
        <v>Paid</v>
      </c>
      <c r="AR457" t="s">
        <v>35</v>
      </c>
      <c r="AS457" t="str">
        <f t="shared" si="142"/>
        <v>Completed</v>
      </c>
      <c r="AT457" t="str">
        <f t="shared" si="143"/>
        <v>Clean</v>
      </c>
    </row>
    <row r="458" spans="1:46">
      <c r="A458" t="s">
        <v>2240</v>
      </c>
      <c r="B458">
        <f>COUNTIF($D$2:D458,D458)</f>
        <v>3</v>
      </c>
      <c r="C458" t="str">
        <f>IF(COUNTIF($A:$A,A458)=1,
"Unique",
IF(COUNTIFS($A:$A,A458,$N:$N,N458,$AF:$AF,AF458,$AJ:$AJ,AJ458)&gt;1,
"Exact Duplicate",
"Conflicting Duplicate"))</f>
        <v>Unique</v>
      </c>
      <c r="D458" t="s">
        <v>2088</v>
      </c>
      <c r="E458" t="s">
        <v>2088</v>
      </c>
      <c r="F458" s="3">
        <v>45342</v>
      </c>
      <c r="G458" s="3">
        <v>45342</v>
      </c>
      <c r="H458" s="5" t="str">
        <f t="shared" si="126"/>
        <v>February</v>
      </c>
      <c r="I458" s="5">
        <f t="shared" si="127"/>
        <v>2024</v>
      </c>
      <c r="J458" t="str">
        <f>IF(F458="","Missing Date",
IF(ISNUMBER(F458),"Valid","Invalid Date"))</f>
        <v>Valid</v>
      </c>
      <c r="K458" t="str">
        <f t="shared" si="128"/>
        <v>Valid</v>
      </c>
      <c r="L458">
        <f>G458-F458</f>
        <v>0</v>
      </c>
      <c r="M458" t="s">
        <v>2241</v>
      </c>
      <c r="N458" t="s">
        <v>93</v>
      </c>
      <c r="O458" t="str">
        <f t="shared" si="129"/>
        <v>Neha Gupta</v>
      </c>
      <c r="P458" t="s">
        <v>108</v>
      </c>
      <c r="Q458" t="str">
        <f t="shared" si="130"/>
        <v>Corporate</v>
      </c>
      <c r="R458" t="s">
        <v>27</v>
      </c>
      <c r="S458" t="str">
        <f t="shared" si="131"/>
        <v>North</v>
      </c>
      <c r="T458" t="s">
        <v>174</v>
      </c>
      <c r="U458" t="str">
        <f t="shared" si="132"/>
        <v>Uttar Pradesh</v>
      </c>
      <c r="V458" t="s">
        <v>175</v>
      </c>
      <c r="W458" t="str">
        <f t="shared" si="133"/>
        <v>Noida</v>
      </c>
      <c r="X458" t="s">
        <v>86</v>
      </c>
      <c r="Y458" t="str">
        <f t="shared" si="134"/>
        <v>Technology</v>
      </c>
      <c r="Z458" t="s">
        <v>87</v>
      </c>
      <c r="AA458" t="str">
        <f t="shared" si="135"/>
        <v>Accessories</v>
      </c>
      <c r="AB458" t="s">
        <v>2242</v>
      </c>
      <c r="AC458" t="s">
        <v>48</v>
      </c>
      <c r="AD458" t="str">
        <f t="shared" si="136"/>
        <v>Same Day</v>
      </c>
      <c r="AE458">
        <v>5</v>
      </c>
      <c r="AF458">
        <v>2604.91</v>
      </c>
      <c r="AG458">
        <v>0.15</v>
      </c>
      <c r="AH458">
        <v>0.15</v>
      </c>
      <c r="AI458" t="str">
        <f t="shared" si="137"/>
        <v>Valid</v>
      </c>
      <c r="AJ458">
        <v>11070.87</v>
      </c>
      <c r="AK458">
        <f t="shared" si="138"/>
        <v>11070.867499999998</v>
      </c>
      <c r="AL458">
        <v>6623.61</v>
      </c>
      <c r="AM458">
        <v>4447.26</v>
      </c>
      <c r="AN458">
        <f t="shared" si="139"/>
        <v>4447.2574999999988</v>
      </c>
      <c r="AO458">
        <f t="shared" si="140"/>
        <v>-6623.61</v>
      </c>
      <c r="AP458" t="s">
        <v>34</v>
      </c>
      <c r="AQ458" t="str">
        <f t="shared" si="141"/>
        <v>Paid</v>
      </c>
      <c r="AR458" t="s">
        <v>125</v>
      </c>
      <c r="AS458" t="str">
        <f t="shared" si="142"/>
        <v>Returned</v>
      </c>
      <c r="AT458" t="str">
        <f t="shared" si="143"/>
        <v>Clean</v>
      </c>
    </row>
    <row r="459" spans="1:46">
      <c r="A459" t="s">
        <v>2243</v>
      </c>
      <c r="B459">
        <f>COUNTIF($D$2:D459,D459)</f>
        <v>2</v>
      </c>
      <c r="C459" t="str">
        <f>IF(COUNTIF($A:$A,A459)=1,
"Unique",
IF(COUNTIFS($A:$A,A459,$N:$N,N459,$AF:$AF,AF459,$AJ:$AJ,AJ459)&gt;1,
"Exact Duplicate",
"Conflicting Duplicate"))</f>
        <v>Unique</v>
      </c>
      <c r="D459" t="s">
        <v>2244</v>
      </c>
      <c r="E459" t="s">
        <v>2245</v>
      </c>
      <c r="F459" s="3">
        <v>45416</v>
      </c>
      <c r="G459" s="3">
        <v>45387</v>
      </c>
      <c r="H459" s="5" t="str">
        <f t="shared" si="126"/>
        <v>May</v>
      </c>
      <c r="I459" s="5">
        <f t="shared" si="127"/>
        <v>2024</v>
      </c>
      <c r="J459" t="str">
        <f>IF(F459="","Missing Date",
IF(ISNUMBER(F459),"Valid","Invalid Date"))</f>
        <v>Valid</v>
      </c>
      <c r="K459" t="str">
        <f t="shared" si="128"/>
        <v>Valid</v>
      </c>
      <c r="L459">
        <f>G459-F459</f>
        <v>-29</v>
      </c>
      <c r="M459" t="s">
        <v>2246</v>
      </c>
      <c r="N459" t="s">
        <v>40</v>
      </c>
      <c r="O459" t="str">
        <f t="shared" si="129"/>
        <v>Mira Das</v>
      </c>
      <c r="P459" t="s">
        <v>41</v>
      </c>
      <c r="Q459" t="str">
        <f t="shared" si="130"/>
        <v>Small Business</v>
      </c>
      <c r="R459" t="s">
        <v>73</v>
      </c>
      <c r="S459" t="str">
        <f t="shared" si="131"/>
        <v>West</v>
      </c>
      <c r="T459" t="s">
        <v>249</v>
      </c>
      <c r="U459" t="str">
        <f t="shared" si="132"/>
        <v>Goa</v>
      </c>
      <c r="V459" t="s">
        <v>250</v>
      </c>
      <c r="W459" t="str">
        <f t="shared" si="133"/>
        <v>Panaji</v>
      </c>
      <c r="X459" t="s">
        <v>45</v>
      </c>
      <c r="Y459" t="str">
        <f t="shared" si="134"/>
        <v>Furniture</v>
      </c>
      <c r="Z459" t="s">
        <v>46</v>
      </c>
      <c r="AA459" t="str">
        <f t="shared" si="135"/>
        <v>Tables</v>
      </c>
      <c r="AB459" t="s">
        <v>2247</v>
      </c>
      <c r="AC459" t="s">
        <v>67</v>
      </c>
      <c r="AD459" t="str">
        <f t="shared" si="136"/>
        <v>Standard Class</v>
      </c>
      <c r="AE459">
        <v>7</v>
      </c>
      <c r="AF459">
        <v>2851.51</v>
      </c>
      <c r="AG459">
        <v>0</v>
      </c>
      <c r="AH459">
        <v>0</v>
      </c>
      <c r="AI459" t="str">
        <f t="shared" si="137"/>
        <v>Valid</v>
      </c>
      <c r="AJ459">
        <v>19960.57</v>
      </c>
      <c r="AK459">
        <f t="shared" si="138"/>
        <v>19960.57</v>
      </c>
      <c r="AL459">
        <v>16603.599999999999</v>
      </c>
      <c r="AM459">
        <v>3356.97</v>
      </c>
      <c r="AN459">
        <f t="shared" si="139"/>
        <v>3356.9700000000012</v>
      </c>
      <c r="AO459">
        <f t="shared" si="140"/>
        <v>-16603.599999999999</v>
      </c>
      <c r="AP459" t="s">
        <v>34</v>
      </c>
      <c r="AQ459" t="str">
        <f t="shared" si="141"/>
        <v>Paid</v>
      </c>
      <c r="AR459" t="s">
        <v>35</v>
      </c>
      <c r="AS459" t="str">
        <f t="shared" si="142"/>
        <v>Completed</v>
      </c>
      <c r="AT459" t="str">
        <f t="shared" si="143"/>
        <v>Clean</v>
      </c>
    </row>
    <row r="460" spans="1:46">
      <c r="A460" t="s">
        <v>2248</v>
      </c>
      <c r="B460">
        <f>COUNTIF($D$2:D460,D460)</f>
        <v>2</v>
      </c>
      <c r="C460" t="str">
        <f>IF(COUNTIF($A:$A,A460)=1,
"Unique",
IF(COUNTIFS($A:$A,A460,$N:$N,N460,$AF:$AF,AF460,$AJ:$AJ,AJ460)&gt;1,
"Exact Duplicate",
"Conflicting Duplicate"))</f>
        <v>Unique</v>
      </c>
      <c r="D460" t="s">
        <v>2249</v>
      </c>
      <c r="E460" t="s">
        <v>860</v>
      </c>
      <c r="F460" s="3">
        <v>45567</v>
      </c>
      <c r="G460" s="3">
        <v>45333</v>
      </c>
      <c r="H460" s="5" t="str">
        <f t="shared" si="126"/>
        <v>October</v>
      </c>
      <c r="I460" s="5">
        <f t="shared" si="127"/>
        <v>2024</v>
      </c>
      <c r="J460" t="str">
        <f>IF(F460="","Missing Date",
IF(ISNUMBER(F460),"Valid","Invalid Date"))</f>
        <v>Valid</v>
      </c>
      <c r="K460" t="str">
        <f t="shared" si="128"/>
        <v>Valid</v>
      </c>
      <c r="L460">
        <f>G460-F460</f>
        <v>-234</v>
      </c>
      <c r="M460" t="s">
        <v>2250</v>
      </c>
      <c r="N460" t="s">
        <v>25</v>
      </c>
      <c r="O460" t="str">
        <f t="shared" si="129"/>
        <v>Karan Malhotra</v>
      </c>
      <c r="P460" t="s">
        <v>108</v>
      </c>
      <c r="Q460" t="str">
        <f t="shared" si="130"/>
        <v>Corporate</v>
      </c>
      <c r="R460" t="s">
        <v>27</v>
      </c>
      <c r="S460" t="str">
        <f t="shared" si="131"/>
        <v>North</v>
      </c>
      <c r="T460" t="s">
        <v>28</v>
      </c>
      <c r="U460" t="str">
        <f t="shared" si="132"/>
        <v>Rajasthan</v>
      </c>
      <c r="V460" t="s">
        <v>29</v>
      </c>
      <c r="W460" t="str">
        <f t="shared" si="133"/>
        <v>Jaipur</v>
      </c>
      <c r="X460" t="s">
        <v>86</v>
      </c>
      <c r="Y460" t="str">
        <f t="shared" si="134"/>
        <v>Technology</v>
      </c>
      <c r="Z460" t="s">
        <v>223</v>
      </c>
      <c r="AA460" t="str">
        <f t="shared" si="135"/>
        <v>Phones</v>
      </c>
      <c r="AB460" t="s">
        <v>2251</v>
      </c>
      <c r="AC460" t="s">
        <v>33</v>
      </c>
      <c r="AD460" t="str">
        <f t="shared" si="136"/>
        <v>Second Class</v>
      </c>
      <c r="AE460">
        <v>3</v>
      </c>
      <c r="AF460">
        <v>3183.72</v>
      </c>
      <c r="AG460">
        <v>0.1</v>
      </c>
      <c r="AH460">
        <v>0.1</v>
      </c>
      <c r="AI460" t="str">
        <f t="shared" si="137"/>
        <v>Valid</v>
      </c>
      <c r="AJ460">
        <v>8596.0400000000009</v>
      </c>
      <c r="AK460">
        <f t="shared" si="138"/>
        <v>8596.0439999999999</v>
      </c>
      <c r="AL460">
        <v>5378.16</v>
      </c>
      <c r="AM460">
        <v>3217.88</v>
      </c>
      <c r="AN460">
        <f t="shared" si="139"/>
        <v>3217.884</v>
      </c>
      <c r="AO460">
        <f t="shared" si="140"/>
        <v>-5378.16</v>
      </c>
      <c r="AP460" t="s">
        <v>34</v>
      </c>
      <c r="AQ460" t="str">
        <f t="shared" si="141"/>
        <v>Paid</v>
      </c>
      <c r="AR460" t="s">
        <v>35</v>
      </c>
      <c r="AS460" t="str">
        <f t="shared" si="142"/>
        <v>Completed</v>
      </c>
      <c r="AT460" t="str">
        <f t="shared" si="143"/>
        <v>Clean</v>
      </c>
    </row>
    <row r="461" spans="1:46">
      <c r="A461" t="s">
        <v>2252</v>
      </c>
      <c r="B461">
        <f>COUNTIF($D$2:D461,D461)</f>
        <v>1</v>
      </c>
      <c r="C461" t="str">
        <f>IF(COUNTIF($A:$A,A461)=1,
"Unique",
IF(COUNTIFS($A:$A,A461,$N:$N,N461,$AF:$AF,AF461,$AJ:$AJ,AJ461)&gt;1,
"Exact Duplicate",
"Conflicting Duplicate"))</f>
        <v>Unique</v>
      </c>
      <c r="D461" t="s">
        <v>2253</v>
      </c>
      <c r="E461" t="s">
        <v>2183</v>
      </c>
      <c r="F461" s="3">
        <v>45379</v>
      </c>
      <c r="G461" s="3">
        <v>45386</v>
      </c>
      <c r="H461" s="5" t="str">
        <f t="shared" si="126"/>
        <v>March</v>
      </c>
      <c r="I461" s="5">
        <f t="shared" si="127"/>
        <v>2024</v>
      </c>
      <c r="J461" t="str">
        <f>IF(F461="","Missing Date",
IF(ISNUMBER(F461),"Valid","Invalid Date"))</f>
        <v>Valid</v>
      </c>
      <c r="K461" t="str">
        <f t="shared" si="128"/>
        <v>Valid</v>
      </c>
      <c r="L461">
        <f>G461-F461</f>
        <v>7</v>
      </c>
      <c r="M461" t="s">
        <v>2254</v>
      </c>
      <c r="N461" t="s">
        <v>72</v>
      </c>
      <c r="O461" t="str">
        <f t="shared" si="129"/>
        <v>Ananya Rao</v>
      </c>
      <c r="P461" t="s">
        <v>115</v>
      </c>
      <c r="Q461" t="str">
        <f t="shared" si="130"/>
        <v>Home Office</v>
      </c>
      <c r="R461" t="s">
        <v>73</v>
      </c>
      <c r="S461" t="str">
        <f t="shared" si="131"/>
        <v>West</v>
      </c>
      <c r="T461" t="s">
        <v>249</v>
      </c>
      <c r="U461" t="str">
        <f t="shared" si="132"/>
        <v>Goa</v>
      </c>
      <c r="V461" t="s">
        <v>250</v>
      </c>
      <c r="W461" t="str">
        <f t="shared" si="133"/>
        <v>Panaji</v>
      </c>
      <c r="X461" t="s">
        <v>30</v>
      </c>
      <c r="Y461" t="str">
        <f t="shared" si="134"/>
        <v>Office Supplies</v>
      </c>
      <c r="Z461" t="s">
        <v>31</v>
      </c>
      <c r="AA461" t="str">
        <f t="shared" si="135"/>
        <v>Paper</v>
      </c>
      <c r="AB461" t="s">
        <v>2255</v>
      </c>
      <c r="AC461" t="s">
        <v>56</v>
      </c>
      <c r="AD461" t="str">
        <f t="shared" si="136"/>
        <v>First Class</v>
      </c>
      <c r="AE461">
        <v>3</v>
      </c>
      <c r="AF461">
        <v>1150.92</v>
      </c>
      <c r="AG461">
        <v>0</v>
      </c>
      <c r="AH461">
        <v>0</v>
      </c>
      <c r="AI461" t="str">
        <f t="shared" si="137"/>
        <v>Valid</v>
      </c>
      <c r="AJ461">
        <v>3452.76</v>
      </c>
      <c r="AK461">
        <f t="shared" si="138"/>
        <v>3452.76</v>
      </c>
      <c r="AL461">
        <v>2077.96</v>
      </c>
      <c r="AM461">
        <v>1374.8</v>
      </c>
      <c r="AN461">
        <f t="shared" si="139"/>
        <v>1374.8000000000002</v>
      </c>
      <c r="AO461">
        <f t="shared" si="140"/>
        <v>-2077.96</v>
      </c>
      <c r="AP461" t="s">
        <v>34</v>
      </c>
      <c r="AQ461" t="str">
        <f t="shared" si="141"/>
        <v>Paid</v>
      </c>
      <c r="AR461" t="s">
        <v>35</v>
      </c>
      <c r="AS461" t="str">
        <f t="shared" si="142"/>
        <v>Completed</v>
      </c>
      <c r="AT461" t="str">
        <f t="shared" si="143"/>
        <v>Clean</v>
      </c>
    </row>
    <row r="462" spans="1:46">
      <c r="A462" t="s">
        <v>2256</v>
      </c>
      <c r="B462">
        <f>COUNTIF($D$2:D462,D462)</f>
        <v>1</v>
      </c>
      <c r="C462" t="str">
        <f>IF(COUNTIF($A:$A,A462)=1,
"Unique",
IF(COUNTIFS($A:$A,A462,$N:$N,N462,$AF:$AF,AF462,$AJ:$AJ,AJ462)&gt;1,
"Exact Duplicate",
"Conflicting Duplicate"))</f>
        <v>Unique</v>
      </c>
      <c r="D462" t="s">
        <v>2257</v>
      </c>
      <c r="E462" t="s">
        <v>2258</v>
      </c>
      <c r="F462" s="2">
        <v>45930</v>
      </c>
      <c r="G462" s="2">
        <v>45818</v>
      </c>
      <c r="H462" s="5" t="str">
        <f t="shared" si="126"/>
        <v>September</v>
      </c>
      <c r="I462" s="5">
        <f t="shared" si="127"/>
        <v>2025</v>
      </c>
      <c r="J462" t="str">
        <f>IF(F462="","Missing Date",
IF(ISNUMBER(F462),"Valid","Invalid Date"))</f>
        <v>Valid</v>
      </c>
      <c r="K462" t="str">
        <f t="shared" si="128"/>
        <v>Valid</v>
      </c>
      <c r="L462">
        <f>G462-F462</f>
        <v>-112</v>
      </c>
      <c r="M462" t="s">
        <v>2259</v>
      </c>
      <c r="N462" t="s">
        <v>162</v>
      </c>
      <c r="O462" t="str">
        <f t="shared" si="129"/>
        <v>Aarav Sharma</v>
      </c>
      <c r="P462" t="s">
        <v>108</v>
      </c>
      <c r="Q462" t="str">
        <f t="shared" si="130"/>
        <v>Corporate</v>
      </c>
      <c r="R462" t="s">
        <v>4104</v>
      </c>
      <c r="S462" t="s">
        <v>4104</v>
      </c>
      <c r="T462" t="s">
        <v>28</v>
      </c>
      <c r="U462" t="str">
        <f t="shared" si="132"/>
        <v>Rajasthan</v>
      </c>
      <c r="V462" t="s">
        <v>29</v>
      </c>
      <c r="W462" t="str">
        <f t="shared" si="133"/>
        <v>Jaipur</v>
      </c>
      <c r="X462" t="s">
        <v>86</v>
      </c>
      <c r="Y462" t="str">
        <f t="shared" si="134"/>
        <v>Technology</v>
      </c>
      <c r="Z462" t="s">
        <v>94</v>
      </c>
      <c r="AA462" t="str">
        <f t="shared" si="135"/>
        <v>Copiers</v>
      </c>
      <c r="AB462" t="s">
        <v>2260</v>
      </c>
      <c r="AC462" t="s">
        <v>33</v>
      </c>
      <c r="AD462" t="str">
        <f t="shared" si="136"/>
        <v>Second Class</v>
      </c>
      <c r="AE462">
        <v>9</v>
      </c>
      <c r="AF462">
        <v>1359.88</v>
      </c>
      <c r="AG462">
        <v>0.05</v>
      </c>
      <c r="AH462">
        <v>0.05</v>
      </c>
      <c r="AI462" t="str">
        <f t="shared" si="137"/>
        <v>Valid</v>
      </c>
      <c r="AJ462">
        <v>11626.97</v>
      </c>
      <c r="AK462">
        <f t="shared" si="138"/>
        <v>11626.974000000002</v>
      </c>
      <c r="AL462">
        <v>7394.07</v>
      </c>
      <c r="AM462">
        <v>4232.8999999999996</v>
      </c>
      <c r="AN462">
        <f t="shared" si="139"/>
        <v>4232.9040000000023</v>
      </c>
      <c r="AO462">
        <f t="shared" si="140"/>
        <v>-7394.07</v>
      </c>
      <c r="AP462" t="s">
        <v>34</v>
      </c>
      <c r="AQ462" t="str">
        <f t="shared" si="141"/>
        <v>Paid</v>
      </c>
      <c r="AR462" t="s">
        <v>35</v>
      </c>
      <c r="AS462" t="str">
        <f t="shared" si="142"/>
        <v>Completed</v>
      </c>
      <c r="AT462" t="str">
        <f t="shared" si="143"/>
        <v>Clean</v>
      </c>
    </row>
    <row r="463" spans="1:46">
      <c r="A463" t="s">
        <v>2261</v>
      </c>
      <c r="B463">
        <f>COUNTIF($D$2:D463,D463)</f>
        <v>1</v>
      </c>
      <c r="C463" t="str">
        <f>IF(COUNTIF($A:$A,A463)=1,
"Unique",
IF(COUNTIFS($A:$A,A463,$N:$N,N463,$AF:$AF,AF463,$AJ:$AJ,AJ463)&gt;1,
"Exact Duplicate",
"Conflicting Duplicate"))</f>
        <v>Unique</v>
      </c>
      <c r="D463" t="s">
        <v>2262</v>
      </c>
      <c r="E463" t="s">
        <v>1522</v>
      </c>
      <c r="F463" s="3">
        <v>45802</v>
      </c>
      <c r="G463" s="3">
        <v>45803</v>
      </c>
      <c r="H463" s="5" t="str">
        <f t="shared" si="126"/>
        <v>May</v>
      </c>
      <c r="I463" s="5">
        <f t="shared" si="127"/>
        <v>2025</v>
      </c>
      <c r="J463" t="str">
        <f>IF(F463="","Missing Date",
IF(ISNUMBER(F463),"Valid","Invalid Date"))</f>
        <v>Valid</v>
      </c>
      <c r="K463" t="str">
        <f t="shared" si="128"/>
        <v>Valid</v>
      </c>
      <c r="L463">
        <f>G463-F463</f>
        <v>1</v>
      </c>
      <c r="M463" t="s">
        <v>2263</v>
      </c>
      <c r="N463" t="s">
        <v>93</v>
      </c>
      <c r="O463" t="str">
        <f t="shared" si="129"/>
        <v>Neha Gupta</v>
      </c>
      <c r="P463" t="s">
        <v>108</v>
      </c>
      <c r="Q463" t="str">
        <f t="shared" si="130"/>
        <v>Corporate</v>
      </c>
      <c r="R463" t="s">
        <v>62</v>
      </c>
      <c r="S463" t="str">
        <f t="shared" si="131"/>
        <v>South</v>
      </c>
      <c r="T463" t="s">
        <v>100</v>
      </c>
      <c r="U463" t="str">
        <f t="shared" si="132"/>
        <v>Andhra Pradesh</v>
      </c>
      <c r="V463" t="s">
        <v>101</v>
      </c>
      <c r="W463" t="str">
        <f t="shared" si="133"/>
        <v>Vijayawada</v>
      </c>
      <c r="X463" t="s">
        <v>30</v>
      </c>
      <c r="Y463" t="str">
        <f t="shared" si="134"/>
        <v>Office Supplies</v>
      </c>
      <c r="Z463" t="s">
        <v>31</v>
      </c>
      <c r="AA463" t="str">
        <f t="shared" si="135"/>
        <v>Paper</v>
      </c>
      <c r="AB463" t="s">
        <v>2264</v>
      </c>
      <c r="AC463" t="s">
        <v>67</v>
      </c>
      <c r="AD463" t="str">
        <f t="shared" si="136"/>
        <v>Standard Class</v>
      </c>
      <c r="AE463">
        <v>3</v>
      </c>
      <c r="AF463">
        <v>3378.15</v>
      </c>
      <c r="AG463">
        <v>0.15</v>
      </c>
      <c r="AH463">
        <v>0.15</v>
      </c>
      <c r="AI463" t="str">
        <f t="shared" si="137"/>
        <v>Valid</v>
      </c>
      <c r="AJ463">
        <v>8614.2800000000007</v>
      </c>
      <c r="AK463">
        <f t="shared" si="138"/>
        <v>8614.2825000000012</v>
      </c>
      <c r="AL463">
        <v>7052.08</v>
      </c>
      <c r="AM463">
        <v>1562.2</v>
      </c>
      <c r="AN463">
        <f t="shared" si="139"/>
        <v>1562.2025000000012</v>
      </c>
      <c r="AO463">
        <f t="shared" si="140"/>
        <v>-7052.08</v>
      </c>
      <c r="AP463" t="s">
        <v>34</v>
      </c>
      <c r="AQ463" t="str">
        <f t="shared" si="141"/>
        <v>Paid</v>
      </c>
      <c r="AR463" t="s">
        <v>35</v>
      </c>
      <c r="AS463" t="str">
        <f t="shared" si="142"/>
        <v>Completed</v>
      </c>
      <c r="AT463" t="str">
        <f t="shared" si="143"/>
        <v>Clean</v>
      </c>
    </row>
    <row r="464" spans="1:46">
      <c r="A464" t="s">
        <v>2265</v>
      </c>
      <c r="B464">
        <f>COUNTIF($D$2:D464,D464)</f>
        <v>2</v>
      </c>
      <c r="C464" t="str">
        <f>IF(COUNTIF($A:$A,A464)=1,
"Unique",
IF(COUNTIFS($A:$A,A464,$N:$N,N464,$AF:$AF,AF464,$AJ:$AJ,AJ464)&gt;1,
"Exact Duplicate",
"Conflicting Duplicate"))</f>
        <v>Unique</v>
      </c>
      <c r="D464" t="s">
        <v>2008</v>
      </c>
      <c r="E464" t="s">
        <v>2266</v>
      </c>
      <c r="F464" s="3">
        <v>45558</v>
      </c>
      <c r="G464" s="3">
        <v>45560</v>
      </c>
      <c r="H464" s="5" t="str">
        <f t="shared" si="126"/>
        <v>September</v>
      </c>
      <c r="I464" s="5">
        <f t="shared" si="127"/>
        <v>2024</v>
      </c>
      <c r="J464" t="str">
        <f>IF(F464="","Missing Date",
IF(ISNUMBER(F464),"Valid","Invalid Date"))</f>
        <v>Valid</v>
      </c>
      <c r="K464" t="str">
        <f t="shared" si="128"/>
        <v>Valid</v>
      </c>
      <c r="L464">
        <f>G464-F464</f>
        <v>2</v>
      </c>
      <c r="M464" t="s">
        <v>2267</v>
      </c>
      <c r="N464" t="s">
        <v>162</v>
      </c>
      <c r="O464" t="str">
        <f t="shared" si="129"/>
        <v>Aarav Sharma</v>
      </c>
      <c r="P464" t="s">
        <v>115</v>
      </c>
      <c r="Q464" t="str">
        <f t="shared" si="130"/>
        <v>Home Office</v>
      </c>
      <c r="R464" t="s">
        <v>27</v>
      </c>
      <c r="S464" t="str">
        <f t="shared" si="131"/>
        <v>North</v>
      </c>
      <c r="T464" t="s">
        <v>506</v>
      </c>
      <c r="U464" t="str">
        <f t="shared" si="132"/>
        <v>Delhi</v>
      </c>
      <c r="V464" t="s">
        <v>507</v>
      </c>
      <c r="W464" t="str">
        <f t="shared" si="133"/>
        <v>New Delhi</v>
      </c>
      <c r="X464" t="s">
        <v>30</v>
      </c>
      <c r="Y464" t="str">
        <f t="shared" si="134"/>
        <v>Office Supplies</v>
      </c>
      <c r="Z464" t="s">
        <v>198</v>
      </c>
      <c r="AA464" t="str">
        <f t="shared" si="135"/>
        <v>Binders</v>
      </c>
      <c r="AB464" t="s">
        <v>2268</v>
      </c>
      <c r="AC464" t="s">
        <v>56</v>
      </c>
      <c r="AD464" t="str">
        <f t="shared" si="136"/>
        <v>First Class</v>
      </c>
      <c r="AE464">
        <v>2</v>
      </c>
      <c r="AF464">
        <v>1275.1400000000001</v>
      </c>
      <c r="AG464">
        <v>0.2</v>
      </c>
      <c r="AH464">
        <v>0.2</v>
      </c>
      <c r="AI464" t="str">
        <f t="shared" si="137"/>
        <v>Valid</v>
      </c>
      <c r="AJ464">
        <v>2040.22</v>
      </c>
      <c r="AK464">
        <f t="shared" si="138"/>
        <v>2040.2240000000002</v>
      </c>
      <c r="AL464">
        <v>1395.71</v>
      </c>
      <c r="AM464">
        <v>644.51</v>
      </c>
      <c r="AN464">
        <f t="shared" si="139"/>
        <v>644.51400000000012</v>
      </c>
      <c r="AO464">
        <f t="shared" si="140"/>
        <v>-1395.71</v>
      </c>
      <c r="AP464" t="s">
        <v>34</v>
      </c>
      <c r="AQ464" t="str">
        <f t="shared" si="141"/>
        <v>Paid</v>
      </c>
      <c r="AR464" t="s">
        <v>35</v>
      </c>
      <c r="AS464" t="str">
        <f t="shared" si="142"/>
        <v>Completed</v>
      </c>
      <c r="AT464" t="str">
        <f t="shared" si="143"/>
        <v>Clean</v>
      </c>
    </row>
    <row r="465" spans="1:46">
      <c r="A465" t="s">
        <v>2269</v>
      </c>
      <c r="B465">
        <f>COUNTIF($D$2:D465,D465)</f>
        <v>2</v>
      </c>
      <c r="C465" t="str">
        <f>IF(COUNTIF($A:$A,A465)=1,
"Unique",
IF(COUNTIFS($A:$A,A465,$N:$N,N465,$AF:$AF,AF465,$AJ:$AJ,AJ465)&gt;1,
"Exact Duplicate",
"Conflicting Duplicate"))</f>
        <v>Unique</v>
      </c>
      <c r="D465" t="s">
        <v>441</v>
      </c>
      <c r="E465" t="s">
        <v>2270</v>
      </c>
      <c r="F465" s="3">
        <v>45840</v>
      </c>
      <c r="G465" s="3">
        <v>45871</v>
      </c>
      <c r="H465" s="5" t="str">
        <f t="shared" si="126"/>
        <v>July</v>
      </c>
      <c r="I465" s="5">
        <f t="shared" si="127"/>
        <v>2025</v>
      </c>
      <c r="J465" t="str">
        <f>IF(F465="","Missing Date",
IF(ISNUMBER(F465),"Valid","Invalid Date"))</f>
        <v>Valid</v>
      </c>
      <c r="K465" t="str">
        <f t="shared" si="128"/>
        <v>Valid</v>
      </c>
      <c r="L465">
        <f>G465-F465</f>
        <v>31</v>
      </c>
      <c r="M465" t="s">
        <v>2271</v>
      </c>
      <c r="N465" t="s">
        <v>61</v>
      </c>
      <c r="O465" t="str">
        <f t="shared" si="129"/>
        <v>Arjun Bose</v>
      </c>
      <c r="P465" t="s">
        <v>108</v>
      </c>
      <c r="Q465" t="str">
        <f t="shared" si="130"/>
        <v>Corporate</v>
      </c>
      <c r="R465" t="s">
        <v>73</v>
      </c>
      <c r="S465" t="str">
        <f t="shared" si="131"/>
        <v>West</v>
      </c>
      <c r="T465" t="s">
        <v>84</v>
      </c>
      <c r="U465" t="str">
        <f t="shared" si="132"/>
        <v>Madhya Pradesh</v>
      </c>
      <c r="V465" t="s">
        <v>85</v>
      </c>
      <c r="W465" t="str">
        <f t="shared" si="133"/>
        <v>Indore</v>
      </c>
      <c r="X465" t="s">
        <v>86</v>
      </c>
      <c r="Y465" t="str">
        <f t="shared" si="134"/>
        <v>Technology</v>
      </c>
      <c r="Z465" t="s">
        <v>223</v>
      </c>
      <c r="AA465" t="str">
        <f t="shared" si="135"/>
        <v>Phones</v>
      </c>
      <c r="AB465" t="s">
        <v>2272</v>
      </c>
      <c r="AC465" t="s">
        <v>67</v>
      </c>
      <c r="AD465" t="str">
        <f t="shared" si="136"/>
        <v>Standard Class</v>
      </c>
      <c r="AE465">
        <v>4</v>
      </c>
      <c r="AF465">
        <v>889.5</v>
      </c>
      <c r="AG465">
        <v>0.2</v>
      </c>
      <c r="AH465">
        <v>0.2</v>
      </c>
      <c r="AI465" t="str">
        <f t="shared" si="137"/>
        <v>Valid</v>
      </c>
      <c r="AJ465">
        <v>2846.4</v>
      </c>
      <c r="AK465">
        <f t="shared" si="138"/>
        <v>2846.4</v>
      </c>
      <c r="AL465">
        <v>2132.37</v>
      </c>
      <c r="AM465">
        <v>714.03</v>
      </c>
      <c r="AN465">
        <f t="shared" si="139"/>
        <v>714.0300000000002</v>
      </c>
      <c r="AO465">
        <f t="shared" si="140"/>
        <v>-2132.37</v>
      </c>
      <c r="AP465" t="s">
        <v>34</v>
      </c>
      <c r="AQ465" t="str">
        <f t="shared" si="141"/>
        <v>Paid</v>
      </c>
      <c r="AR465" t="s">
        <v>35</v>
      </c>
      <c r="AS465" t="str">
        <f t="shared" si="142"/>
        <v>Completed</v>
      </c>
      <c r="AT465" t="str">
        <f t="shared" si="143"/>
        <v>Clean</v>
      </c>
    </row>
    <row r="466" spans="1:46">
      <c r="A466" t="s">
        <v>2273</v>
      </c>
      <c r="B466">
        <f>COUNTIF($D$2:D466,D466)</f>
        <v>1</v>
      </c>
      <c r="C466" t="str">
        <f>IF(COUNTIF($A:$A,A466)=1,
"Unique",
IF(COUNTIFS($A:$A,A466,$N:$N,N466,$AF:$AF,AF466,$AJ:$AJ,AJ466)&gt;1,
"Exact Duplicate",
"Conflicting Duplicate"))</f>
        <v>Unique</v>
      </c>
      <c r="D466" t="s">
        <v>2274</v>
      </c>
      <c r="E466" t="s">
        <v>2275</v>
      </c>
      <c r="F466" s="3">
        <v>45964</v>
      </c>
      <c r="G466" s="3">
        <v>45731</v>
      </c>
      <c r="H466" s="5" t="str">
        <f t="shared" si="126"/>
        <v>November</v>
      </c>
      <c r="I466" s="5">
        <f t="shared" si="127"/>
        <v>2025</v>
      </c>
      <c r="J466" t="str">
        <f>IF(F466="","Missing Date",
IF(ISNUMBER(F466),"Valid","Invalid Date"))</f>
        <v>Valid</v>
      </c>
      <c r="K466" t="str">
        <f t="shared" si="128"/>
        <v>Valid</v>
      </c>
      <c r="L466">
        <f>G466-F466</f>
        <v>-233</v>
      </c>
      <c r="M466" t="s">
        <v>2276</v>
      </c>
      <c r="N466" t="s">
        <v>61</v>
      </c>
      <c r="O466" t="str">
        <f t="shared" si="129"/>
        <v>Arjun Bose</v>
      </c>
      <c r="P466" t="s">
        <v>108</v>
      </c>
      <c r="Q466" t="str">
        <f t="shared" si="130"/>
        <v>Corporate</v>
      </c>
      <c r="R466" t="s">
        <v>42</v>
      </c>
      <c r="S466" t="str">
        <f t="shared" si="131"/>
        <v>East</v>
      </c>
      <c r="T466" t="s">
        <v>186</v>
      </c>
      <c r="U466" t="str">
        <f t="shared" si="132"/>
        <v>Bihar</v>
      </c>
      <c r="V466" t="s">
        <v>187</v>
      </c>
      <c r="W466" t="str">
        <f t="shared" si="133"/>
        <v>Patna</v>
      </c>
      <c r="X466" t="s">
        <v>30</v>
      </c>
      <c r="Y466" t="str">
        <f t="shared" si="134"/>
        <v>Office Supplies</v>
      </c>
      <c r="Z466" t="s">
        <v>31</v>
      </c>
      <c r="AA466" t="str">
        <f t="shared" si="135"/>
        <v>Paper</v>
      </c>
      <c r="AB466" t="s">
        <v>2277</v>
      </c>
      <c r="AC466" t="s">
        <v>48</v>
      </c>
      <c r="AD466" t="str">
        <f t="shared" si="136"/>
        <v>Same Day</v>
      </c>
      <c r="AE466">
        <v>3</v>
      </c>
      <c r="AF466">
        <v>3625.08</v>
      </c>
      <c r="AG466">
        <v>0.05</v>
      </c>
      <c r="AH466">
        <v>0.05</v>
      </c>
      <c r="AI466" t="str">
        <f t="shared" si="137"/>
        <v>Valid</v>
      </c>
      <c r="AJ466">
        <v>10331.48</v>
      </c>
      <c r="AK466">
        <f t="shared" si="138"/>
        <v>10331.477999999999</v>
      </c>
      <c r="AL466">
        <v>7131.91</v>
      </c>
      <c r="AM466">
        <v>3199.57</v>
      </c>
      <c r="AN466">
        <f t="shared" si="139"/>
        <v>3199.5679999999993</v>
      </c>
      <c r="AO466">
        <f t="shared" si="140"/>
        <v>-7131.91</v>
      </c>
      <c r="AP466" t="s">
        <v>137</v>
      </c>
      <c r="AQ466" t="str">
        <f t="shared" si="141"/>
        <v>Pending</v>
      </c>
      <c r="AR466" t="s">
        <v>78</v>
      </c>
      <c r="AS466" t="str">
        <f t="shared" si="142"/>
        <v>Cancelled</v>
      </c>
      <c r="AT466" t="str">
        <f t="shared" si="143"/>
        <v>Clean</v>
      </c>
    </row>
    <row r="467" spans="1:46">
      <c r="A467" t="s">
        <v>2278</v>
      </c>
      <c r="B467">
        <f>COUNTIF($D$2:D467,D467)</f>
        <v>1</v>
      </c>
      <c r="C467" t="str">
        <f>IF(COUNTIF($A:$A,A467)=1,
"Unique",
IF(COUNTIFS($A:$A,A467,$N:$N,N467,$AF:$AF,AF467,$AJ:$AJ,AJ467)&gt;1,
"Exact Duplicate",
"Conflicting Duplicate"))</f>
        <v>Unique</v>
      </c>
      <c r="D467" t="s">
        <v>2279</v>
      </c>
      <c r="E467" t="s">
        <v>2280</v>
      </c>
      <c r="F467" s="3">
        <v>45320</v>
      </c>
      <c r="G467" s="3">
        <v>45445</v>
      </c>
      <c r="H467" s="5" t="str">
        <f t="shared" si="126"/>
        <v>January</v>
      </c>
      <c r="I467" s="5">
        <f t="shared" si="127"/>
        <v>2024</v>
      </c>
      <c r="J467" t="str">
        <f>IF(F467="","Missing Date",
IF(ISNUMBER(F467),"Valid","Invalid Date"))</f>
        <v>Valid</v>
      </c>
      <c r="K467" t="str">
        <f t="shared" si="128"/>
        <v>Valid</v>
      </c>
      <c r="L467">
        <f>G467-F467</f>
        <v>125</v>
      </c>
      <c r="M467" t="s">
        <v>2281</v>
      </c>
      <c r="N467" t="s">
        <v>162</v>
      </c>
      <c r="O467" t="str">
        <f t="shared" si="129"/>
        <v>Aarav Sharma</v>
      </c>
      <c r="P467" t="s">
        <v>41</v>
      </c>
      <c r="Q467" t="str">
        <f t="shared" si="130"/>
        <v>Small Business</v>
      </c>
      <c r="R467" t="s">
        <v>73</v>
      </c>
      <c r="S467" t="str">
        <f t="shared" si="131"/>
        <v>West</v>
      </c>
      <c r="T467" t="s">
        <v>84</v>
      </c>
      <c r="U467" t="str">
        <f t="shared" si="132"/>
        <v>Madhya Pradesh</v>
      </c>
      <c r="V467" t="s">
        <v>85</v>
      </c>
      <c r="W467" t="str">
        <f t="shared" si="133"/>
        <v>Indore</v>
      </c>
      <c r="X467" t="s">
        <v>30</v>
      </c>
      <c r="Y467" t="str">
        <f t="shared" si="134"/>
        <v>Office Supplies</v>
      </c>
      <c r="Z467" t="s">
        <v>109</v>
      </c>
      <c r="AA467" t="str">
        <f t="shared" si="135"/>
        <v>Labels</v>
      </c>
      <c r="AB467" t="s">
        <v>2282</v>
      </c>
      <c r="AC467" t="s">
        <v>67</v>
      </c>
      <c r="AD467" t="str">
        <f t="shared" si="136"/>
        <v>Standard Class</v>
      </c>
      <c r="AE467">
        <v>2</v>
      </c>
      <c r="AF467">
        <v>1258.9000000000001</v>
      </c>
      <c r="AG467">
        <v>0</v>
      </c>
      <c r="AH467">
        <v>0</v>
      </c>
      <c r="AI467" t="str">
        <f t="shared" si="137"/>
        <v>Valid</v>
      </c>
      <c r="AJ467">
        <v>2517.8000000000002</v>
      </c>
      <c r="AK467">
        <f t="shared" si="138"/>
        <v>2517.8000000000002</v>
      </c>
      <c r="AL467">
        <v>1478.54</v>
      </c>
      <c r="AM467">
        <v>1039.26</v>
      </c>
      <c r="AN467">
        <f t="shared" si="139"/>
        <v>1039.2600000000002</v>
      </c>
      <c r="AO467">
        <f t="shared" si="140"/>
        <v>-1478.54</v>
      </c>
      <c r="AP467" t="s">
        <v>34</v>
      </c>
      <c r="AQ467" t="str">
        <f t="shared" si="141"/>
        <v>Paid</v>
      </c>
      <c r="AR467" t="s">
        <v>35</v>
      </c>
      <c r="AS467" t="str">
        <f t="shared" si="142"/>
        <v>Completed</v>
      </c>
      <c r="AT467" t="str">
        <f t="shared" si="143"/>
        <v>Clean</v>
      </c>
    </row>
    <row r="468" spans="1:46">
      <c r="A468" t="s">
        <v>2283</v>
      </c>
      <c r="B468">
        <f>COUNTIF($D$2:D468,D468)</f>
        <v>1</v>
      </c>
      <c r="C468" t="str">
        <f>IF(COUNTIF($A:$A,A468)=1,
"Unique",
IF(COUNTIFS($A:$A,A468,$N:$N,N468,$AF:$AF,AF468,$AJ:$AJ,AJ468)&gt;1,
"Exact Duplicate",
"Conflicting Duplicate"))</f>
        <v>Unique</v>
      </c>
      <c r="D468" t="s">
        <v>2284</v>
      </c>
      <c r="E468" t="s">
        <v>2285</v>
      </c>
      <c r="F468" s="3">
        <v>45383</v>
      </c>
      <c r="G468" s="3">
        <v>45299</v>
      </c>
      <c r="H468" s="5" t="str">
        <f t="shared" si="126"/>
        <v>April</v>
      </c>
      <c r="I468" s="5">
        <f t="shared" si="127"/>
        <v>2024</v>
      </c>
      <c r="J468" t="str">
        <f>IF(F468="","Missing Date",
IF(ISNUMBER(F468),"Valid","Invalid Date"))</f>
        <v>Valid</v>
      </c>
      <c r="K468" t="str">
        <f t="shared" si="128"/>
        <v>Valid</v>
      </c>
      <c r="L468">
        <f>G468-F468</f>
        <v>-84</v>
      </c>
      <c r="M468" t="s">
        <v>2286</v>
      </c>
      <c r="N468" t="s">
        <v>40</v>
      </c>
      <c r="O468" t="str">
        <f t="shared" si="129"/>
        <v>Mira Das</v>
      </c>
      <c r="P468" t="s">
        <v>41</v>
      </c>
      <c r="Q468" t="str">
        <f t="shared" si="130"/>
        <v>Small Business</v>
      </c>
      <c r="R468" t="s">
        <v>42</v>
      </c>
      <c r="S468" t="str">
        <f t="shared" si="131"/>
        <v>East</v>
      </c>
      <c r="T468" t="s">
        <v>186</v>
      </c>
      <c r="U468" t="str">
        <f t="shared" si="132"/>
        <v>Bihar</v>
      </c>
      <c r="V468" t="s">
        <v>187</v>
      </c>
      <c r="W468" t="str">
        <f t="shared" si="133"/>
        <v>Patna</v>
      </c>
      <c r="X468" t="s">
        <v>86</v>
      </c>
      <c r="Y468" t="str">
        <f t="shared" si="134"/>
        <v>Technology</v>
      </c>
      <c r="Z468" t="s">
        <v>87</v>
      </c>
      <c r="AA468" t="str">
        <f t="shared" si="135"/>
        <v>Accessories</v>
      </c>
      <c r="AB468" t="s">
        <v>2287</v>
      </c>
      <c r="AC468" t="s">
        <v>48</v>
      </c>
      <c r="AD468" t="str">
        <f t="shared" si="136"/>
        <v>Same Day</v>
      </c>
      <c r="AE468">
        <v>9</v>
      </c>
      <c r="AF468">
        <v>1591.96</v>
      </c>
      <c r="AG468">
        <v>0.2</v>
      </c>
      <c r="AH468">
        <v>0.2</v>
      </c>
      <c r="AI468" t="str">
        <f t="shared" si="137"/>
        <v>Valid</v>
      </c>
      <c r="AJ468">
        <v>11462.11</v>
      </c>
      <c r="AK468">
        <f t="shared" si="138"/>
        <v>11462.112000000001</v>
      </c>
      <c r="AL468">
        <v>7105.48</v>
      </c>
      <c r="AM468">
        <v>4356.63</v>
      </c>
      <c r="AN468">
        <f t="shared" si="139"/>
        <v>4356.6320000000014</v>
      </c>
      <c r="AO468">
        <f t="shared" si="140"/>
        <v>-7105.48</v>
      </c>
      <c r="AP468" t="s">
        <v>34</v>
      </c>
      <c r="AQ468" t="str">
        <f t="shared" si="141"/>
        <v>Paid</v>
      </c>
      <c r="AR468" t="s">
        <v>35</v>
      </c>
      <c r="AS468" t="str">
        <f t="shared" si="142"/>
        <v>Completed</v>
      </c>
      <c r="AT468" t="str">
        <f t="shared" si="143"/>
        <v>Clean</v>
      </c>
    </row>
    <row r="469" spans="1:46">
      <c r="A469" t="s">
        <v>2288</v>
      </c>
      <c r="B469">
        <f>COUNTIF($D$2:D469,D469)</f>
        <v>1</v>
      </c>
      <c r="C469" t="str">
        <f>IF(COUNTIF($A:$A,A469)=1,
"Unique",
IF(COUNTIFS($A:$A,A469,$N:$N,N469,$AF:$AF,AF469,$AJ:$AJ,AJ469)&gt;1,
"Exact Duplicate",
"Conflicting Duplicate"))</f>
        <v>Unique</v>
      </c>
      <c r="D469" t="s">
        <v>2289</v>
      </c>
      <c r="E469" t="s">
        <v>1626</v>
      </c>
      <c r="F469" s="3">
        <v>45524</v>
      </c>
      <c r="G469" s="2">
        <v>45525</v>
      </c>
      <c r="H469" s="5" t="str">
        <f t="shared" si="126"/>
        <v>August</v>
      </c>
      <c r="I469" s="5">
        <f t="shared" si="127"/>
        <v>2024</v>
      </c>
      <c r="J469" t="str">
        <f>IF(F469="","Missing Date",
IF(ISNUMBER(F469),"Valid","Invalid Date"))</f>
        <v>Valid</v>
      </c>
      <c r="K469" t="str">
        <f t="shared" si="128"/>
        <v>Valid</v>
      </c>
      <c r="L469">
        <f>G469-F469</f>
        <v>1</v>
      </c>
      <c r="M469" t="s">
        <v>2290</v>
      </c>
      <c r="N469" t="s">
        <v>107</v>
      </c>
      <c r="O469" t="str">
        <f t="shared" si="129"/>
        <v>Aditi Sen</v>
      </c>
      <c r="P469" t="s">
        <v>108</v>
      </c>
      <c r="Q469" t="str">
        <f t="shared" si="130"/>
        <v>Corporate</v>
      </c>
      <c r="R469" t="s">
        <v>42</v>
      </c>
      <c r="S469" t="str">
        <f t="shared" si="131"/>
        <v>East</v>
      </c>
      <c r="T469" t="s">
        <v>43</v>
      </c>
      <c r="U469" t="str">
        <f t="shared" si="132"/>
        <v>Odisha</v>
      </c>
      <c r="V469" t="s">
        <v>44</v>
      </c>
      <c r="W469" t="str">
        <f t="shared" si="133"/>
        <v>Bhubaneswar</v>
      </c>
      <c r="X469" t="s">
        <v>86</v>
      </c>
      <c r="Y469" t="str">
        <f t="shared" si="134"/>
        <v>Technology</v>
      </c>
      <c r="Z469" t="s">
        <v>94</v>
      </c>
      <c r="AA469" t="str">
        <f t="shared" si="135"/>
        <v>Copiers</v>
      </c>
      <c r="AB469" t="s">
        <v>2291</v>
      </c>
      <c r="AC469" t="s">
        <v>56</v>
      </c>
      <c r="AD469" t="str">
        <f t="shared" si="136"/>
        <v>First Class</v>
      </c>
      <c r="AE469">
        <v>5</v>
      </c>
      <c r="AF469">
        <v>4288.33</v>
      </c>
      <c r="AG469">
        <v>0.1</v>
      </c>
      <c r="AH469">
        <v>0.1</v>
      </c>
      <c r="AI469" t="str">
        <f t="shared" si="137"/>
        <v>Valid</v>
      </c>
      <c r="AJ469">
        <v>19297.490000000002</v>
      </c>
      <c r="AK469">
        <f t="shared" si="138"/>
        <v>19297.485000000001</v>
      </c>
      <c r="AL469">
        <v>15451.66</v>
      </c>
      <c r="AM469">
        <v>3845.83</v>
      </c>
      <c r="AN469">
        <f t="shared" si="139"/>
        <v>3845.8250000000007</v>
      </c>
      <c r="AO469">
        <f t="shared" si="140"/>
        <v>-15451.66</v>
      </c>
      <c r="AP469" t="s">
        <v>124</v>
      </c>
      <c r="AQ469" t="str">
        <f t="shared" si="141"/>
        <v>Refunded</v>
      </c>
      <c r="AR469" t="s">
        <v>78</v>
      </c>
      <c r="AS469" t="str">
        <f t="shared" si="142"/>
        <v>Cancelled</v>
      </c>
      <c r="AT469" t="str">
        <f t="shared" si="143"/>
        <v>Clean</v>
      </c>
    </row>
    <row r="470" spans="1:46">
      <c r="A470" t="s">
        <v>2292</v>
      </c>
      <c r="B470">
        <f>COUNTIF($D$2:D470,D470)</f>
        <v>1</v>
      </c>
      <c r="C470" t="str">
        <f>IF(COUNTIF($A:$A,A470)=1,
"Unique",
IF(COUNTIFS($A:$A,A470,$N:$N,N470,$AF:$AF,AF470,$AJ:$AJ,AJ470)&gt;1,
"Exact Duplicate",
"Conflicting Duplicate"))</f>
        <v>Unique</v>
      </c>
      <c r="D470" t="s">
        <v>2293</v>
      </c>
      <c r="E470" t="s">
        <v>2294</v>
      </c>
      <c r="F470" s="2">
        <v>45901</v>
      </c>
      <c r="G470" s="2">
        <v>45839</v>
      </c>
      <c r="H470" s="5" t="str">
        <f t="shared" si="126"/>
        <v>September</v>
      </c>
      <c r="I470" s="5">
        <f t="shared" si="127"/>
        <v>2025</v>
      </c>
      <c r="J470" t="str">
        <f>IF(F470="","Missing Date",
IF(ISNUMBER(F470),"Valid","Invalid Date"))</f>
        <v>Valid</v>
      </c>
      <c r="K470" t="str">
        <f t="shared" si="128"/>
        <v>Valid</v>
      </c>
      <c r="L470">
        <f>G470-F470</f>
        <v>-62</v>
      </c>
      <c r="M470" t="s">
        <v>2295</v>
      </c>
      <c r="N470" t="s">
        <v>162</v>
      </c>
      <c r="O470" t="str">
        <f t="shared" si="129"/>
        <v>Aarav Sharma</v>
      </c>
      <c r="P470" t="s">
        <v>115</v>
      </c>
      <c r="Q470" t="str">
        <f t="shared" si="130"/>
        <v>Home Office</v>
      </c>
      <c r="R470" t="s">
        <v>42</v>
      </c>
      <c r="S470" t="str">
        <f t="shared" si="131"/>
        <v>East</v>
      </c>
      <c r="T470" t="s">
        <v>121</v>
      </c>
      <c r="U470" t="str">
        <f t="shared" si="132"/>
        <v>West Bengal</v>
      </c>
      <c r="V470" t="s">
        <v>122</v>
      </c>
      <c r="W470" t="str">
        <f t="shared" si="133"/>
        <v>Kolkata</v>
      </c>
      <c r="X470" t="s">
        <v>30</v>
      </c>
      <c r="Y470" t="str">
        <f t="shared" si="134"/>
        <v>Office Supplies</v>
      </c>
      <c r="Z470" t="s">
        <v>198</v>
      </c>
      <c r="AA470" t="str">
        <f t="shared" si="135"/>
        <v>Binders</v>
      </c>
      <c r="AB470" t="s">
        <v>2296</v>
      </c>
      <c r="AC470" t="s">
        <v>33</v>
      </c>
      <c r="AD470" t="str">
        <f t="shared" si="136"/>
        <v>Second Class</v>
      </c>
      <c r="AE470">
        <v>3</v>
      </c>
      <c r="AF470">
        <v>2188.33</v>
      </c>
      <c r="AG470">
        <v>0</v>
      </c>
      <c r="AH470">
        <v>0</v>
      </c>
      <c r="AI470" t="str">
        <f t="shared" si="137"/>
        <v>Valid</v>
      </c>
      <c r="AJ470">
        <v>6564.99</v>
      </c>
      <c r="AK470">
        <f t="shared" si="138"/>
        <v>6564.99</v>
      </c>
      <c r="AL470">
        <v>5407.24</v>
      </c>
      <c r="AM470">
        <v>1157.75</v>
      </c>
      <c r="AN470">
        <f t="shared" si="139"/>
        <v>1157.75</v>
      </c>
      <c r="AO470">
        <f t="shared" si="140"/>
        <v>-5407.24</v>
      </c>
      <c r="AP470" t="s">
        <v>34</v>
      </c>
      <c r="AQ470" t="str">
        <f t="shared" si="141"/>
        <v>Paid</v>
      </c>
      <c r="AR470" t="s">
        <v>35</v>
      </c>
      <c r="AS470" t="str">
        <f t="shared" si="142"/>
        <v>Completed</v>
      </c>
      <c r="AT470" t="str">
        <f t="shared" si="143"/>
        <v>Clean</v>
      </c>
    </row>
    <row r="471" spans="1:46">
      <c r="A471" t="s">
        <v>2297</v>
      </c>
      <c r="B471">
        <f>COUNTIF($D$2:D471,D471)</f>
        <v>1</v>
      </c>
      <c r="C471" t="str">
        <f>IF(COUNTIF($A:$A,A471)=1,
"Unique",
IF(COUNTIFS($A:$A,A471,$N:$N,N471,$AF:$AF,AF471,$AJ:$AJ,AJ471)&gt;1,
"Exact Duplicate",
"Conflicting Duplicate"))</f>
        <v>Unique</v>
      </c>
      <c r="D471" t="s">
        <v>2298</v>
      </c>
      <c r="E471" t="s">
        <v>2051</v>
      </c>
      <c r="F471" s="3">
        <v>45310</v>
      </c>
      <c r="G471" s="3">
        <v>45316</v>
      </c>
      <c r="H471" s="5" t="str">
        <f t="shared" si="126"/>
        <v>January</v>
      </c>
      <c r="I471" s="5">
        <f t="shared" si="127"/>
        <v>2024</v>
      </c>
      <c r="J471" t="str">
        <f>IF(F471="","Missing Date",
IF(ISNUMBER(F471),"Valid","Invalid Date"))</f>
        <v>Valid</v>
      </c>
      <c r="K471" t="str">
        <f t="shared" si="128"/>
        <v>Valid</v>
      </c>
      <c r="L471">
        <f>G471-F471</f>
        <v>6</v>
      </c>
      <c r="M471" t="s">
        <v>2299</v>
      </c>
      <c r="N471" t="s">
        <v>107</v>
      </c>
      <c r="O471" t="str">
        <f t="shared" si="129"/>
        <v>Aditi Sen</v>
      </c>
      <c r="P471" t="s">
        <v>108</v>
      </c>
      <c r="Q471" t="str">
        <f t="shared" si="130"/>
        <v>Corporate</v>
      </c>
      <c r="R471" t="s">
        <v>73</v>
      </c>
      <c r="S471" t="str">
        <f t="shared" si="131"/>
        <v>West</v>
      </c>
      <c r="T471" t="s">
        <v>249</v>
      </c>
      <c r="U471" t="str">
        <f t="shared" si="132"/>
        <v>Goa</v>
      </c>
      <c r="V471" t="s">
        <v>250</v>
      </c>
      <c r="W471" t="str">
        <f t="shared" si="133"/>
        <v>Panaji</v>
      </c>
      <c r="X471" t="s">
        <v>86</v>
      </c>
      <c r="Y471" t="str">
        <f t="shared" si="134"/>
        <v>Technology</v>
      </c>
      <c r="Z471" t="s">
        <v>94</v>
      </c>
      <c r="AA471" t="str">
        <f t="shared" si="135"/>
        <v>Copiers</v>
      </c>
      <c r="AB471" t="s">
        <v>2300</v>
      </c>
      <c r="AC471" t="s">
        <v>56</v>
      </c>
      <c r="AD471" t="str">
        <f t="shared" si="136"/>
        <v>First Class</v>
      </c>
      <c r="AE471">
        <v>3</v>
      </c>
      <c r="AF471">
        <v>1041.6600000000001</v>
      </c>
      <c r="AG471">
        <v>0.1</v>
      </c>
      <c r="AH471">
        <v>0.1</v>
      </c>
      <c r="AI471" t="str">
        <f t="shared" si="137"/>
        <v>Valid</v>
      </c>
      <c r="AJ471">
        <v>2812.48</v>
      </c>
      <c r="AK471">
        <f t="shared" si="138"/>
        <v>2812.4820000000004</v>
      </c>
      <c r="AL471">
        <v>2282.12</v>
      </c>
      <c r="AM471">
        <v>530.36</v>
      </c>
      <c r="AN471">
        <f t="shared" si="139"/>
        <v>530.36200000000053</v>
      </c>
      <c r="AO471">
        <f t="shared" si="140"/>
        <v>-2282.12</v>
      </c>
      <c r="AP471" t="s">
        <v>34</v>
      </c>
      <c r="AQ471" t="str">
        <f t="shared" si="141"/>
        <v>Paid</v>
      </c>
      <c r="AR471" t="s">
        <v>35</v>
      </c>
      <c r="AS471" t="str">
        <f t="shared" si="142"/>
        <v>Completed</v>
      </c>
      <c r="AT471" t="str">
        <f t="shared" si="143"/>
        <v>Clean</v>
      </c>
    </row>
    <row r="472" spans="1:46">
      <c r="A472" t="s">
        <v>2301</v>
      </c>
      <c r="B472">
        <f>COUNTIF($D$2:D472,D472)</f>
        <v>1</v>
      </c>
      <c r="C472" t="str">
        <f>IF(COUNTIF($A:$A,A472)=1,
"Unique",
IF(COUNTIFS($A:$A,A472,$N:$N,N472,$AF:$AF,AF472,$AJ:$AJ,AJ472)&gt;1,
"Exact Duplicate",
"Conflicting Duplicate"))</f>
        <v>Unique</v>
      </c>
      <c r="D472" t="s">
        <v>2302</v>
      </c>
      <c r="E472" t="s">
        <v>1594</v>
      </c>
      <c r="F472" s="3">
        <v>45501</v>
      </c>
      <c r="G472" s="3">
        <v>45504</v>
      </c>
      <c r="H472" s="5" t="str">
        <f t="shared" si="126"/>
        <v>July</v>
      </c>
      <c r="I472" s="5">
        <f t="shared" si="127"/>
        <v>2024</v>
      </c>
      <c r="J472" t="str">
        <f>IF(F472="","Missing Date",
IF(ISNUMBER(F472),"Valid","Invalid Date"))</f>
        <v>Valid</v>
      </c>
      <c r="K472" t="str">
        <f t="shared" si="128"/>
        <v>Valid</v>
      </c>
      <c r="L472">
        <f>G472-F472</f>
        <v>3</v>
      </c>
      <c r="M472" t="s">
        <v>2303</v>
      </c>
      <c r="N472" t="s">
        <v>107</v>
      </c>
      <c r="O472" t="str">
        <f t="shared" si="129"/>
        <v>Aditi Sen</v>
      </c>
      <c r="P472" t="s">
        <v>26</v>
      </c>
      <c r="Q472" t="str">
        <f t="shared" si="130"/>
        <v>Consumer</v>
      </c>
      <c r="R472" t="s">
        <v>27</v>
      </c>
      <c r="S472" t="str">
        <f t="shared" si="131"/>
        <v>North</v>
      </c>
      <c r="T472" t="s">
        <v>28</v>
      </c>
      <c r="U472" t="str">
        <f t="shared" si="132"/>
        <v>Rajasthan</v>
      </c>
      <c r="V472" t="s">
        <v>29</v>
      </c>
      <c r="W472" t="str">
        <f t="shared" si="133"/>
        <v>Jaipur</v>
      </c>
      <c r="X472" t="s">
        <v>45</v>
      </c>
      <c r="Y472" t="str">
        <f t="shared" si="134"/>
        <v>Furniture</v>
      </c>
      <c r="Z472" t="s">
        <v>46</v>
      </c>
      <c r="AA472" t="str">
        <f t="shared" si="135"/>
        <v>Tables</v>
      </c>
      <c r="AB472" t="s">
        <v>2304</v>
      </c>
      <c r="AC472" t="s">
        <v>48</v>
      </c>
      <c r="AD472" t="str">
        <f t="shared" si="136"/>
        <v>Same Day</v>
      </c>
      <c r="AE472">
        <v>2</v>
      </c>
      <c r="AF472">
        <v>4424.78</v>
      </c>
      <c r="AG472">
        <v>0.2</v>
      </c>
      <c r="AH472">
        <v>0.2</v>
      </c>
      <c r="AI472" t="str">
        <f t="shared" si="137"/>
        <v>Valid</v>
      </c>
      <c r="AJ472">
        <v>7079.65</v>
      </c>
      <c r="AK472">
        <f t="shared" si="138"/>
        <v>7079.6480000000001</v>
      </c>
      <c r="AL472">
        <v>4465.91</v>
      </c>
      <c r="AM472">
        <v>2613.7399999999998</v>
      </c>
      <c r="AN472">
        <f t="shared" si="139"/>
        <v>2613.7380000000003</v>
      </c>
      <c r="AO472">
        <f t="shared" si="140"/>
        <v>-4465.91</v>
      </c>
      <c r="AP472" t="s">
        <v>34</v>
      </c>
      <c r="AQ472" t="str">
        <f t="shared" si="141"/>
        <v>Paid</v>
      </c>
      <c r="AR472" t="s">
        <v>35</v>
      </c>
      <c r="AS472" t="str">
        <f t="shared" si="142"/>
        <v>Completed</v>
      </c>
      <c r="AT472" t="str">
        <f t="shared" si="143"/>
        <v>Clean</v>
      </c>
    </row>
    <row r="473" spans="1:46">
      <c r="A473" t="s">
        <v>2305</v>
      </c>
      <c r="B473">
        <f>COUNTIF($D$2:D473,D473)</f>
        <v>3</v>
      </c>
      <c r="C473" t="str">
        <f>IF(COUNTIF($A:$A,A473)=1,
"Unique",
IF(COUNTIFS($A:$A,A473,$N:$N,N473,$AF:$AF,AF473,$AJ:$AJ,AJ473)&gt;1,
"Exact Duplicate",
"Conflicting Duplicate"))</f>
        <v>Unique</v>
      </c>
      <c r="D473" t="s">
        <v>2306</v>
      </c>
      <c r="E473" t="s">
        <v>2307</v>
      </c>
      <c r="F473" s="3">
        <v>45598</v>
      </c>
      <c r="G473" s="3">
        <v>45337</v>
      </c>
      <c r="H473" s="5" t="str">
        <f t="shared" si="126"/>
        <v>November</v>
      </c>
      <c r="I473" s="5">
        <f t="shared" si="127"/>
        <v>2024</v>
      </c>
      <c r="J473" t="str">
        <f>IF(F473="","Missing Date",
IF(ISNUMBER(F473),"Valid","Invalid Date"))</f>
        <v>Valid</v>
      </c>
      <c r="K473" t="str">
        <f t="shared" si="128"/>
        <v>Valid</v>
      </c>
      <c r="L473">
        <f>G473-F473</f>
        <v>-261</v>
      </c>
      <c r="M473" t="s">
        <v>2308</v>
      </c>
      <c r="N473" t="s">
        <v>366</v>
      </c>
      <c r="O473" t="str">
        <f t="shared" si="129"/>
        <v>Kabir Singh</v>
      </c>
      <c r="P473" t="s">
        <v>26</v>
      </c>
      <c r="Q473" t="str">
        <f t="shared" si="130"/>
        <v>Consumer</v>
      </c>
      <c r="R473" t="s">
        <v>62</v>
      </c>
      <c r="S473" t="str">
        <f t="shared" si="131"/>
        <v>South</v>
      </c>
      <c r="T473" t="s">
        <v>63</v>
      </c>
      <c r="U473" t="str">
        <f t="shared" si="132"/>
        <v>Telangana</v>
      </c>
      <c r="V473" t="s">
        <v>64</v>
      </c>
      <c r="W473" t="str">
        <f t="shared" si="133"/>
        <v>Hyderabad</v>
      </c>
      <c r="X473" t="s">
        <v>30</v>
      </c>
      <c r="Y473" t="str">
        <f t="shared" si="134"/>
        <v>Office Supplies</v>
      </c>
      <c r="Z473" t="s">
        <v>198</v>
      </c>
      <c r="AA473" t="str">
        <f t="shared" si="135"/>
        <v>Binders</v>
      </c>
      <c r="AB473" t="s">
        <v>2309</v>
      </c>
      <c r="AC473" t="s">
        <v>67</v>
      </c>
      <c r="AD473" t="str">
        <f t="shared" si="136"/>
        <v>Standard Class</v>
      </c>
      <c r="AE473">
        <v>3</v>
      </c>
      <c r="AF473">
        <v>3019.14</v>
      </c>
      <c r="AG473">
        <v>0.25</v>
      </c>
      <c r="AH473">
        <v>0.25</v>
      </c>
      <c r="AI473" t="str">
        <f t="shared" si="137"/>
        <v>Valid</v>
      </c>
      <c r="AJ473">
        <v>6793.07</v>
      </c>
      <c r="AK473">
        <f t="shared" si="138"/>
        <v>6793.0650000000005</v>
      </c>
      <c r="AL473">
        <v>4985.22</v>
      </c>
      <c r="AM473">
        <v>1807.85</v>
      </c>
      <c r="AN473">
        <f t="shared" si="139"/>
        <v>1807.8450000000003</v>
      </c>
      <c r="AO473">
        <f t="shared" si="140"/>
        <v>-4985.22</v>
      </c>
      <c r="AP473" t="s">
        <v>34</v>
      </c>
      <c r="AQ473" t="str">
        <f t="shared" si="141"/>
        <v>Paid</v>
      </c>
      <c r="AR473" t="s">
        <v>35</v>
      </c>
      <c r="AS473" t="str">
        <f t="shared" si="142"/>
        <v>Completed</v>
      </c>
      <c r="AT473" t="str">
        <f t="shared" si="143"/>
        <v>Clean</v>
      </c>
    </row>
    <row r="474" spans="1:46">
      <c r="A474" t="s">
        <v>2310</v>
      </c>
      <c r="B474">
        <f>COUNTIF($D$2:D474,D474)</f>
        <v>1</v>
      </c>
      <c r="C474" t="str">
        <f>IF(COUNTIF($A:$A,A474)=1,
"Unique",
IF(COUNTIFS($A:$A,A474,$N:$N,N474,$AF:$AF,AF474,$AJ:$AJ,AJ474)&gt;1,
"Exact Duplicate",
"Conflicting Duplicate"))</f>
        <v>Unique</v>
      </c>
      <c r="D474" t="s">
        <v>2311</v>
      </c>
      <c r="E474" t="s">
        <v>1506</v>
      </c>
      <c r="F474" s="3">
        <v>45325</v>
      </c>
      <c r="G474" s="3">
        <v>45358</v>
      </c>
      <c r="H474" s="5" t="str">
        <f t="shared" si="126"/>
        <v>February</v>
      </c>
      <c r="I474" s="5">
        <f t="shared" si="127"/>
        <v>2024</v>
      </c>
      <c r="J474" t="str">
        <f>IF(F474="","Missing Date",
IF(ISNUMBER(F474),"Valid","Invalid Date"))</f>
        <v>Valid</v>
      </c>
      <c r="K474" t="str">
        <f t="shared" si="128"/>
        <v>Valid</v>
      </c>
      <c r="L474">
        <f>G474-F474</f>
        <v>33</v>
      </c>
      <c r="M474" t="s">
        <v>2312</v>
      </c>
      <c r="N474" t="s">
        <v>180</v>
      </c>
      <c r="O474" t="str">
        <f t="shared" si="129"/>
        <v>Rohan Mehta</v>
      </c>
      <c r="P474" t="s">
        <v>108</v>
      </c>
      <c r="Q474" t="str">
        <f t="shared" si="130"/>
        <v>Corporate</v>
      </c>
      <c r="R474" t="s">
        <v>42</v>
      </c>
      <c r="S474" t="str">
        <f t="shared" si="131"/>
        <v>East</v>
      </c>
      <c r="T474" t="s">
        <v>43</v>
      </c>
      <c r="U474" t="str">
        <f t="shared" si="132"/>
        <v>Odisha</v>
      </c>
      <c r="V474" t="s">
        <v>44</v>
      </c>
      <c r="W474" t="str">
        <f t="shared" si="133"/>
        <v>Bhubaneswar</v>
      </c>
      <c r="X474" t="s">
        <v>30</v>
      </c>
      <c r="Y474" t="str">
        <f t="shared" si="134"/>
        <v>Office Supplies</v>
      </c>
      <c r="Z474" t="s">
        <v>156</v>
      </c>
      <c r="AA474" t="str">
        <f t="shared" si="135"/>
        <v>Storage</v>
      </c>
      <c r="AB474" t="s">
        <v>2313</v>
      </c>
      <c r="AC474" t="s">
        <v>67</v>
      </c>
      <c r="AD474" t="str">
        <f t="shared" si="136"/>
        <v>Standard Class</v>
      </c>
      <c r="AE474">
        <v>7</v>
      </c>
      <c r="AF474">
        <v>263.45999999999998</v>
      </c>
      <c r="AG474">
        <v>0</v>
      </c>
      <c r="AH474">
        <v>0</v>
      </c>
      <c r="AI474" t="str">
        <f t="shared" si="137"/>
        <v>Valid</v>
      </c>
      <c r="AJ474">
        <v>1844.22</v>
      </c>
      <c r="AK474">
        <f t="shared" si="138"/>
        <v>1844.2199999999998</v>
      </c>
      <c r="AL474">
        <v>1094.21</v>
      </c>
      <c r="AM474">
        <v>750.01</v>
      </c>
      <c r="AN474">
        <f t="shared" si="139"/>
        <v>750.00999999999976</v>
      </c>
      <c r="AO474">
        <f t="shared" si="140"/>
        <v>-1094.21</v>
      </c>
      <c r="AP474" t="s">
        <v>34</v>
      </c>
      <c r="AQ474" t="str">
        <f t="shared" si="141"/>
        <v>Paid</v>
      </c>
      <c r="AR474" t="s">
        <v>35</v>
      </c>
      <c r="AS474" t="str">
        <f t="shared" si="142"/>
        <v>Completed</v>
      </c>
      <c r="AT474" t="str">
        <f t="shared" si="143"/>
        <v>Clean</v>
      </c>
    </row>
    <row r="475" spans="1:46">
      <c r="A475" t="s">
        <v>2314</v>
      </c>
      <c r="B475">
        <f>COUNTIF($D$2:D475,D475)</f>
        <v>1</v>
      </c>
      <c r="C475" t="str">
        <f>IF(COUNTIF($A:$A,A475)=1,
"Unique",
IF(COUNTIFS($A:$A,A475,$N:$N,N475,$AF:$AF,AF475,$AJ:$AJ,AJ475)&gt;1,
"Exact Duplicate",
"Conflicting Duplicate"))</f>
        <v>Unique</v>
      </c>
      <c r="D475" t="s">
        <v>2315</v>
      </c>
      <c r="E475" t="s">
        <v>445</v>
      </c>
      <c r="F475" s="3">
        <v>45609</v>
      </c>
      <c r="G475" s="2">
        <v>45609</v>
      </c>
      <c r="H475" s="5" t="str">
        <f t="shared" si="126"/>
        <v>November</v>
      </c>
      <c r="I475" s="5">
        <f t="shared" si="127"/>
        <v>2024</v>
      </c>
      <c r="J475" t="str">
        <f>IF(F475="","Missing Date",
IF(ISNUMBER(F475),"Valid","Invalid Date"))</f>
        <v>Valid</v>
      </c>
      <c r="K475" t="str">
        <f t="shared" si="128"/>
        <v>Valid</v>
      </c>
      <c r="L475">
        <f>G475-F475</f>
        <v>0</v>
      </c>
      <c r="M475" t="s">
        <v>2316</v>
      </c>
      <c r="N475" t="s">
        <v>142</v>
      </c>
      <c r="O475" t="str">
        <f t="shared" si="129"/>
        <v>Priya Menon</v>
      </c>
      <c r="P475" t="s">
        <v>26</v>
      </c>
      <c r="Q475" t="str">
        <f t="shared" si="130"/>
        <v>Consumer</v>
      </c>
      <c r="R475" t="s">
        <v>73</v>
      </c>
      <c r="S475" t="str">
        <f t="shared" si="131"/>
        <v>West</v>
      </c>
      <c r="T475" t="s">
        <v>249</v>
      </c>
      <c r="U475" t="str">
        <f t="shared" si="132"/>
        <v>Goa</v>
      </c>
      <c r="V475" t="s">
        <v>250</v>
      </c>
      <c r="W475" t="str">
        <f t="shared" si="133"/>
        <v>Panaji</v>
      </c>
      <c r="X475" t="s">
        <v>86</v>
      </c>
      <c r="Y475" t="str">
        <f t="shared" si="134"/>
        <v>Technology</v>
      </c>
      <c r="Z475" t="s">
        <v>94</v>
      </c>
      <c r="AA475" t="str">
        <f t="shared" si="135"/>
        <v>Copiers</v>
      </c>
      <c r="AB475" t="s">
        <v>2317</v>
      </c>
      <c r="AC475" t="s">
        <v>67</v>
      </c>
      <c r="AD475" t="str">
        <f t="shared" si="136"/>
        <v>Standard Class</v>
      </c>
      <c r="AE475">
        <v>6</v>
      </c>
      <c r="AF475">
        <v>191.45</v>
      </c>
      <c r="AG475">
        <v>0.2</v>
      </c>
      <c r="AH475">
        <v>0.2</v>
      </c>
      <c r="AI475" t="str">
        <f t="shared" si="137"/>
        <v>Valid</v>
      </c>
      <c r="AJ475">
        <v>918.96</v>
      </c>
      <c r="AK475">
        <f t="shared" si="138"/>
        <v>918.95999999999992</v>
      </c>
      <c r="AL475">
        <v>554.17999999999995</v>
      </c>
      <c r="AM475">
        <v>364.78</v>
      </c>
      <c r="AN475">
        <f t="shared" si="139"/>
        <v>364.78</v>
      </c>
      <c r="AO475">
        <f t="shared" si="140"/>
        <v>-554.17999999999995</v>
      </c>
      <c r="AP475" t="s">
        <v>34</v>
      </c>
      <c r="AQ475" t="str">
        <f t="shared" si="141"/>
        <v>Paid</v>
      </c>
      <c r="AR475" t="s">
        <v>35</v>
      </c>
      <c r="AS475" t="str">
        <f t="shared" si="142"/>
        <v>Completed</v>
      </c>
      <c r="AT475" t="str">
        <f t="shared" si="143"/>
        <v>Clean</v>
      </c>
    </row>
    <row r="476" spans="1:46">
      <c r="A476" t="s">
        <v>2318</v>
      </c>
      <c r="B476">
        <f>COUNTIF($D$2:D476,D476)</f>
        <v>2</v>
      </c>
      <c r="C476" t="str">
        <f>IF(COUNTIF($A:$A,A476)=1,
"Unique",
IF(COUNTIFS($A:$A,A476,$N:$N,N476,$AF:$AF,AF476,$AJ:$AJ,AJ476)&gt;1,
"Exact Duplicate",
"Conflicting Duplicate"))</f>
        <v>Unique</v>
      </c>
      <c r="D476" t="s">
        <v>1220</v>
      </c>
      <c r="E476" t="s">
        <v>2319</v>
      </c>
      <c r="F476" s="3">
        <v>45357</v>
      </c>
      <c r="G476" s="3">
        <v>45571</v>
      </c>
      <c r="H476" s="5" t="str">
        <f t="shared" si="126"/>
        <v>March</v>
      </c>
      <c r="I476" s="5">
        <f t="shared" si="127"/>
        <v>2024</v>
      </c>
      <c r="J476" t="str">
        <f>IF(F476="","Missing Date",
IF(ISNUMBER(F476),"Valid","Invalid Date"))</f>
        <v>Valid</v>
      </c>
      <c r="K476" t="str">
        <f t="shared" si="128"/>
        <v>Valid</v>
      </c>
      <c r="L476">
        <f>G476-F476</f>
        <v>214</v>
      </c>
      <c r="M476" t="s">
        <v>2320</v>
      </c>
      <c r="N476" t="s">
        <v>210</v>
      </c>
      <c r="O476" t="str">
        <f t="shared" si="129"/>
        <v>Diya Patel</v>
      </c>
      <c r="P476" t="s">
        <v>108</v>
      </c>
      <c r="Q476" t="str">
        <f t="shared" si="130"/>
        <v>Corporate</v>
      </c>
      <c r="R476" t="s">
        <v>27</v>
      </c>
      <c r="S476" t="str">
        <f t="shared" si="131"/>
        <v>North</v>
      </c>
      <c r="T476" t="s">
        <v>154</v>
      </c>
      <c r="U476" t="str">
        <f t="shared" si="132"/>
        <v>Punjab</v>
      </c>
      <c r="V476" t="s">
        <v>155</v>
      </c>
      <c r="W476" t="str">
        <f t="shared" si="133"/>
        <v>Ludhiana</v>
      </c>
      <c r="X476" t="s">
        <v>45</v>
      </c>
      <c r="Y476" t="str">
        <f t="shared" si="134"/>
        <v>Furniture</v>
      </c>
      <c r="Z476" t="s">
        <v>65</v>
      </c>
      <c r="AA476" t="str">
        <f t="shared" si="135"/>
        <v>Furnishings</v>
      </c>
      <c r="AB476" t="s">
        <v>2321</v>
      </c>
      <c r="AC476" t="s">
        <v>67</v>
      </c>
      <c r="AD476" t="str">
        <f t="shared" si="136"/>
        <v>Standard Class</v>
      </c>
      <c r="AE476">
        <v>3</v>
      </c>
      <c r="AF476">
        <v>1633.57</v>
      </c>
      <c r="AG476">
        <v>0</v>
      </c>
      <c r="AH476">
        <v>0</v>
      </c>
      <c r="AI476" t="str">
        <f t="shared" si="137"/>
        <v>Valid</v>
      </c>
      <c r="AJ476">
        <v>4900.71</v>
      </c>
      <c r="AK476">
        <f t="shared" si="138"/>
        <v>4900.71</v>
      </c>
      <c r="AL476">
        <v>2713.9</v>
      </c>
      <c r="AM476">
        <v>2186.81</v>
      </c>
      <c r="AN476">
        <f t="shared" si="139"/>
        <v>2186.81</v>
      </c>
      <c r="AO476">
        <f t="shared" si="140"/>
        <v>-2713.9</v>
      </c>
      <c r="AP476" t="s">
        <v>34</v>
      </c>
      <c r="AQ476" t="str">
        <f t="shared" si="141"/>
        <v>Paid</v>
      </c>
      <c r="AR476" t="s">
        <v>35</v>
      </c>
      <c r="AS476" t="str">
        <f t="shared" si="142"/>
        <v>Completed</v>
      </c>
      <c r="AT476" t="str">
        <f t="shared" si="143"/>
        <v>Clean</v>
      </c>
    </row>
    <row r="477" spans="1:46">
      <c r="A477" t="s">
        <v>2322</v>
      </c>
      <c r="B477">
        <f>COUNTIF($D$2:D477,D477)</f>
        <v>1</v>
      </c>
      <c r="C477" t="str">
        <f>IF(COUNTIF($A:$A,A477)=1,
"Unique",
IF(COUNTIFS($A:$A,A477,$N:$N,N477,$AF:$AF,AF477,$AJ:$AJ,AJ477)&gt;1,
"Exact Duplicate",
"Conflicting Duplicate"))</f>
        <v>Unique</v>
      </c>
      <c r="D477" t="s">
        <v>2323</v>
      </c>
      <c r="E477" t="s">
        <v>2324</v>
      </c>
      <c r="F477" s="3">
        <v>45717</v>
      </c>
      <c r="G477" s="2">
        <v>45872</v>
      </c>
      <c r="H477" s="5" t="str">
        <f t="shared" si="126"/>
        <v>March</v>
      </c>
      <c r="I477" s="5">
        <f t="shared" si="127"/>
        <v>2025</v>
      </c>
      <c r="J477" t="str">
        <f>IF(F477="","Missing Date",
IF(ISNUMBER(F477),"Valid","Invalid Date"))</f>
        <v>Valid</v>
      </c>
      <c r="K477" t="str">
        <f t="shared" si="128"/>
        <v>Valid</v>
      </c>
      <c r="L477">
        <f>G477-F477</f>
        <v>155</v>
      </c>
      <c r="M477" t="s">
        <v>2325</v>
      </c>
      <c r="N477" t="s">
        <v>83</v>
      </c>
      <c r="O477" t="str">
        <f t="shared" si="129"/>
        <v>Vikram Iyer</v>
      </c>
      <c r="P477" t="s">
        <v>26</v>
      </c>
      <c r="Q477" t="str">
        <f t="shared" si="130"/>
        <v>Consumer</v>
      </c>
      <c r="R477" t="s">
        <v>42</v>
      </c>
      <c r="S477" t="str">
        <f t="shared" si="131"/>
        <v>East</v>
      </c>
      <c r="T477" t="s">
        <v>121</v>
      </c>
      <c r="U477" t="str">
        <f t="shared" si="132"/>
        <v>West Bengal</v>
      </c>
      <c r="V477" t="s">
        <v>122</v>
      </c>
      <c r="W477" t="str">
        <f t="shared" si="133"/>
        <v>Kolkata</v>
      </c>
      <c r="X477" t="s">
        <v>45</v>
      </c>
      <c r="Y477" t="str">
        <f t="shared" si="134"/>
        <v>Furniture</v>
      </c>
      <c r="Z477" t="s">
        <v>76</v>
      </c>
      <c r="AA477" t="str">
        <f t="shared" si="135"/>
        <v>Chairs</v>
      </c>
      <c r="AB477" t="s">
        <v>2326</v>
      </c>
      <c r="AC477" t="s">
        <v>48</v>
      </c>
      <c r="AD477" t="str">
        <f t="shared" si="136"/>
        <v>Same Day</v>
      </c>
      <c r="AE477">
        <v>8</v>
      </c>
      <c r="AF477">
        <v>3378.82</v>
      </c>
      <c r="AG477">
        <v>0.25</v>
      </c>
      <c r="AH477">
        <v>0.25</v>
      </c>
      <c r="AI477" t="str">
        <f t="shared" si="137"/>
        <v>Valid</v>
      </c>
      <c r="AJ477">
        <v>20272.919999999998</v>
      </c>
      <c r="AK477">
        <f t="shared" si="138"/>
        <v>20272.920000000002</v>
      </c>
      <c r="AL477">
        <v>15873.38</v>
      </c>
      <c r="AM477">
        <v>4399.54</v>
      </c>
      <c r="AN477">
        <f t="shared" si="139"/>
        <v>4399.5400000000027</v>
      </c>
      <c r="AO477">
        <f t="shared" si="140"/>
        <v>-15873.38</v>
      </c>
      <c r="AP477" t="s">
        <v>137</v>
      </c>
      <c r="AQ477" t="str">
        <f t="shared" si="141"/>
        <v>Pending</v>
      </c>
      <c r="AR477" t="s">
        <v>125</v>
      </c>
      <c r="AS477" t="str">
        <f t="shared" si="142"/>
        <v>Returned</v>
      </c>
      <c r="AT477" t="str">
        <f t="shared" si="143"/>
        <v>Clean</v>
      </c>
    </row>
    <row r="478" spans="1:46">
      <c r="A478" t="s">
        <v>2327</v>
      </c>
      <c r="B478">
        <f>COUNTIF($D$2:D478,D478)</f>
        <v>2</v>
      </c>
      <c r="C478" t="str">
        <f>IF(COUNTIF($A:$A,A478)=1,
"Unique",
IF(COUNTIFS($A:$A,A478,$N:$N,N478,$AF:$AF,AF478,$AJ:$AJ,AJ478)&gt;1,
"Exact Duplicate",
"Conflicting Duplicate"))</f>
        <v>Unique</v>
      </c>
      <c r="D478" t="s">
        <v>2328</v>
      </c>
      <c r="E478" t="s">
        <v>2329</v>
      </c>
      <c r="F478" s="3">
        <v>45419</v>
      </c>
      <c r="G478" s="3">
        <v>45426</v>
      </c>
      <c r="H478" s="5" t="str">
        <f t="shared" si="126"/>
        <v>May</v>
      </c>
      <c r="I478" s="5">
        <f t="shared" si="127"/>
        <v>2024</v>
      </c>
      <c r="J478" t="str">
        <f>IF(F478="","Missing Date",
IF(ISNUMBER(F478),"Valid","Invalid Date"))</f>
        <v>Valid</v>
      </c>
      <c r="K478" t="str">
        <f t="shared" si="128"/>
        <v>Valid</v>
      </c>
      <c r="L478">
        <f>G478-F478</f>
        <v>7</v>
      </c>
      <c r="M478" t="s">
        <v>2330</v>
      </c>
      <c r="N478" t="s">
        <v>168</v>
      </c>
      <c r="O478" t="str">
        <f t="shared" si="129"/>
        <v>Sneha Kapoor</v>
      </c>
      <c r="P478" t="s">
        <v>41</v>
      </c>
      <c r="Q478" t="str">
        <f t="shared" si="130"/>
        <v>Small Business</v>
      </c>
      <c r="R478" t="s">
        <v>27</v>
      </c>
      <c r="S478" t="str">
        <f t="shared" si="131"/>
        <v>North</v>
      </c>
      <c r="T478" t="s">
        <v>28</v>
      </c>
      <c r="U478" t="str">
        <f t="shared" si="132"/>
        <v>Rajasthan</v>
      </c>
      <c r="V478" t="s">
        <v>29</v>
      </c>
      <c r="W478" t="str">
        <f t="shared" si="133"/>
        <v>Jaipur</v>
      </c>
      <c r="X478" t="s">
        <v>30</v>
      </c>
      <c r="Y478" t="str">
        <f t="shared" si="134"/>
        <v>Office Supplies</v>
      </c>
      <c r="Z478" t="s">
        <v>156</v>
      </c>
      <c r="AA478" t="str">
        <f t="shared" si="135"/>
        <v>Storage</v>
      </c>
      <c r="AB478" t="s">
        <v>2331</v>
      </c>
      <c r="AC478" t="s">
        <v>56</v>
      </c>
      <c r="AD478" t="str">
        <f t="shared" si="136"/>
        <v>First Class</v>
      </c>
      <c r="AE478">
        <v>3</v>
      </c>
      <c r="AF478">
        <v>383.58</v>
      </c>
      <c r="AG478">
        <v>0.1</v>
      </c>
      <c r="AH478">
        <v>0.1</v>
      </c>
      <c r="AI478" t="str">
        <f t="shared" si="137"/>
        <v>Valid</v>
      </c>
      <c r="AJ478">
        <v>1035.67</v>
      </c>
      <c r="AK478">
        <f t="shared" si="138"/>
        <v>1035.6659999999999</v>
      </c>
      <c r="AL478">
        <v>595.41999999999996</v>
      </c>
      <c r="AM478">
        <v>440.25</v>
      </c>
      <c r="AN478">
        <f t="shared" si="139"/>
        <v>440.24599999999998</v>
      </c>
      <c r="AO478">
        <f t="shared" si="140"/>
        <v>-595.41999999999996</v>
      </c>
      <c r="AP478" t="s">
        <v>34</v>
      </c>
      <c r="AQ478" t="str">
        <f t="shared" si="141"/>
        <v>Paid</v>
      </c>
      <c r="AR478" t="s">
        <v>35</v>
      </c>
      <c r="AS478" t="str">
        <f t="shared" si="142"/>
        <v>Completed</v>
      </c>
      <c r="AT478" t="str">
        <f t="shared" si="143"/>
        <v>Clean</v>
      </c>
    </row>
    <row r="479" spans="1:46">
      <c r="A479" t="s">
        <v>2332</v>
      </c>
      <c r="B479">
        <f>COUNTIF($D$2:D479,D479)</f>
        <v>1</v>
      </c>
      <c r="C479" t="str">
        <f>IF(COUNTIF($A:$A,A479)=1,
"Unique",
IF(COUNTIFS($A:$A,A479,$N:$N,N479,$AF:$AF,AF479,$AJ:$AJ,AJ479)&gt;1,
"Exact Duplicate",
"Conflicting Duplicate"))</f>
        <v>Unique</v>
      </c>
      <c r="D479" t="s">
        <v>2333</v>
      </c>
      <c r="E479" t="s">
        <v>2334</v>
      </c>
      <c r="F479" s="3">
        <v>45892</v>
      </c>
      <c r="G479" s="3">
        <v>45897</v>
      </c>
      <c r="H479" s="5" t="str">
        <f t="shared" si="126"/>
        <v>August</v>
      </c>
      <c r="I479" s="5">
        <f t="shared" si="127"/>
        <v>2025</v>
      </c>
      <c r="J479" t="str">
        <f>IF(F479="","Missing Date",
IF(ISNUMBER(F479),"Valid","Invalid Date"))</f>
        <v>Valid</v>
      </c>
      <c r="K479" t="str">
        <f t="shared" si="128"/>
        <v>Valid</v>
      </c>
      <c r="L479">
        <f>G479-F479</f>
        <v>5</v>
      </c>
      <c r="M479" t="s">
        <v>2335</v>
      </c>
      <c r="N479" t="s">
        <v>83</v>
      </c>
      <c r="O479" t="str">
        <f t="shared" si="129"/>
        <v>Vikram Iyer</v>
      </c>
      <c r="P479" t="s">
        <v>108</v>
      </c>
      <c r="Q479" t="str">
        <f t="shared" si="130"/>
        <v>Corporate</v>
      </c>
      <c r="R479" t="s">
        <v>73</v>
      </c>
      <c r="S479" t="str">
        <f t="shared" si="131"/>
        <v>West</v>
      </c>
      <c r="T479" t="s">
        <v>235</v>
      </c>
      <c r="U479" t="str">
        <f t="shared" si="132"/>
        <v>Gujarat</v>
      </c>
      <c r="V479" t="s">
        <v>236</v>
      </c>
      <c r="W479" t="str">
        <f t="shared" si="133"/>
        <v>Ahmedabad</v>
      </c>
      <c r="X479" t="s">
        <v>45</v>
      </c>
      <c r="Y479" t="str">
        <f t="shared" si="134"/>
        <v>Furniture</v>
      </c>
      <c r="Z479" t="s">
        <v>76</v>
      </c>
      <c r="AA479" t="str">
        <f t="shared" si="135"/>
        <v>Chairs</v>
      </c>
      <c r="AB479" t="s">
        <v>2336</v>
      </c>
      <c r="AC479" t="s">
        <v>67</v>
      </c>
      <c r="AD479" t="str">
        <f t="shared" si="136"/>
        <v>Standard Class</v>
      </c>
      <c r="AE479">
        <v>6</v>
      </c>
      <c r="AF479">
        <v>2193.23</v>
      </c>
      <c r="AG479">
        <v>0.1</v>
      </c>
      <c r="AH479">
        <v>0.1</v>
      </c>
      <c r="AI479" t="str">
        <f t="shared" si="137"/>
        <v>Valid</v>
      </c>
      <c r="AJ479">
        <v>11843.44</v>
      </c>
      <c r="AK479">
        <f t="shared" si="138"/>
        <v>11843.442000000001</v>
      </c>
      <c r="AL479">
        <v>9356.8799999999992</v>
      </c>
      <c r="AM479">
        <v>2486.56</v>
      </c>
      <c r="AN479">
        <f t="shared" si="139"/>
        <v>2486.5620000000017</v>
      </c>
      <c r="AO479">
        <f t="shared" si="140"/>
        <v>-9356.8799999999992</v>
      </c>
      <c r="AP479" t="s">
        <v>34</v>
      </c>
      <c r="AQ479" t="str">
        <f t="shared" si="141"/>
        <v>Paid</v>
      </c>
      <c r="AR479" t="s">
        <v>78</v>
      </c>
      <c r="AS479" t="str">
        <f t="shared" si="142"/>
        <v>Cancelled</v>
      </c>
      <c r="AT479" t="str">
        <f t="shared" si="143"/>
        <v>Clean</v>
      </c>
    </row>
    <row r="480" spans="1:46">
      <c r="A480" t="s">
        <v>2337</v>
      </c>
      <c r="B480">
        <f>COUNTIF($D$2:D480,D480)</f>
        <v>1</v>
      </c>
      <c r="C480" t="str">
        <f>IF(COUNTIF($A:$A,A480)=1,
"Unique",
IF(COUNTIFS($A:$A,A480,$N:$N,N480,$AF:$AF,AF480,$AJ:$AJ,AJ480)&gt;1,
"Exact Duplicate",
"Conflicting Duplicate"))</f>
        <v>Unique</v>
      </c>
      <c r="D480" t="s">
        <v>2338</v>
      </c>
      <c r="E480" t="s">
        <v>2339</v>
      </c>
      <c r="F480" s="3">
        <v>45452</v>
      </c>
      <c r="G480" s="3">
        <v>45456</v>
      </c>
      <c r="H480" s="5" t="str">
        <f t="shared" si="126"/>
        <v>June</v>
      </c>
      <c r="I480" s="5">
        <f t="shared" si="127"/>
        <v>2024</v>
      </c>
      <c r="J480" t="str">
        <f>IF(F480="","Missing Date",
IF(ISNUMBER(F480),"Valid","Invalid Date"))</f>
        <v>Valid</v>
      </c>
      <c r="K480" t="str">
        <f t="shared" si="128"/>
        <v>Valid</v>
      </c>
      <c r="L480">
        <f>G480-F480</f>
        <v>4</v>
      </c>
      <c r="M480" t="s">
        <v>2340</v>
      </c>
      <c r="N480" t="s">
        <v>40</v>
      </c>
      <c r="O480" t="str">
        <f t="shared" si="129"/>
        <v>Mira Das</v>
      </c>
      <c r="P480" t="s">
        <v>115</v>
      </c>
      <c r="Q480" t="str">
        <f t="shared" si="130"/>
        <v>Home Office</v>
      </c>
      <c r="R480" t="s">
        <v>4104</v>
      </c>
      <c r="S480" t="s">
        <v>4104</v>
      </c>
      <c r="T480" t="s">
        <v>174</v>
      </c>
      <c r="U480" t="str">
        <f t="shared" si="132"/>
        <v>Uttar Pradesh</v>
      </c>
      <c r="V480" t="s">
        <v>175</v>
      </c>
      <c r="W480" t="str">
        <f t="shared" si="133"/>
        <v>Noida</v>
      </c>
      <c r="X480" t="s">
        <v>86</v>
      </c>
      <c r="Y480" t="str">
        <f t="shared" si="134"/>
        <v>Technology</v>
      </c>
      <c r="Z480" t="s">
        <v>382</v>
      </c>
      <c r="AA480" t="str">
        <f t="shared" si="135"/>
        <v>Machines</v>
      </c>
      <c r="AB480" t="s">
        <v>2341</v>
      </c>
      <c r="AC480" t="s">
        <v>48</v>
      </c>
      <c r="AD480" t="str">
        <f t="shared" si="136"/>
        <v>Same Day</v>
      </c>
      <c r="AE480">
        <v>7</v>
      </c>
      <c r="AF480">
        <v>4079.71</v>
      </c>
      <c r="AG480">
        <v>0.1</v>
      </c>
      <c r="AH480">
        <v>0.1</v>
      </c>
      <c r="AI480" t="str">
        <f t="shared" si="137"/>
        <v>Valid</v>
      </c>
      <c r="AJ480">
        <v>25702.17</v>
      </c>
      <c r="AK480">
        <f t="shared" si="138"/>
        <v>25702.173000000003</v>
      </c>
      <c r="AL480">
        <v>14571.48</v>
      </c>
      <c r="AM480">
        <v>11130.69</v>
      </c>
      <c r="AN480">
        <f t="shared" si="139"/>
        <v>11130.693000000003</v>
      </c>
      <c r="AO480">
        <f t="shared" si="140"/>
        <v>-14571.48</v>
      </c>
      <c r="AP480" t="s">
        <v>124</v>
      </c>
      <c r="AQ480" t="str">
        <f t="shared" si="141"/>
        <v>Refunded</v>
      </c>
      <c r="AR480" t="s">
        <v>125</v>
      </c>
      <c r="AS480" t="str">
        <f t="shared" si="142"/>
        <v>Returned</v>
      </c>
      <c r="AT480" t="str">
        <f t="shared" si="143"/>
        <v>Clean</v>
      </c>
    </row>
    <row r="481" spans="1:46">
      <c r="A481" t="s">
        <v>2342</v>
      </c>
      <c r="B481">
        <f>COUNTIF($D$2:D481,D481)</f>
        <v>1</v>
      </c>
      <c r="C481" t="str">
        <f>IF(COUNTIF($A:$A,A481)=1,
"Unique",
IF(COUNTIFS($A:$A,A481,$N:$N,N481,$AF:$AF,AF481,$AJ:$AJ,AJ481)&gt;1,
"Exact Duplicate",
"Conflicting Duplicate"))</f>
        <v>Unique</v>
      </c>
      <c r="D481" t="s">
        <v>2343</v>
      </c>
      <c r="E481" t="s">
        <v>2088</v>
      </c>
      <c r="F481" s="2">
        <v>45345</v>
      </c>
      <c r="G481" s="3">
        <v>45342</v>
      </c>
      <c r="H481" s="5" t="str">
        <f t="shared" si="126"/>
        <v>February</v>
      </c>
      <c r="I481" s="5">
        <f t="shared" si="127"/>
        <v>2024</v>
      </c>
      <c r="J481" t="str">
        <f>IF(F481="","Missing Date",
IF(ISNUMBER(F481),"Valid","Invalid Date"))</f>
        <v>Valid</v>
      </c>
      <c r="K481" t="str">
        <f t="shared" si="128"/>
        <v>Valid</v>
      </c>
      <c r="L481">
        <f>G481-F481</f>
        <v>-3</v>
      </c>
      <c r="M481" t="s">
        <v>2344</v>
      </c>
      <c r="N481" t="s">
        <v>61</v>
      </c>
      <c r="O481" t="str">
        <f t="shared" si="129"/>
        <v>Arjun Bose</v>
      </c>
      <c r="P481" t="s">
        <v>108</v>
      </c>
      <c r="Q481" t="str">
        <f t="shared" si="130"/>
        <v>Corporate</v>
      </c>
      <c r="R481" t="s">
        <v>42</v>
      </c>
      <c r="S481" t="str">
        <f t="shared" si="131"/>
        <v>East</v>
      </c>
      <c r="T481" t="s">
        <v>43</v>
      </c>
      <c r="U481" t="str">
        <f t="shared" si="132"/>
        <v>Odisha</v>
      </c>
      <c r="V481" t="s">
        <v>44</v>
      </c>
      <c r="W481" t="str">
        <f t="shared" si="133"/>
        <v>Bhubaneswar</v>
      </c>
      <c r="X481" t="s">
        <v>45</v>
      </c>
      <c r="Y481" t="str">
        <f t="shared" si="134"/>
        <v>Furniture</v>
      </c>
      <c r="Z481" t="s">
        <v>76</v>
      </c>
      <c r="AA481" t="str">
        <f t="shared" si="135"/>
        <v>Chairs</v>
      </c>
      <c r="AB481" t="s">
        <v>2345</v>
      </c>
      <c r="AC481" t="s">
        <v>33</v>
      </c>
      <c r="AD481" t="str">
        <f t="shared" si="136"/>
        <v>Second Class</v>
      </c>
      <c r="AE481">
        <v>1</v>
      </c>
      <c r="AF481">
        <v>2202.5500000000002</v>
      </c>
      <c r="AG481" t="s">
        <v>4104</v>
      </c>
      <c r="AH481" t="s">
        <v>4104</v>
      </c>
      <c r="AI481" t="str">
        <f t="shared" si="137"/>
        <v>Invalid - Above Range</v>
      </c>
      <c r="AJ481">
        <v>1651.91</v>
      </c>
      <c r="AK481" t="s">
        <v>4104</v>
      </c>
      <c r="AL481">
        <v>1034.57</v>
      </c>
      <c r="AM481">
        <v>617.34</v>
      </c>
      <c r="AN481" t="s">
        <v>4104</v>
      </c>
      <c r="AO481" t="s">
        <v>4104</v>
      </c>
      <c r="AP481" t="s">
        <v>34</v>
      </c>
      <c r="AQ481" t="str">
        <f t="shared" si="141"/>
        <v>Paid</v>
      </c>
      <c r="AR481" t="s">
        <v>35</v>
      </c>
      <c r="AS481" t="str">
        <f t="shared" si="142"/>
        <v>Completed</v>
      </c>
      <c r="AT481" t="str">
        <f t="shared" si="143"/>
        <v>Needs Review</v>
      </c>
    </row>
    <row r="482" spans="1:46">
      <c r="A482" t="s">
        <v>2346</v>
      </c>
      <c r="B482">
        <f>COUNTIF($D$2:D482,D482)</f>
        <v>2</v>
      </c>
      <c r="C482" t="str">
        <f>IF(COUNTIF($A:$A,A482)=1,
"Unique",
IF(COUNTIFS($A:$A,A482,$N:$N,N482,$AF:$AF,AF482,$AJ:$AJ,AJ482)&gt;1,
"Exact Duplicate",
"Conflicting Duplicate"))</f>
        <v>Unique</v>
      </c>
      <c r="D482" t="s">
        <v>385</v>
      </c>
      <c r="E482" t="s">
        <v>2293</v>
      </c>
      <c r="F482" s="3">
        <v>45778</v>
      </c>
      <c r="G482" s="2">
        <v>45901</v>
      </c>
      <c r="H482" s="5" t="str">
        <f t="shared" si="126"/>
        <v>May</v>
      </c>
      <c r="I482" s="5">
        <f t="shared" si="127"/>
        <v>2025</v>
      </c>
      <c r="J482" t="str">
        <f>IF(F482="","Missing Date",
IF(ISNUMBER(F482),"Valid","Invalid Date"))</f>
        <v>Valid</v>
      </c>
      <c r="K482" t="str">
        <f t="shared" si="128"/>
        <v>Valid</v>
      </c>
      <c r="L482">
        <f>G482-F482</f>
        <v>123</v>
      </c>
      <c r="M482" t="s">
        <v>2347</v>
      </c>
      <c r="N482" t="s">
        <v>93</v>
      </c>
      <c r="O482" t="str">
        <f t="shared" si="129"/>
        <v>Neha Gupta</v>
      </c>
      <c r="P482" t="s">
        <v>41</v>
      </c>
      <c r="Q482" t="str">
        <f t="shared" si="130"/>
        <v>Small Business</v>
      </c>
      <c r="R482" t="s">
        <v>62</v>
      </c>
      <c r="S482" t="str">
        <f t="shared" si="131"/>
        <v>South</v>
      </c>
      <c r="T482" t="s">
        <v>339</v>
      </c>
      <c r="U482" t="str">
        <f t="shared" si="132"/>
        <v>Tamil Nadu</v>
      </c>
      <c r="V482" t="s">
        <v>340</v>
      </c>
      <c r="W482" t="str">
        <f t="shared" si="133"/>
        <v>Chennai</v>
      </c>
      <c r="X482" t="s">
        <v>30</v>
      </c>
      <c r="Y482" t="str">
        <f t="shared" si="134"/>
        <v>Office Supplies</v>
      </c>
      <c r="Z482" t="s">
        <v>156</v>
      </c>
      <c r="AA482" t="str">
        <f t="shared" si="135"/>
        <v>Storage</v>
      </c>
      <c r="AB482" t="s">
        <v>2348</v>
      </c>
      <c r="AC482" t="s">
        <v>4104</v>
      </c>
      <c r="AD482" t="str">
        <f t="shared" si="136"/>
        <v>Unknown</v>
      </c>
      <c r="AE482">
        <v>5</v>
      </c>
      <c r="AF482">
        <v>905.16</v>
      </c>
      <c r="AG482">
        <v>0</v>
      </c>
      <c r="AH482">
        <v>0</v>
      </c>
      <c r="AI482" t="str">
        <f t="shared" si="137"/>
        <v>Valid</v>
      </c>
      <c r="AJ482">
        <v>4525.8</v>
      </c>
      <c r="AK482">
        <f t="shared" si="138"/>
        <v>4525.8</v>
      </c>
      <c r="AL482">
        <v>2714.51</v>
      </c>
      <c r="AM482">
        <v>1811.29</v>
      </c>
      <c r="AN482">
        <f t="shared" si="139"/>
        <v>1811.29</v>
      </c>
      <c r="AO482">
        <f t="shared" si="140"/>
        <v>-2714.51</v>
      </c>
      <c r="AP482" t="s">
        <v>34</v>
      </c>
      <c r="AQ482" t="str">
        <f t="shared" si="141"/>
        <v>Paid</v>
      </c>
      <c r="AR482" t="s">
        <v>35</v>
      </c>
      <c r="AS482" t="str">
        <f t="shared" si="142"/>
        <v>Completed</v>
      </c>
      <c r="AT482" t="str">
        <f t="shared" si="143"/>
        <v>Clean</v>
      </c>
    </row>
    <row r="483" spans="1:46">
      <c r="A483" t="s">
        <v>2349</v>
      </c>
      <c r="B483">
        <f>COUNTIF($D$2:D483,D483)</f>
        <v>1</v>
      </c>
      <c r="C483" t="str">
        <f>IF(COUNTIF($A:$A,A483)=1,
"Unique",
IF(COUNTIFS($A:$A,A483,$N:$N,N483,$AF:$AF,AF483,$AJ:$AJ,AJ483)&gt;1,
"Exact Duplicate",
"Conflicting Duplicate"))</f>
        <v>Unique</v>
      </c>
      <c r="D483" t="s">
        <v>2350</v>
      </c>
      <c r="E483" t="s">
        <v>2351</v>
      </c>
      <c r="F483" s="3">
        <v>45783</v>
      </c>
      <c r="G483" s="3">
        <v>45821</v>
      </c>
      <c r="H483" s="5" t="str">
        <f t="shared" si="126"/>
        <v>May</v>
      </c>
      <c r="I483" s="5">
        <f t="shared" si="127"/>
        <v>2025</v>
      </c>
      <c r="J483" t="str">
        <f>IF(F483="","Missing Date",
IF(ISNUMBER(F483),"Valid","Invalid Date"))</f>
        <v>Valid</v>
      </c>
      <c r="K483" t="str">
        <f t="shared" si="128"/>
        <v>Valid</v>
      </c>
      <c r="L483">
        <f>G483-F483</f>
        <v>38</v>
      </c>
      <c r="M483" t="s">
        <v>2352</v>
      </c>
      <c r="N483" t="s">
        <v>53</v>
      </c>
      <c r="O483" t="str">
        <f t="shared" si="129"/>
        <v>Isha Nair</v>
      </c>
      <c r="P483" t="s">
        <v>26</v>
      </c>
      <c r="Q483" t="str">
        <f t="shared" si="130"/>
        <v>Consumer</v>
      </c>
      <c r="R483" t="s">
        <v>27</v>
      </c>
      <c r="S483" t="str">
        <f t="shared" si="131"/>
        <v>North</v>
      </c>
      <c r="T483" t="s">
        <v>174</v>
      </c>
      <c r="U483" t="str">
        <f t="shared" si="132"/>
        <v>Uttar Pradesh</v>
      </c>
      <c r="V483" t="s">
        <v>175</v>
      </c>
      <c r="W483" t="str">
        <f t="shared" si="133"/>
        <v>Noida</v>
      </c>
      <c r="X483" t="s">
        <v>86</v>
      </c>
      <c r="Y483" t="str">
        <f t="shared" si="134"/>
        <v>Technology</v>
      </c>
      <c r="Z483" t="s">
        <v>382</v>
      </c>
      <c r="AA483" t="str">
        <f t="shared" si="135"/>
        <v>Machines</v>
      </c>
      <c r="AB483" t="s">
        <v>2353</v>
      </c>
      <c r="AC483" t="s">
        <v>48</v>
      </c>
      <c r="AD483" t="str">
        <f t="shared" si="136"/>
        <v>Same Day</v>
      </c>
      <c r="AE483">
        <v>4</v>
      </c>
      <c r="AF483">
        <v>2793.88</v>
      </c>
      <c r="AG483" t="s">
        <v>1170</v>
      </c>
      <c r="AH483">
        <v>0.85</v>
      </c>
      <c r="AI483" t="str">
        <f t="shared" si="137"/>
        <v>Invalid - Above Range</v>
      </c>
      <c r="AJ483">
        <v>10616.74</v>
      </c>
      <c r="AK483">
        <f t="shared" si="138"/>
        <v>1676.3280000000002</v>
      </c>
      <c r="AL483">
        <v>6353.59</v>
      </c>
      <c r="AM483">
        <v>4263.1499999999996</v>
      </c>
      <c r="AN483">
        <f t="shared" si="139"/>
        <v>-4677.2619999999997</v>
      </c>
      <c r="AO483">
        <f t="shared" si="140"/>
        <v>-6353.59</v>
      </c>
      <c r="AP483" t="s">
        <v>34</v>
      </c>
      <c r="AQ483" t="str">
        <f t="shared" si="141"/>
        <v>Paid</v>
      </c>
      <c r="AR483" t="s">
        <v>35</v>
      </c>
      <c r="AS483" t="str">
        <f t="shared" si="142"/>
        <v>Completed</v>
      </c>
      <c r="AT483" t="str">
        <f t="shared" si="143"/>
        <v>Clean</v>
      </c>
    </row>
    <row r="484" spans="1:46">
      <c r="A484" t="s">
        <v>2354</v>
      </c>
      <c r="B484">
        <f>COUNTIF($D$2:D484,D484)</f>
        <v>2</v>
      </c>
      <c r="C484" t="str">
        <f>IF(COUNTIF($A:$A,A484)=1,
"Unique",
IF(COUNTIFS($A:$A,A484,$N:$N,N484,$AF:$AF,AF484,$AJ:$AJ,AJ484)&gt;1,
"Exact Duplicate",
"Conflicting Duplicate"))</f>
        <v>Unique</v>
      </c>
      <c r="D484" t="s">
        <v>263</v>
      </c>
      <c r="E484" t="s">
        <v>263</v>
      </c>
      <c r="F484" s="3">
        <v>45495</v>
      </c>
      <c r="G484" s="3">
        <v>45495</v>
      </c>
      <c r="H484" s="5" t="str">
        <f t="shared" si="126"/>
        <v>July</v>
      </c>
      <c r="I484" s="5">
        <f t="shared" si="127"/>
        <v>2024</v>
      </c>
      <c r="J484" t="str">
        <f>IF(F484="","Missing Date",
IF(ISNUMBER(F484),"Valid","Invalid Date"))</f>
        <v>Valid</v>
      </c>
      <c r="K484" t="str">
        <f t="shared" si="128"/>
        <v>Valid</v>
      </c>
      <c r="L484">
        <f>G484-F484</f>
        <v>0</v>
      </c>
      <c r="M484" t="s">
        <v>2355</v>
      </c>
      <c r="N484" t="s">
        <v>142</v>
      </c>
      <c r="O484" t="str">
        <f t="shared" si="129"/>
        <v>Priya Menon</v>
      </c>
      <c r="P484" t="s">
        <v>26</v>
      </c>
      <c r="Q484" t="str">
        <f t="shared" si="130"/>
        <v>Consumer</v>
      </c>
      <c r="R484" t="s">
        <v>62</v>
      </c>
      <c r="S484" t="str">
        <f t="shared" si="131"/>
        <v>South</v>
      </c>
      <c r="T484" t="s">
        <v>229</v>
      </c>
      <c r="U484" t="str">
        <f t="shared" si="132"/>
        <v>Karnataka</v>
      </c>
      <c r="V484" t="s">
        <v>230</v>
      </c>
      <c r="W484" t="str">
        <f t="shared" si="133"/>
        <v>Bengaluru</v>
      </c>
      <c r="X484" t="s">
        <v>86</v>
      </c>
      <c r="Y484" t="str">
        <f t="shared" si="134"/>
        <v>Technology</v>
      </c>
      <c r="Z484" t="s">
        <v>87</v>
      </c>
      <c r="AA484" t="str">
        <f t="shared" si="135"/>
        <v>Accessories</v>
      </c>
      <c r="AB484" t="s">
        <v>2356</v>
      </c>
      <c r="AC484" t="s">
        <v>33</v>
      </c>
      <c r="AD484" t="str">
        <f t="shared" si="136"/>
        <v>Second Class</v>
      </c>
      <c r="AE484">
        <v>3</v>
      </c>
      <c r="AF484">
        <v>1286.22</v>
      </c>
      <c r="AG484">
        <v>0.25</v>
      </c>
      <c r="AH484">
        <v>0.25</v>
      </c>
      <c r="AI484" t="str">
        <f t="shared" si="137"/>
        <v>Valid</v>
      </c>
      <c r="AJ484">
        <v>2893.99</v>
      </c>
      <c r="AK484">
        <f t="shared" si="138"/>
        <v>2893.9949999999999</v>
      </c>
      <c r="AL484">
        <v>1856.03</v>
      </c>
      <c r="AM484">
        <v>1037.96</v>
      </c>
      <c r="AN484">
        <f t="shared" si="139"/>
        <v>1037.9649999999999</v>
      </c>
      <c r="AO484">
        <f t="shared" si="140"/>
        <v>-1856.03</v>
      </c>
      <c r="AP484" t="s">
        <v>34</v>
      </c>
      <c r="AQ484" t="str">
        <f t="shared" si="141"/>
        <v>Paid</v>
      </c>
      <c r="AR484" t="s">
        <v>35</v>
      </c>
      <c r="AS484" t="str">
        <f t="shared" si="142"/>
        <v>Completed</v>
      </c>
      <c r="AT484" t="str">
        <f t="shared" si="143"/>
        <v>Clean</v>
      </c>
    </row>
    <row r="485" spans="1:46">
      <c r="A485" t="s">
        <v>2357</v>
      </c>
      <c r="B485">
        <f>COUNTIF($D$2:D485,D485)</f>
        <v>1</v>
      </c>
      <c r="C485" t="str">
        <f>IF(COUNTIF($A:$A,A485)=1,
"Unique",
IF(COUNTIFS($A:$A,A485,$N:$N,N485,$AF:$AF,AF485,$AJ:$AJ,AJ485)&gt;1,
"Exact Duplicate",
"Conflicting Duplicate"))</f>
        <v>Unique</v>
      </c>
      <c r="D485" t="s">
        <v>1405</v>
      </c>
      <c r="E485" t="s">
        <v>2358</v>
      </c>
      <c r="F485" s="2">
        <v>45651</v>
      </c>
      <c r="G485" s="3">
        <v>45651</v>
      </c>
      <c r="H485" s="5" t="str">
        <f t="shared" si="126"/>
        <v>December</v>
      </c>
      <c r="I485" s="5">
        <f t="shared" si="127"/>
        <v>2024</v>
      </c>
      <c r="J485" t="str">
        <f>IF(F485="","Missing Date",
IF(ISNUMBER(F485),"Valid","Invalid Date"))</f>
        <v>Valid</v>
      </c>
      <c r="K485" t="str">
        <f t="shared" si="128"/>
        <v>Valid</v>
      </c>
      <c r="L485">
        <f>G485-F485</f>
        <v>0</v>
      </c>
      <c r="M485" t="s">
        <v>2359</v>
      </c>
      <c r="N485" t="s">
        <v>40</v>
      </c>
      <c r="O485" t="str">
        <f t="shared" si="129"/>
        <v>Mira Das</v>
      </c>
      <c r="P485" t="s">
        <v>108</v>
      </c>
      <c r="Q485" t="str">
        <f t="shared" si="130"/>
        <v>Corporate</v>
      </c>
      <c r="R485" t="s">
        <v>42</v>
      </c>
      <c r="S485" t="str">
        <f t="shared" si="131"/>
        <v>East</v>
      </c>
      <c r="T485" t="s">
        <v>186</v>
      </c>
      <c r="U485" t="str">
        <f t="shared" si="132"/>
        <v>Bihar</v>
      </c>
      <c r="V485" t="s">
        <v>187</v>
      </c>
      <c r="W485" t="str">
        <f t="shared" si="133"/>
        <v>Patna</v>
      </c>
      <c r="X485" t="s">
        <v>86</v>
      </c>
      <c r="Y485" t="str">
        <f t="shared" si="134"/>
        <v>Technology</v>
      </c>
      <c r="Z485" t="s">
        <v>94</v>
      </c>
      <c r="AA485" t="str">
        <f t="shared" si="135"/>
        <v>Copiers</v>
      </c>
      <c r="AB485" t="s">
        <v>2360</v>
      </c>
      <c r="AC485" t="s">
        <v>67</v>
      </c>
      <c r="AD485" t="str">
        <f t="shared" si="136"/>
        <v>Standard Class</v>
      </c>
      <c r="AE485">
        <v>1</v>
      </c>
      <c r="AF485">
        <v>829.66</v>
      </c>
      <c r="AG485">
        <v>0.15</v>
      </c>
      <c r="AH485">
        <v>0.15</v>
      </c>
      <c r="AI485" t="str">
        <f t="shared" si="137"/>
        <v>Valid</v>
      </c>
      <c r="AJ485">
        <v>705.21</v>
      </c>
      <c r="AK485">
        <f t="shared" si="138"/>
        <v>705.2109999999999</v>
      </c>
      <c r="AL485">
        <v>438.32</v>
      </c>
      <c r="AM485">
        <v>266.89</v>
      </c>
      <c r="AN485">
        <f t="shared" si="139"/>
        <v>266.89099999999991</v>
      </c>
      <c r="AO485">
        <f t="shared" si="140"/>
        <v>-438.32</v>
      </c>
      <c r="AP485" t="s">
        <v>34</v>
      </c>
      <c r="AQ485" t="str">
        <f t="shared" si="141"/>
        <v>Paid</v>
      </c>
      <c r="AR485" t="s">
        <v>35</v>
      </c>
      <c r="AS485" t="str">
        <f t="shared" si="142"/>
        <v>Completed</v>
      </c>
      <c r="AT485" t="str">
        <f t="shared" si="143"/>
        <v>Clean</v>
      </c>
    </row>
    <row r="486" spans="1:46">
      <c r="A486" t="s">
        <v>2361</v>
      </c>
      <c r="B486">
        <f>COUNTIF($D$2:D486,D486)</f>
        <v>1</v>
      </c>
      <c r="C486" t="str">
        <f>IF(COUNTIF($A:$A,A486)=1,
"Unique",
IF(COUNTIFS($A:$A,A486,$N:$N,N486,$AF:$AF,AF486,$AJ:$AJ,AJ486)&gt;1,
"Exact Duplicate",
"Conflicting Duplicate"))</f>
        <v>Unique</v>
      </c>
      <c r="D486" t="s">
        <v>2362</v>
      </c>
      <c r="E486" t="s">
        <v>2363</v>
      </c>
      <c r="F486" s="3">
        <v>45654</v>
      </c>
      <c r="G486" s="3">
        <v>45657</v>
      </c>
      <c r="H486" s="5" t="str">
        <f t="shared" si="126"/>
        <v>December</v>
      </c>
      <c r="I486" s="5">
        <f t="shared" si="127"/>
        <v>2024</v>
      </c>
      <c r="J486" t="str">
        <f>IF(F486="","Missing Date",
IF(ISNUMBER(F486),"Valid","Invalid Date"))</f>
        <v>Valid</v>
      </c>
      <c r="K486" t="str">
        <f t="shared" si="128"/>
        <v>Valid</v>
      </c>
      <c r="L486">
        <f>G486-F486</f>
        <v>3</v>
      </c>
      <c r="M486" t="s">
        <v>2364</v>
      </c>
      <c r="N486" t="s">
        <v>40</v>
      </c>
      <c r="O486" t="str">
        <f t="shared" si="129"/>
        <v>Mira Das</v>
      </c>
      <c r="P486" t="s">
        <v>41</v>
      </c>
      <c r="Q486" t="str">
        <f t="shared" si="130"/>
        <v>Small Business</v>
      </c>
      <c r="R486" t="s">
        <v>62</v>
      </c>
      <c r="S486" t="str">
        <f t="shared" si="131"/>
        <v>South</v>
      </c>
      <c r="T486" t="s">
        <v>100</v>
      </c>
      <c r="U486" t="str">
        <f t="shared" si="132"/>
        <v>Andhra Pradesh</v>
      </c>
      <c r="V486" t="s">
        <v>101</v>
      </c>
      <c r="W486" t="str">
        <f t="shared" si="133"/>
        <v>Vijayawada</v>
      </c>
      <c r="X486" t="s">
        <v>45</v>
      </c>
      <c r="Y486" t="str">
        <f t="shared" si="134"/>
        <v>Furniture</v>
      </c>
      <c r="Z486" t="s">
        <v>65</v>
      </c>
      <c r="AA486" t="str">
        <f t="shared" si="135"/>
        <v>Furnishings</v>
      </c>
      <c r="AB486" t="s">
        <v>2365</v>
      </c>
      <c r="AC486" t="s">
        <v>56</v>
      </c>
      <c r="AD486" t="str">
        <f t="shared" si="136"/>
        <v>First Class</v>
      </c>
      <c r="AE486">
        <v>6</v>
      </c>
      <c r="AF486">
        <v>3641.22</v>
      </c>
      <c r="AG486">
        <v>0.25</v>
      </c>
      <c r="AH486">
        <v>0.25</v>
      </c>
      <c r="AI486" t="str">
        <f t="shared" si="137"/>
        <v>Valid</v>
      </c>
      <c r="AJ486">
        <v>16385.490000000002</v>
      </c>
      <c r="AK486">
        <f t="shared" si="138"/>
        <v>16385.489999999998</v>
      </c>
      <c r="AL486">
        <v>13679.24</v>
      </c>
      <c r="AM486">
        <v>2706.25</v>
      </c>
      <c r="AN486">
        <f t="shared" si="139"/>
        <v>2706.2499999999982</v>
      </c>
      <c r="AO486">
        <f t="shared" si="140"/>
        <v>-13679.24</v>
      </c>
      <c r="AP486" t="s">
        <v>34</v>
      </c>
      <c r="AQ486" t="str">
        <f t="shared" si="141"/>
        <v>Paid</v>
      </c>
      <c r="AR486" t="s">
        <v>35</v>
      </c>
      <c r="AS486" t="str">
        <f t="shared" si="142"/>
        <v>Completed</v>
      </c>
      <c r="AT486" t="str">
        <f t="shared" si="143"/>
        <v>Clean</v>
      </c>
    </row>
    <row r="487" spans="1:46">
      <c r="A487" t="s">
        <v>2366</v>
      </c>
      <c r="B487">
        <f>COUNTIF($D$2:D487,D487)</f>
        <v>1</v>
      </c>
      <c r="C487" t="str">
        <f>IF(COUNTIF($A:$A,A487)=1,
"Unique",
IF(COUNTIFS($A:$A,A487,$N:$N,N487,$AF:$AF,AF487,$AJ:$AJ,AJ487)&gt;1,
"Exact Duplicate",
"Conflicting Duplicate"))</f>
        <v>Unique</v>
      </c>
      <c r="D487" t="s">
        <v>1837</v>
      </c>
      <c r="E487" t="s">
        <v>184</v>
      </c>
      <c r="F487" s="3">
        <v>45679</v>
      </c>
      <c r="G487" s="2">
        <v>45680</v>
      </c>
      <c r="H487" s="5" t="str">
        <f t="shared" si="126"/>
        <v>January</v>
      </c>
      <c r="I487" s="5">
        <f t="shared" si="127"/>
        <v>2025</v>
      </c>
      <c r="J487" t="str">
        <f>IF(F487="","Missing Date",
IF(ISNUMBER(F487),"Valid","Invalid Date"))</f>
        <v>Valid</v>
      </c>
      <c r="K487" t="str">
        <f t="shared" si="128"/>
        <v>Valid</v>
      </c>
      <c r="L487">
        <f>G487-F487</f>
        <v>1</v>
      </c>
      <c r="M487" t="s">
        <v>2367</v>
      </c>
      <c r="N487" t="s">
        <v>148</v>
      </c>
      <c r="O487" t="str">
        <f t="shared" si="129"/>
        <v>Rahul Verma</v>
      </c>
      <c r="P487" t="s">
        <v>108</v>
      </c>
      <c r="Q487" t="str">
        <f t="shared" si="130"/>
        <v>Corporate</v>
      </c>
      <c r="R487" t="s">
        <v>73</v>
      </c>
      <c r="S487" t="str">
        <f t="shared" si="131"/>
        <v>West</v>
      </c>
      <c r="T487" t="s">
        <v>249</v>
      </c>
      <c r="U487" t="str">
        <f t="shared" si="132"/>
        <v>Goa</v>
      </c>
      <c r="V487" t="s">
        <v>250</v>
      </c>
      <c r="W487" t="str">
        <f t="shared" si="133"/>
        <v>Panaji</v>
      </c>
      <c r="X487" t="s">
        <v>45</v>
      </c>
      <c r="Y487" t="str">
        <f t="shared" si="134"/>
        <v>Furniture</v>
      </c>
      <c r="Z487" t="s">
        <v>204</v>
      </c>
      <c r="AA487" t="str">
        <f t="shared" si="135"/>
        <v>Bookcases</v>
      </c>
      <c r="AB487" t="s">
        <v>2368</v>
      </c>
      <c r="AC487" t="s">
        <v>67</v>
      </c>
      <c r="AD487" t="str">
        <f t="shared" si="136"/>
        <v>Standard Class</v>
      </c>
      <c r="AE487">
        <v>4</v>
      </c>
      <c r="AF487">
        <v>2555.19</v>
      </c>
      <c r="AG487">
        <v>0.25</v>
      </c>
      <c r="AH487">
        <v>0.25</v>
      </c>
      <c r="AI487" t="str">
        <f t="shared" si="137"/>
        <v>Valid</v>
      </c>
      <c r="AJ487">
        <v>7665.57</v>
      </c>
      <c r="AK487">
        <f t="shared" si="138"/>
        <v>7665.57</v>
      </c>
      <c r="AL487">
        <v>5595.6</v>
      </c>
      <c r="AM487">
        <v>2069.9699999999998</v>
      </c>
      <c r="AN487">
        <f t="shared" si="139"/>
        <v>2069.9699999999993</v>
      </c>
      <c r="AO487">
        <f t="shared" si="140"/>
        <v>-5595.6</v>
      </c>
      <c r="AP487" t="s">
        <v>34</v>
      </c>
      <c r="AQ487" t="str">
        <f t="shared" si="141"/>
        <v>Paid</v>
      </c>
      <c r="AR487" t="s">
        <v>35</v>
      </c>
      <c r="AS487" t="str">
        <f t="shared" si="142"/>
        <v>Completed</v>
      </c>
      <c r="AT487" t="str">
        <f t="shared" si="143"/>
        <v>Clean</v>
      </c>
    </row>
    <row r="488" spans="1:46">
      <c r="A488" t="s">
        <v>2369</v>
      </c>
      <c r="B488">
        <f>COUNTIF($D$2:D488,D488)</f>
        <v>2</v>
      </c>
      <c r="C488" t="str">
        <f>IF(COUNTIF($A:$A,A488)=1,
"Unique",
IF(COUNTIFS($A:$A,A488,$N:$N,N488,$AF:$AF,AF488,$AJ:$AJ,AJ488)&gt;1,
"Exact Duplicate",
"Conflicting Duplicate"))</f>
        <v>Unique</v>
      </c>
      <c r="D488" t="s">
        <v>2370</v>
      </c>
      <c r="E488" t="s">
        <v>2371</v>
      </c>
      <c r="F488" s="3">
        <v>45830</v>
      </c>
      <c r="G488" s="3">
        <v>45834</v>
      </c>
      <c r="H488" s="5" t="str">
        <f t="shared" si="126"/>
        <v>June</v>
      </c>
      <c r="I488" s="5">
        <f t="shared" si="127"/>
        <v>2025</v>
      </c>
      <c r="J488" t="str">
        <f>IF(F488="","Missing Date",
IF(ISNUMBER(F488),"Valid","Invalid Date"))</f>
        <v>Valid</v>
      </c>
      <c r="K488" t="str">
        <f t="shared" si="128"/>
        <v>Valid</v>
      </c>
      <c r="L488">
        <f>G488-F488</f>
        <v>4</v>
      </c>
      <c r="M488" t="s">
        <v>2372</v>
      </c>
      <c r="N488" t="s">
        <v>148</v>
      </c>
      <c r="O488" t="str">
        <f t="shared" si="129"/>
        <v>Rahul Verma</v>
      </c>
      <c r="P488" t="s">
        <v>108</v>
      </c>
      <c r="Q488" t="str">
        <f t="shared" si="130"/>
        <v>Corporate</v>
      </c>
      <c r="R488" t="s">
        <v>73</v>
      </c>
      <c r="S488" t="str">
        <f t="shared" si="131"/>
        <v>West</v>
      </c>
      <c r="T488" t="s">
        <v>249</v>
      </c>
      <c r="U488" t="str">
        <f t="shared" si="132"/>
        <v>Goa</v>
      </c>
      <c r="V488" t="s">
        <v>250</v>
      </c>
      <c r="W488" t="str">
        <f t="shared" si="133"/>
        <v>Panaji</v>
      </c>
      <c r="X488" t="s">
        <v>45</v>
      </c>
      <c r="Y488" t="str">
        <f t="shared" si="134"/>
        <v>Furniture</v>
      </c>
      <c r="Z488" t="s">
        <v>46</v>
      </c>
      <c r="AA488" t="str">
        <f t="shared" si="135"/>
        <v>Tables</v>
      </c>
      <c r="AB488" t="s">
        <v>2373</v>
      </c>
      <c r="AC488" t="s">
        <v>67</v>
      </c>
      <c r="AD488" t="str">
        <f t="shared" si="136"/>
        <v>Standard Class</v>
      </c>
      <c r="AE488">
        <v>3</v>
      </c>
      <c r="AF488">
        <v>1946.18</v>
      </c>
      <c r="AG488">
        <v>0.2</v>
      </c>
      <c r="AH488">
        <v>0.2</v>
      </c>
      <c r="AI488" t="str">
        <f t="shared" si="137"/>
        <v>Valid</v>
      </c>
      <c r="AJ488">
        <v>4670.83</v>
      </c>
      <c r="AK488">
        <f t="shared" si="138"/>
        <v>4670.8320000000003</v>
      </c>
      <c r="AL488">
        <v>3166.49</v>
      </c>
      <c r="AM488">
        <v>1504.34</v>
      </c>
      <c r="AN488">
        <f t="shared" si="139"/>
        <v>1504.3420000000006</v>
      </c>
      <c r="AO488">
        <f t="shared" si="140"/>
        <v>-3166.49</v>
      </c>
      <c r="AP488" t="s">
        <v>34</v>
      </c>
      <c r="AQ488" t="str">
        <f t="shared" si="141"/>
        <v>Paid</v>
      </c>
      <c r="AR488" t="s">
        <v>35</v>
      </c>
      <c r="AS488" t="str">
        <f t="shared" si="142"/>
        <v>Completed</v>
      </c>
      <c r="AT488" t="str">
        <f t="shared" si="143"/>
        <v>Clean</v>
      </c>
    </row>
    <row r="489" spans="1:46">
      <c r="A489" t="s">
        <v>2374</v>
      </c>
      <c r="B489">
        <f>COUNTIF($D$2:D489,D489)</f>
        <v>1</v>
      </c>
      <c r="C489" t="str">
        <f>IF(COUNTIF($A:$A,A489)=1,
"Unique",
IF(COUNTIFS($A:$A,A489,$N:$N,N489,$AF:$AF,AF489,$AJ:$AJ,AJ489)&gt;1,
"Exact Duplicate",
"Conflicting Duplicate"))</f>
        <v>Unique</v>
      </c>
      <c r="D489" t="s">
        <v>1968</v>
      </c>
      <c r="E489" t="s">
        <v>2375</v>
      </c>
      <c r="F489" s="2">
        <v>45936</v>
      </c>
      <c r="G489" s="3">
        <v>45825</v>
      </c>
      <c r="H489" s="5" t="str">
        <f t="shared" si="126"/>
        <v>October</v>
      </c>
      <c r="I489" s="5">
        <f t="shared" si="127"/>
        <v>2025</v>
      </c>
      <c r="J489" t="str">
        <f>IF(F489="","Missing Date",
IF(ISNUMBER(F489),"Valid","Invalid Date"))</f>
        <v>Valid</v>
      </c>
      <c r="K489" t="str">
        <f t="shared" si="128"/>
        <v>Valid</v>
      </c>
      <c r="L489">
        <f>G489-F489</f>
        <v>-111</v>
      </c>
      <c r="M489" t="s">
        <v>2376</v>
      </c>
      <c r="N489" t="s">
        <v>148</v>
      </c>
      <c r="O489" t="str">
        <f t="shared" si="129"/>
        <v>Rahul Verma</v>
      </c>
      <c r="P489" t="s">
        <v>108</v>
      </c>
      <c r="Q489" t="str">
        <f t="shared" si="130"/>
        <v>Corporate</v>
      </c>
      <c r="R489" t="s">
        <v>62</v>
      </c>
      <c r="S489" t="str">
        <f t="shared" si="131"/>
        <v>South</v>
      </c>
      <c r="T489" t="s">
        <v>63</v>
      </c>
      <c r="U489" t="str">
        <f t="shared" si="132"/>
        <v>Telangana</v>
      </c>
      <c r="V489" t="s">
        <v>64</v>
      </c>
      <c r="W489" t="str">
        <f t="shared" si="133"/>
        <v>Hyderabad</v>
      </c>
      <c r="X489" t="s">
        <v>45</v>
      </c>
      <c r="Y489" t="str">
        <f t="shared" si="134"/>
        <v>Furniture</v>
      </c>
      <c r="Z489" t="s">
        <v>65</v>
      </c>
      <c r="AA489" t="str">
        <f t="shared" si="135"/>
        <v>Furnishings</v>
      </c>
      <c r="AB489" t="s">
        <v>2377</v>
      </c>
      <c r="AC489" t="s">
        <v>67</v>
      </c>
      <c r="AD489" t="str">
        <f t="shared" si="136"/>
        <v>Standard Class</v>
      </c>
      <c r="AE489">
        <v>5</v>
      </c>
      <c r="AF489">
        <v>1231.0999999999999</v>
      </c>
      <c r="AG489">
        <v>0</v>
      </c>
      <c r="AH489">
        <v>0</v>
      </c>
      <c r="AI489" t="str">
        <f t="shared" si="137"/>
        <v>Valid</v>
      </c>
      <c r="AJ489">
        <v>6155.5</v>
      </c>
      <c r="AK489">
        <f t="shared" si="138"/>
        <v>6155.5</v>
      </c>
      <c r="AL489">
        <v>4282.09</v>
      </c>
      <c r="AM489">
        <v>1873.41</v>
      </c>
      <c r="AN489">
        <f t="shared" si="139"/>
        <v>1873.4099999999999</v>
      </c>
      <c r="AO489">
        <f t="shared" si="140"/>
        <v>-4282.09</v>
      </c>
      <c r="AP489" t="s">
        <v>124</v>
      </c>
      <c r="AQ489" t="str">
        <f t="shared" si="141"/>
        <v>Refunded</v>
      </c>
      <c r="AR489" t="s">
        <v>125</v>
      </c>
      <c r="AS489" t="str">
        <f t="shared" si="142"/>
        <v>Returned</v>
      </c>
      <c r="AT489" t="str">
        <f t="shared" si="143"/>
        <v>Clean</v>
      </c>
    </row>
    <row r="490" spans="1:46">
      <c r="A490" t="s">
        <v>2378</v>
      </c>
      <c r="B490">
        <f>COUNTIF($D$2:D490,D490)</f>
        <v>2</v>
      </c>
      <c r="C490" t="str">
        <f>IF(COUNTIF($A:$A,A490)=1,
"Unique",
IF(COUNTIFS($A:$A,A490,$N:$N,N490,$AF:$AF,AF490,$AJ:$AJ,AJ490)&gt;1,
"Exact Duplicate",
"Conflicting Duplicate"))</f>
        <v>Unique</v>
      </c>
      <c r="D490" t="s">
        <v>2379</v>
      </c>
      <c r="E490" t="s">
        <v>2380</v>
      </c>
      <c r="F490" s="2">
        <v>45579</v>
      </c>
      <c r="G490" s="3">
        <v>45585</v>
      </c>
      <c r="H490" s="5" t="str">
        <f t="shared" si="126"/>
        <v>October</v>
      </c>
      <c r="I490" s="5">
        <f t="shared" si="127"/>
        <v>2024</v>
      </c>
      <c r="J490" t="str">
        <f>IF(F490="","Missing Date",
IF(ISNUMBER(F490),"Valid","Invalid Date"))</f>
        <v>Valid</v>
      </c>
      <c r="K490" t="str">
        <f t="shared" si="128"/>
        <v>Valid</v>
      </c>
      <c r="L490">
        <f>G490-F490</f>
        <v>6</v>
      </c>
      <c r="M490" t="s">
        <v>2381</v>
      </c>
      <c r="N490" t="s">
        <v>107</v>
      </c>
      <c r="O490" t="str">
        <f t="shared" si="129"/>
        <v>Aditi Sen</v>
      </c>
      <c r="P490" t="s">
        <v>41</v>
      </c>
      <c r="Q490" t="str">
        <f t="shared" si="130"/>
        <v>Small Business</v>
      </c>
      <c r="R490" t="s">
        <v>27</v>
      </c>
      <c r="S490" t="str">
        <f t="shared" si="131"/>
        <v>North</v>
      </c>
      <c r="T490" t="s">
        <v>28</v>
      </c>
      <c r="U490" t="str">
        <f t="shared" si="132"/>
        <v>Rajasthan</v>
      </c>
      <c r="V490" t="s">
        <v>29</v>
      </c>
      <c r="W490" t="str">
        <f t="shared" si="133"/>
        <v>Jaipur</v>
      </c>
      <c r="X490" t="s">
        <v>45</v>
      </c>
      <c r="Y490" t="str">
        <f t="shared" si="134"/>
        <v>Furniture</v>
      </c>
      <c r="Z490" t="s">
        <v>46</v>
      </c>
      <c r="AA490" t="str">
        <f t="shared" si="135"/>
        <v>Tables</v>
      </c>
      <c r="AB490" t="s">
        <v>2382</v>
      </c>
      <c r="AC490" t="s">
        <v>48</v>
      </c>
      <c r="AD490" t="str">
        <f t="shared" si="136"/>
        <v>Same Day</v>
      </c>
      <c r="AE490">
        <v>7</v>
      </c>
      <c r="AF490">
        <v>1547.6</v>
      </c>
      <c r="AG490">
        <v>0.2</v>
      </c>
      <c r="AH490">
        <v>0.2</v>
      </c>
      <c r="AI490" t="str">
        <f t="shared" si="137"/>
        <v>Valid</v>
      </c>
      <c r="AJ490">
        <v>8666.56</v>
      </c>
      <c r="AK490">
        <f t="shared" si="138"/>
        <v>8666.56</v>
      </c>
      <c r="AL490">
        <v>5967.44</v>
      </c>
      <c r="AM490">
        <v>2699.12</v>
      </c>
      <c r="AN490">
        <f t="shared" si="139"/>
        <v>2699.12</v>
      </c>
      <c r="AO490">
        <f t="shared" si="140"/>
        <v>-5967.44</v>
      </c>
      <c r="AP490" t="s">
        <v>34</v>
      </c>
      <c r="AQ490" t="str">
        <f t="shared" si="141"/>
        <v>Paid</v>
      </c>
      <c r="AR490" t="s">
        <v>35</v>
      </c>
      <c r="AS490" t="str">
        <f t="shared" si="142"/>
        <v>Completed</v>
      </c>
      <c r="AT490" t="str">
        <f t="shared" si="143"/>
        <v>Clean</v>
      </c>
    </row>
    <row r="491" spans="1:46">
      <c r="A491" t="s">
        <v>2383</v>
      </c>
      <c r="B491">
        <f>COUNTIF($D$2:D491,D491)</f>
        <v>2</v>
      </c>
      <c r="C491" t="str">
        <f>IF(COUNTIF($A:$A,A491)=1,
"Unique",
IF(COUNTIFS($A:$A,A491,$N:$N,N491,$AF:$AF,AF491,$AJ:$AJ,AJ491)&gt;1,
"Exact Duplicate",
"Conflicting Duplicate"))</f>
        <v>Unique</v>
      </c>
      <c r="D491" t="s">
        <v>390</v>
      </c>
      <c r="E491" t="s">
        <v>2384</v>
      </c>
      <c r="F491" s="3">
        <v>45475</v>
      </c>
      <c r="G491" s="3">
        <v>45628</v>
      </c>
      <c r="H491" s="5" t="str">
        <f t="shared" si="126"/>
        <v>July</v>
      </c>
      <c r="I491" s="5">
        <f t="shared" si="127"/>
        <v>2024</v>
      </c>
      <c r="J491" t="str">
        <f>IF(F491="","Missing Date",
IF(ISNUMBER(F491),"Valid","Invalid Date"))</f>
        <v>Valid</v>
      </c>
      <c r="K491" t="str">
        <f t="shared" si="128"/>
        <v>Valid</v>
      </c>
      <c r="L491">
        <f>G491-F491</f>
        <v>153</v>
      </c>
      <c r="M491" t="s">
        <v>2385</v>
      </c>
      <c r="N491" t="s">
        <v>61</v>
      </c>
      <c r="O491" t="str">
        <f t="shared" si="129"/>
        <v>Arjun Bose</v>
      </c>
      <c r="P491" t="s">
        <v>115</v>
      </c>
      <c r="Q491" t="str">
        <f t="shared" si="130"/>
        <v>Home Office</v>
      </c>
      <c r="R491" t="s">
        <v>42</v>
      </c>
      <c r="S491" t="str">
        <f t="shared" si="131"/>
        <v>East</v>
      </c>
      <c r="T491" t="s">
        <v>121</v>
      </c>
      <c r="U491" t="str">
        <f t="shared" si="132"/>
        <v>West Bengal</v>
      </c>
      <c r="V491" t="s">
        <v>122</v>
      </c>
      <c r="W491" t="str">
        <f t="shared" si="133"/>
        <v>Kolkata</v>
      </c>
      <c r="X491" t="s">
        <v>86</v>
      </c>
      <c r="Y491" t="str">
        <f t="shared" si="134"/>
        <v>Technology</v>
      </c>
      <c r="Z491" t="s">
        <v>87</v>
      </c>
      <c r="AA491" t="str">
        <f t="shared" si="135"/>
        <v>Accessories</v>
      </c>
      <c r="AB491" t="s">
        <v>2386</v>
      </c>
      <c r="AC491" t="s">
        <v>33</v>
      </c>
      <c r="AD491" t="str">
        <f t="shared" si="136"/>
        <v>Second Class</v>
      </c>
      <c r="AE491">
        <v>1</v>
      </c>
      <c r="AF491">
        <v>452.19</v>
      </c>
      <c r="AG491">
        <v>0.2</v>
      </c>
      <c r="AH491">
        <v>0.2</v>
      </c>
      <c r="AI491" t="str">
        <f t="shared" si="137"/>
        <v>Valid</v>
      </c>
      <c r="AJ491">
        <v>361.75</v>
      </c>
      <c r="AK491">
        <f t="shared" si="138"/>
        <v>361.75200000000001</v>
      </c>
      <c r="AL491">
        <v>262.52999999999997</v>
      </c>
      <c r="AM491">
        <v>99.22</v>
      </c>
      <c r="AN491">
        <f t="shared" si="139"/>
        <v>99.222000000000037</v>
      </c>
      <c r="AO491">
        <f t="shared" si="140"/>
        <v>-262.52999999999997</v>
      </c>
      <c r="AP491" t="s">
        <v>34</v>
      </c>
      <c r="AQ491" t="str">
        <f t="shared" si="141"/>
        <v>Paid</v>
      </c>
      <c r="AR491" t="s">
        <v>35</v>
      </c>
      <c r="AS491" t="str">
        <f t="shared" si="142"/>
        <v>Completed</v>
      </c>
      <c r="AT491" t="str">
        <f t="shared" si="143"/>
        <v>Clean</v>
      </c>
    </row>
    <row r="492" spans="1:46">
      <c r="A492" t="s">
        <v>2387</v>
      </c>
      <c r="B492">
        <f>COUNTIF($D$2:D492,D492)</f>
        <v>1</v>
      </c>
      <c r="C492" t="str">
        <f>IF(COUNTIF($A:$A,A492)=1,
"Unique",
IF(COUNTIFS($A:$A,A492,$N:$N,N492,$AF:$AF,AF492,$AJ:$AJ,AJ492)&gt;1,
"Exact Duplicate",
"Conflicting Duplicate"))</f>
        <v>Unique</v>
      </c>
      <c r="D492" t="s">
        <v>2388</v>
      </c>
      <c r="E492" t="s">
        <v>1889</v>
      </c>
      <c r="F492" s="3">
        <v>45551</v>
      </c>
      <c r="G492" s="3">
        <v>45554</v>
      </c>
      <c r="H492" s="5" t="str">
        <f t="shared" si="126"/>
        <v>September</v>
      </c>
      <c r="I492" s="5">
        <f t="shared" si="127"/>
        <v>2024</v>
      </c>
      <c r="J492" t="str">
        <f>IF(F492="","Missing Date",
IF(ISNUMBER(F492),"Valid","Invalid Date"))</f>
        <v>Valid</v>
      </c>
      <c r="K492" t="str">
        <f t="shared" si="128"/>
        <v>Valid</v>
      </c>
      <c r="L492">
        <f>G492-F492</f>
        <v>3</v>
      </c>
      <c r="M492" t="s">
        <v>2389</v>
      </c>
      <c r="N492" t="s">
        <v>107</v>
      </c>
      <c r="O492" t="str">
        <f t="shared" si="129"/>
        <v>Aditi Sen</v>
      </c>
      <c r="P492" t="s">
        <v>26</v>
      </c>
      <c r="Q492" t="str">
        <f t="shared" si="130"/>
        <v>Consumer</v>
      </c>
      <c r="R492" t="s">
        <v>73</v>
      </c>
      <c r="S492" t="str">
        <f t="shared" si="131"/>
        <v>West</v>
      </c>
      <c r="T492" t="s">
        <v>28</v>
      </c>
      <c r="U492" t="str">
        <f t="shared" si="132"/>
        <v>Rajasthan</v>
      </c>
      <c r="V492" t="s">
        <v>135</v>
      </c>
      <c r="W492" t="str">
        <f t="shared" si="133"/>
        <v>Udaipur</v>
      </c>
      <c r="X492" t="s">
        <v>30</v>
      </c>
      <c r="Y492" t="str">
        <f t="shared" si="134"/>
        <v>Office Supplies</v>
      </c>
      <c r="Z492" t="s">
        <v>198</v>
      </c>
      <c r="AA492" t="str">
        <f t="shared" si="135"/>
        <v>Binders</v>
      </c>
      <c r="AB492" t="s">
        <v>2390</v>
      </c>
      <c r="AC492" t="s">
        <v>56</v>
      </c>
      <c r="AD492" t="str">
        <f t="shared" si="136"/>
        <v>First Class</v>
      </c>
      <c r="AE492">
        <v>7</v>
      </c>
      <c r="AF492">
        <v>406.42</v>
      </c>
      <c r="AG492">
        <v>0.15</v>
      </c>
      <c r="AH492">
        <v>0.15</v>
      </c>
      <c r="AI492" t="str">
        <f t="shared" si="137"/>
        <v>Valid</v>
      </c>
      <c r="AJ492">
        <v>2418.1999999999998</v>
      </c>
      <c r="AK492">
        <f t="shared" si="138"/>
        <v>2418.1990000000001</v>
      </c>
      <c r="AL492">
        <v>1613.82</v>
      </c>
      <c r="AM492">
        <v>804.38</v>
      </c>
      <c r="AN492">
        <f t="shared" si="139"/>
        <v>804.37900000000013</v>
      </c>
      <c r="AO492">
        <f t="shared" si="140"/>
        <v>-1613.82</v>
      </c>
      <c r="AP492" t="s">
        <v>34</v>
      </c>
      <c r="AQ492" t="str">
        <f t="shared" si="141"/>
        <v>Paid</v>
      </c>
      <c r="AR492" t="s">
        <v>35</v>
      </c>
      <c r="AS492" t="str">
        <f t="shared" si="142"/>
        <v>Completed</v>
      </c>
      <c r="AT492" t="str">
        <f t="shared" si="143"/>
        <v>Clean</v>
      </c>
    </row>
    <row r="493" spans="1:46">
      <c r="A493" t="s">
        <v>2391</v>
      </c>
      <c r="B493">
        <f>COUNTIF($D$2:D493,D493)</f>
        <v>1</v>
      </c>
      <c r="C493" t="str">
        <f>IF(COUNTIF($A:$A,A493)=1,
"Unique",
IF(COUNTIFS($A:$A,A493,$N:$N,N493,$AF:$AF,AF493,$AJ:$AJ,AJ493)&gt;1,
"Exact Duplicate",
"Conflicting Duplicate"))</f>
        <v>Unique</v>
      </c>
      <c r="D493" t="s">
        <v>1978</v>
      </c>
      <c r="E493" t="s">
        <v>2392</v>
      </c>
      <c r="F493" s="3">
        <v>45776</v>
      </c>
      <c r="G493" s="3">
        <v>45777</v>
      </c>
      <c r="H493" s="5" t="str">
        <f t="shared" si="126"/>
        <v>April</v>
      </c>
      <c r="I493" s="5">
        <f t="shared" si="127"/>
        <v>2025</v>
      </c>
      <c r="J493" t="str">
        <f>IF(F493="","Missing Date",
IF(ISNUMBER(F493),"Valid","Invalid Date"))</f>
        <v>Valid</v>
      </c>
      <c r="K493" t="str">
        <f t="shared" si="128"/>
        <v>Valid</v>
      </c>
      <c r="L493">
        <f>G493-F493</f>
        <v>1</v>
      </c>
      <c r="M493" t="s">
        <v>2393</v>
      </c>
      <c r="N493" t="s">
        <v>40</v>
      </c>
      <c r="O493" t="str">
        <f t="shared" si="129"/>
        <v>Mira Das</v>
      </c>
      <c r="P493" t="s">
        <v>108</v>
      </c>
      <c r="Q493" t="str">
        <f t="shared" si="130"/>
        <v>Corporate</v>
      </c>
      <c r="R493" t="s">
        <v>62</v>
      </c>
      <c r="S493" t="str">
        <f t="shared" si="131"/>
        <v>South</v>
      </c>
      <c r="T493" t="s">
        <v>242</v>
      </c>
      <c r="U493" t="str">
        <f t="shared" si="132"/>
        <v>Kerala</v>
      </c>
      <c r="V493" t="s">
        <v>243</v>
      </c>
      <c r="W493" t="str">
        <f t="shared" si="133"/>
        <v>Kochi</v>
      </c>
      <c r="X493" t="s">
        <v>86</v>
      </c>
      <c r="Y493" t="str">
        <f t="shared" si="134"/>
        <v>Technology</v>
      </c>
      <c r="Z493" t="s">
        <v>87</v>
      </c>
      <c r="AA493" t="str">
        <f t="shared" si="135"/>
        <v>Accessories</v>
      </c>
      <c r="AB493" t="s">
        <v>2394</v>
      </c>
      <c r="AC493" t="s">
        <v>67</v>
      </c>
      <c r="AD493" t="str">
        <f t="shared" si="136"/>
        <v>Standard Class</v>
      </c>
      <c r="AE493">
        <v>4</v>
      </c>
      <c r="AF493">
        <v>606.58000000000004</v>
      </c>
      <c r="AG493">
        <v>0.2</v>
      </c>
      <c r="AH493">
        <v>0.2</v>
      </c>
      <c r="AI493" t="str">
        <f t="shared" si="137"/>
        <v>Valid</v>
      </c>
      <c r="AJ493">
        <v>1941.06</v>
      </c>
      <c r="AK493">
        <f t="shared" si="138"/>
        <v>1941.0560000000003</v>
      </c>
      <c r="AL493">
        <v>1207.42</v>
      </c>
      <c r="AM493">
        <v>733.64</v>
      </c>
      <c r="AN493">
        <f t="shared" si="139"/>
        <v>733.63600000000019</v>
      </c>
      <c r="AO493">
        <f t="shared" si="140"/>
        <v>-1207.42</v>
      </c>
      <c r="AP493" t="s">
        <v>34</v>
      </c>
      <c r="AQ493" t="str">
        <f t="shared" si="141"/>
        <v>Paid</v>
      </c>
      <c r="AR493" t="s">
        <v>35</v>
      </c>
      <c r="AS493" t="str">
        <f t="shared" si="142"/>
        <v>Completed</v>
      </c>
      <c r="AT493" t="str">
        <f t="shared" si="143"/>
        <v>Clean</v>
      </c>
    </row>
    <row r="494" spans="1:46">
      <c r="A494" t="s">
        <v>2395</v>
      </c>
      <c r="B494">
        <f>COUNTIF($D$2:D494,D494)</f>
        <v>3</v>
      </c>
      <c r="C494" t="str">
        <f>IF(COUNTIF($A:$A,A494)=1,
"Unique",
IF(COUNTIFS($A:$A,A494,$N:$N,N494,$AF:$AF,AF494,$AJ:$AJ,AJ494)&gt;1,
"Exact Duplicate",
"Conflicting Duplicate"))</f>
        <v>Unique</v>
      </c>
      <c r="D494" t="s">
        <v>2396</v>
      </c>
      <c r="E494" t="s">
        <v>2397</v>
      </c>
      <c r="F494" s="3">
        <v>45836</v>
      </c>
      <c r="G494" s="3">
        <v>45840</v>
      </c>
      <c r="H494" s="5" t="str">
        <f t="shared" si="126"/>
        <v>June</v>
      </c>
      <c r="I494" s="5">
        <f t="shared" si="127"/>
        <v>2025</v>
      </c>
      <c r="J494" t="str">
        <f>IF(F494="","Missing Date",
IF(ISNUMBER(F494),"Valid","Invalid Date"))</f>
        <v>Valid</v>
      </c>
      <c r="K494" t="str">
        <f t="shared" si="128"/>
        <v>Valid</v>
      </c>
      <c r="L494">
        <f>G494-F494</f>
        <v>4</v>
      </c>
      <c r="M494" t="s">
        <v>2398</v>
      </c>
      <c r="N494" t="s">
        <v>72</v>
      </c>
      <c r="O494" t="str">
        <f t="shared" si="129"/>
        <v>Ananya Rao</v>
      </c>
      <c r="P494" t="s">
        <v>108</v>
      </c>
      <c r="Q494" t="str">
        <f t="shared" si="130"/>
        <v>Corporate</v>
      </c>
      <c r="R494" t="s">
        <v>62</v>
      </c>
      <c r="S494" t="str">
        <f t="shared" si="131"/>
        <v>South</v>
      </c>
      <c r="T494" t="s">
        <v>100</v>
      </c>
      <c r="U494" t="str">
        <f t="shared" si="132"/>
        <v>Andhra Pradesh</v>
      </c>
      <c r="V494" t="s">
        <v>101</v>
      </c>
      <c r="W494" t="str">
        <f t="shared" si="133"/>
        <v>Vijayawada</v>
      </c>
      <c r="X494" t="s">
        <v>30</v>
      </c>
      <c r="Y494" t="str">
        <f t="shared" si="134"/>
        <v>Office Supplies</v>
      </c>
      <c r="Z494" t="s">
        <v>156</v>
      </c>
      <c r="AA494" t="str">
        <f t="shared" si="135"/>
        <v>Storage</v>
      </c>
      <c r="AB494" t="s">
        <v>2399</v>
      </c>
      <c r="AC494" t="s">
        <v>33</v>
      </c>
      <c r="AD494" t="str">
        <f t="shared" si="136"/>
        <v>Second Class</v>
      </c>
      <c r="AE494">
        <v>2</v>
      </c>
      <c r="AF494">
        <v>2725.44</v>
      </c>
      <c r="AG494">
        <v>0.25</v>
      </c>
      <c r="AH494">
        <v>0.25</v>
      </c>
      <c r="AI494" t="str">
        <f t="shared" si="137"/>
        <v>Valid</v>
      </c>
      <c r="AJ494">
        <v>4088.16</v>
      </c>
      <c r="AK494">
        <f t="shared" si="138"/>
        <v>4088.16</v>
      </c>
      <c r="AL494">
        <v>3205.68</v>
      </c>
      <c r="AM494">
        <v>882.48</v>
      </c>
      <c r="AN494">
        <f t="shared" si="139"/>
        <v>882.48</v>
      </c>
      <c r="AO494">
        <f t="shared" si="140"/>
        <v>-3205.68</v>
      </c>
      <c r="AP494" t="s">
        <v>34</v>
      </c>
      <c r="AQ494" t="str">
        <f t="shared" si="141"/>
        <v>Paid</v>
      </c>
      <c r="AR494" t="s">
        <v>35</v>
      </c>
      <c r="AS494" t="str">
        <f t="shared" si="142"/>
        <v>Completed</v>
      </c>
      <c r="AT494" t="str">
        <f t="shared" si="143"/>
        <v>Clean</v>
      </c>
    </row>
    <row r="495" spans="1:46">
      <c r="A495" t="s">
        <v>2400</v>
      </c>
      <c r="B495">
        <f>COUNTIF($D$2:D495,D495)</f>
        <v>2</v>
      </c>
      <c r="C495" t="str">
        <f>IF(COUNTIF($A:$A,A495)=1,
"Unique",
IF(COUNTIFS($A:$A,A495,$N:$N,N495,$AF:$AF,AF495,$AJ:$AJ,AJ495)&gt;1,
"Exact Duplicate",
"Conflicting Duplicate"))</f>
        <v>Unique</v>
      </c>
      <c r="D495" t="s">
        <v>1415</v>
      </c>
      <c r="E495" t="s">
        <v>2401</v>
      </c>
      <c r="F495" s="2">
        <v>45701</v>
      </c>
      <c r="G495" s="3">
        <v>45701</v>
      </c>
      <c r="H495" s="5" t="str">
        <f t="shared" si="126"/>
        <v>February</v>
      </c>
      <c r="I495" s="5">
        <f t="shared" si="127"/>
        <v>2025</v>
      </c>
      <c r="J495" t="str">
        <f>IF(F495="","Missing Date",
IF(ISNUMBER(F495),"Valid","Invalid Date"))</f>
        <v>Valid</v>
      </c>
      <c r="K495" t="str">
        <f t="shared" si="128"/>
        <v>Valid</v>
      </c>
      <c r="L495">
        <f>G495-F495</f>
        <v>0</v>
      </c>
      <c r="M495" t="s">
        <v>2402</v>
      </c>
      <c r="N495" t="s">
        <v>366</v>
      </c>
      <c r="O495" t="str">
        <f t="shared" si="129"/>
        <v>Kabir Singh</v>
      </c>
      <c r="P495" t="s">
        <v>108</v>
      </c>
      <c r="Q495" t="str">
        <f t="shared" si="130"/>
        <v>Corporate</v>
      </c>
      <c r="R495" t="s">
        <v>42</v>
      </c>
      <c r="S495" t="str">
        <f t="shared" si="131"/>
        <v>East</v>
      </c>
      <c r="T495" t="s">
        <v>43</v>
      </c>
      <c r="U495" t="str">
        <f t="shared" si="132"/>
        <v>Odisha</v>
      </c>
      <c r="V495" t="s">
        <v>44</v>
      </c>
      <c r="W495" t="str">
        <f t="shared" si="133"/>
        <v>Bhubaneswar</v>
      </c>
      <c r="X495" t="s">
        <v>30</v>
      </c>
      <c r="Y495" t="str">
        <f t="shared" si="134"/>
        <v>Office Supplies</v>
      </c>
      <c r="Z495" t="s">
        <v>31</v>
      </c>
      <c r="AA495" t="str">
        <f t="shared" si="135"/>
        <v>Paper</v>
      </c>
      <c r="AB495" t="s">
        <v>2403</v>
      </c>
      <c r="AC495" t="s">
        <v>33</v>
      </c>
      <c r="AD495" t="str">
        <f t="shared" si="136"/>
        <v>Second Class</v>
      </c>
      <c r="AE495">
        <v>7</v>
      </c>
      <c r="AF495">
        <v>2296.6999999999998</v>
      </c>
      <c r="AG495">
        <v>0.05</v>
      </c>
      <c r="AH495">
        <v>0.05</v>
      </c>
      <c r="AI495" t="str">
        <f t="shared" si="137"/>
        <v>Valid</v>
      </c>
      <c r="AJ495">
        <v>15273.05</v>
      </c>
      <c r="AK495">
        <f t="shared" si="138"/>
        <v>15273.054999999997</v>
      </c>
      <c r="AL495">
        <v>11088.76</v>
      </c>
      <c r="AM495">
        <v>4184.29</v>
      </c>
      <c r="AN495">
        <f t="shared" si="139"/>
        <v>4184.2949999999964</v>
      </c>
      <c r="AO495">
        <f t="shared" si="140"/>
        <v>-11088.76</v>
      </c>
      <c r="AP495" t="s">
        <v>34</v>
      </c>
      <c r="AQ495" t="str">
        <f t="shared" si="141"/>
        <v>Paid</v>
      </c>
      <c r="AR495" t="s">
        <v>2404</v>
      </c>
      <c r="AS495" t="str">
        <f t="shared" si="142"/>
        <v>Completed</v>
      </c>
      <c r="AT495" t="str">
        <f t="shared" si="143"/>
        <v>Clean</v>
      </c>
    </row>
    <row r="496" spans="1:46">
      <c r="A496" t="s">
        <v>2405</v>
      </c>
      <c r="B496">
        <f>COUNTIF($D$2:D496,D496)</f>
        <v>2</v>
      </c>
      <c r="C496" t="str">
        <f>IF(COUNTIF($A:$A,A496)=1,
"Unique",
IF(COUNTIFS($A:$A,A496,$N:$N,N496,$AF:$AF,AF496,$AJ:$AJ,AJ496)&gt;1,
"Exact Duplicate",
"Conflicting Duplicate"))</f>
        <v>Unique</v>
      </c>
      <c r="D496" t="s">
        <v>2406</v>
      </c>
      <c r="E496" t="s">
        <v>2407</v>
      </c>
      <c r="F496" s="3">
        <v>45610</v>
      </c>
      <c r="G496" s="3">
        <v>45618</v>
      </c>
      <c r="H496" s="5" t="str">
        <f t="shared" si="126"/>
        <v>November</v>
      </c>
      <c r="I496" s="5">
        <f t="shared" si="127"/>
        <v>2024</v>
      </c>
      <c r="J496" t="str">
        <f>IF(F496="","Missing Date",
IF(ISNUMBER(F496),"Valid","Invalid Date"))</f>
        <v>Valid</v>
      </c>
      <c r="K496" t="str">
        <f t="shared" si="128"/>
        <v>Valid</v>
      </c>
      <c r="L496">
        <f>G496-F496</f>
        <v>8</v>
      </c>
      <c r="M496" t="s">
        <v>2408</v>
      </c>
      <c r="N496" t="s">
        <v>53</v>
      </c>
      <c r="O496" t="str">
        <f t="shared" si="129"/>
        <v>Isha Nair</v>
      </c>
      <c r="P496" t="s">
        <v>26</v>
      </c>
      <c r="Q496" t="str">
        <f t="shared" si="130"/>
        <v>Consumer</v>
      </c>
      <c r="R496" t="s">
        <v>73</v>
      </c>
      <c r="S496" t="str">
        <f t="shared" si="131"/>
        <v>West</v>
      </c>
      <c r="T496" t="s">
        <v>84</v>
      </c>
      <c r="U496" t="str">
        <f t="shared" si="132"/>
        <v>Madhya Pradesh</v>
      </c>
      <c r="V496" t="s">
        <v>85</v>
      </c>
      <c r="W496" t="str">
        <f t="shared" si="133"/>
        <v>Indore</v>
      </c>
      <c r="X496" t="s">
        <v>86</v>
      </c>
      <c r="Y496" t="str">
        <f t="shared" si="134"/>
        <v>Technology</v>
      </c>
      <c r="Z496" t="s">
        <v>223</v>
      </c>
      <c r="AA496" t="str">
        <f t="shared" si="135"/>
        <v>Phones</v>
      </c>
      <c r="AB496" t="s">
        <v>2409</v>
      </c>
      <c r="AC496" t="s">
        <v>67</v>
      </c>
      <c r="AD496" t="str">
        <f t="shared" si="136"/>
        <v>Standard Class</v>
      </c>
      <c r="AE496">
        <v>3</v>
      </c>
      <c r="AF496">
        <v>671.68</v>
      </c>
      <c r="AG496">
        <v>-0.13</v>
      </c>
      <c r="AH496">
        <v>-0.13</v>
      </c>
      <c r="AI496" t="str">
        <f t="shared" si="137"/>
        <v>Invalid - Negative Discount</v>
      </c>
      <c r="AJ496">
        <v>1712.78</v>
      </c>
      <c r="AK496">
        <f t="shared" si="138"/>
        <v>2276.9951999999998</v>
      </c>
      <c r="AL496">
        <v>1569.38</v>
      </c>
      <c r="AM496">
        <v>360.66</v>
      </c>
      <c r="AN496">
        <f t="shared" si="139"/>
        <v>707.61519999999973</v>
      </c>
      <c r="AO496">
        <f t="shared" si="140"/>
        <v>-1569.38</v>
      </c>
      <c r="AP496" t="s">
        <v>200</v>
      </c>
      <c r="AQ496" t="str">
        <f t="shared" si="141"/>
        <v>Failed</v>
      </c>
      <c r="AR496" t="s">
        <v>78</v>
      </c>
      <c r="AS496" t="str">
        <f t="shared" si="142"/>
        <v>Cancelled</v>
      </c>
      <c r="AT496" t="str">
        <f t="shared" si="143"/>
        <v>Clean</v>
      </c>
    </row>
    <row r="497" spans="1:46">
      <c r="A497" t="s">
        <v>2410</v>
      </c>
      <c r="B497">
        <f>COUNTIF($D$2:D497,D497)</f>
        <v>3</v>
      </c>
      <c r="C497" t="str">
        <f>IF(COUNTIF($A:$A,A497)=1,
"Unique",
IF(COUNTIFS($A:$A,A497,$N:$N,N497,$AF:$AF,AF497,$AJ:$AJ,AJ497)&gt;1,
"Exact Duplicate",
"Conflicting Duplicate"))</f>
        <v>Unique</v>
      </c>
      <c r="D497" t="s">
        <v>2191</v>
      </c>
      <c r="E497" t="s">
        <v>2411</v>
      </c>
      <c r="F497" s="3">
        <v>45421</v>
      </c>
      <c r="G497" s="3">
        <v>45427</v>
      </c>
      <c r="H497" s="5" t="str">
        <f t="shared" si="126"/>
        <v>May</v>
      </c>
      <c r="I497" s="5">
        <f t="shared" si="127"/>
        <v>2024</v>
      </c>
      <c r="J497" t="str">
        <f>IF(F497="","Missing Date",
IF(ISNUMBER(F497),"Valid","Invalid Date"))</f>
        <v>Valid</v>
      </c>
      <c r="K497" t="str">
        <f t="shared" si="128"/>
        <v>Valid</v>
      </c>
      <c r="L497">
        <f>G497-F497</f>
        <v>6</v>
      </c>
      <c r="M497" t="s">
        <v>2412</v>
      </c>
      <c r="N497" t="s">
        <v>40</v>
      </c>
      <c r="O497" t="str">
        <f t="shared" si="129"/>
        <v>Mira Das</v>
      </c>
      <c r="P497" t="s">
        <v>41</v>
      </c>
      <c r="Q497" t="str">
        <f t="shared" si="130"/>
        <v>Small Business</v>
      </c>
      <c r="R497" t="s">
        <v>42</v>
      </c>
      <c r="S497" t="str">
        <f t="shared" si="131"/>
        <v>East</v>
      </c>
      <c r="T497" t="s">
        <v>216</v>
      </c>
      <c r="U497" t="str">
        <f t="shared" si="132"/>
        <v>Assam</v>
      </c>
      <c r="V497" t="s">
        <v>217</v>
      </c>
      <c r="W497" t="str">
        <f t="shared" si="133"/>
        <v>Guwahati</v>
      </c>
      <c r="X497" t="s">
        <v>86</v>
      </c>
      <c r="Y497" t="str">
        <f t="shared" si="134"/>
        <v>Technology</v>
      </c>
      <c r="Z497" t="s">
        <v>223</v>
      </c>
      <c r="AA497" t="str">
        <f t="shared" si="135"/>
        <v>Phones</v>
      </c>
      <c r="AB497" t="s">
        <v>2413</v>
      </c>
      <c r="AC497" t="s">
        <v>33</v>
      </c>
      <c r="AD497" t="str">
        <f t="shared" si="136"/>
        <v>Second Class</v>
      </c>
      <c r="AE497">
        <v>4</v>
      </c>
      <c r="AF497">
        <v>995.98</v>
      </c>
      <c r="AG497">
        <v>0.05</v>
      </c>
      <c r="AH497">
        <v>0.05</v>
      </c>
      <c r="AI497" t="str">
        <f t="shared" si="137"/>
        <v>Valid</v>
      </c>
      <c r="AJ497">
        <v>3784.72</v>
      </c>
      <c r="AK497">
        <f t="shared" si="138"/>
        <v>3784.7239999999997</v>
      </c>
      <c r="AL497">
        <v>2419.2399999999998</v>
      </c>
      <c r="AM497">
        <v>1365.48</v>
      </c>
      <c r="AN497">
        <f t="shared" si="139"/>
        <v>1365.4839999999999</v>
      </c>
      <c r="AO497">
        <f t="shared" si="140"/>
        <v>-2419.2399999999998</v>
      </c>
      <c r="AP497" t="s">
        <v>124</v>
      </c>
      <c r="AQ497" t="str">
        <f t="shared" si="141"/>
        <v>Refunded</v>
      </c>
      <c r="AR497" t="s">
        <v>125</v>
      </c>
      <c r="AS497" t="str">
        <f t="shared" si="142"/>
        <v>Returned</v>
      </c>
      <c r="AT497" t="str">
        <f t="shared" si="143"/>
        <v>Clean</v>
      </c>
    </row>
    <row r="498" spans="1:46">
      <c r="A498" t="s">
        <v>2414</v>
      </c>
      <c r="B498">
        <f>COUNTIF($D$2:D498,D498)</f>
        <v>1</v>
      </c>
      <c r="C498" t="str">
        <f>IF(COUNTIF($A:$A,A498)=1,
"Unique",
IF(COUNTIFS($A:$A,A498,$N:$N,N498,$AF:$AF,AF498,$AJ:$AJ,AJ498)&gt;1,
"Exact Duplicate",
"Conflicting Duplicate"))</f>
        <v>Unique</v>
      </c>
      <c r="D498" t="s">
        <v>2415</v>
      </c>
      <c r="E498" t="s">
        <v>2416</v>
      </c>
      <c r="F498" s="3">
        <v>45754</v>
      </c>
      <c r="G498" s="3">
        <v>45815</v>
      </c>
      <c r="H498" s="5" t="str">
        <f t="shared" si="126"/>
        <v>April</v>
      </c>
      <c r="I498" s="5">
        <f t="shared" si="127"/>
        <v>2025</v>
      </c>
      <c r="J498" t="str">
        <f>IF(F498="","Missing Date",
IF(ISNUMBER(F498),"Valid","Invalid Date"))</f>
        <v>Valid</v>
      </c>
      <c r="K498" t="str">
        <f t="shared" si="128"/>
        <v>Valid</v>
      </c>
      <c r="L498">
        <f>G498-F498</f>
        <v>61</v>
      </c>
      <c r="M498" t="s">
        <v>2417</v>
      </c>
      <c r="N498" t="s">
        <v>366</v>
      </c>
      <c r="O498" t="str">
        <f t="shared" si="129"/>
        <v>Kabir Singh</v>
      </c>
      <c r="P498" t="s">
        <v>41</v>
      </c>
      <c r="Q498" t="str">
        <f t="shared" si="130"/>
        <v>Small Business</v>
      </c>
      <c r="R498" t="s">
        <v>42</v>
      </c>
      <c r="S498" t="str">
        <f t="shared" si="131"/>
        <v>East</v>
      </c>
      <c r="T498" t="s">
        <v>311</v>
      </c>
      <c r="U498" t="str">
        <f t="shared" si="132"/>
        <v>Jharkhand</v>
      </c>
      <c r="V498" t="s">
        <v>312</v>
      </c>
      <c r="W498" t="str">
        <f t="shared" si="133"/>
        <v>Ranchi</v>
      </c>
      <c r="X498" t="s">
        <v>45</v>
      </c>
      <c r="Y498" t="str">
        <f t="shared" si="134"/>
        <v>Furniture</v>
      </c>
      <c r="Z498" t="s">
        <v>76</v>
      </c>
      <c r="AA498" t="str">
        <f t="shared" si="135"/>
        <v>Chairs</v>
      </c>
      <c r="AB498" t="s">
        <v>2418</v>
      </c>
      <c r="AC498" t="s">
        <v>33</v>
      </c>
      <c r="AD498" t="str">
        <f t="shared" si="136"/>
        <v>Second Class</v>
      </c>
      <c r="AE498">
        <v>2</v>
      </c>
      <c r="AF498">
        <v>3686.42</v>
      </c>
      <c r="AG498">
        <v>0.1</v>
      </c>
      <c r="AH498">
        <v>0.1</v>
      </c>
      <c r="AI498" t="str">
        <f t="shared" si="137"/>
        <v>Valid</v>
      </c>
      <c r="AJ498">
        <v>6635.56</v>
      </c>
      <c r="AK498">
        <f t="shared" si="138"/>
        <v>6635.5560000000005</v>
      </c>
      <c r="AL498">
        <v>3652.91</v>
      </c>
      <c r="AM498">
        <v>2982.65</v>
      </c>
      <c r="AN498">
        <f t="shared" si="139"/>
        <v>2982.6460000000006</v>
      </c>
      <c r="AO498">
        <f t="shared" si="140"/>
        <v>-3652.91</v>
      </c>
      <c r="AP498" t="s">
        <v>34</v>
      </c>
      <c r="AQ498" t="str">
        <f t="shared" si="141"/>
        <v>Paid</v>
      </c>
      <c r="AR498" t="s">
        <v>35</v>
      </c>
      <c r="AS498" t="str">
        <f t="shared" si="142"/>
        <v>Completed</v>
      </c>
      <c r="AT498" t="str">
        <f t="shared" si="143"/>
        <v>Clean</v>
      </c>
    </row>
    <row r="499" spans="1:46">
      <c r="A499" t="s">
        <v>2419</v>
      </c>
      <c r="B499">
        <f>COUNTIF($D$2:D499,D499)</f>
        <v>2</v>
      </c>
      <c r="C499" t="str">
        <f>IF(COUNTIF($A:$A,A499)=1,
"Unique",
IF(COUNTIFS($A:$A,A499,$N:$N,N499,$AF:$AF,AF499,$AJ:$AJ,AJ499)&gt;1,
"Exact Duplicate",
"Conflicting Duplicate"))</f>
        <v>Unique</v>
      </c>
      <c r="D499" t="s">
        <v>2420</v>
      </c>
      <c r="E499" t="s">
        <v>2420</v>
      </c>
      <c r="F499" s="2">
        <v>45533</v>
      </c>
      <c r="G499" s="2">
        <v>45533</v>
      </c>
      <c r="H499" s="5" t="str">
        <f t="shared" si="126"/>
        <v>August</v>
      </c>
      <c r="I499" s="5">
        <f t="shared" si="127"/>
        <v>2024</v>
      </c>
      <c r="J499" t="str">
        <f>IF(F499="","Missing Date",
IF(ISNUMBER(F499),"Valid","Invalid Date"))</f>
        <v>Valid</v>
      </c>
      <c r="K499" t="str">
        <f t="shared" si="128"/>
        <v>Valid</v>
      </c>
      <c r="L499">
        <f>G499-F499</f>
        <v>0</v>
      </c>
      <c r="M499" t="s">
        <v>2421</v>
      </c>
      <c r="N499" t="s">
        <v>168</v>
      </c>
      <c r="O499" t="str">
        <f t="shared" si="129"/>
        <v>Sneha Kapoor</v>
      </c>
      <c r="P499" t="s">
        <v>41</v>
      </c>
      <c r="Q499" t="str">
        <f t="shared" si="130"/>
        <v>Small Business</v>
      </c>
      <c r="R499" t="s">
        <v>712</v>
      </c>
      <c r="S499" t="str">
        <f t="shared" si="131"/>
        <v>North</v>
      </c>
      <c r="T499" t="s">
        <v>174</v>
      </c>
      <c r="U499" t="str">
        <f t="shared" si="132"/>
        <v>Uttar Pradesh</v>
      </c>
      <c r="V499" t="s">
        <v>175</v>
      </c>
      <c r="W499" t="str">
        <f t="shared" si="133"/>
        <v>Noida</v>
      </c>
      <c r="X499" t="s">
        <v>86</v>
      </c>
      <c r="Y499" t="str">
        <f t="shared" si="134"/>
        <v>Technology</v>
      </c>
      <c r="Z499" t="s">
        <v>87</v>
      </c>
      <c r="AA499" t="str">
        <f t="shared" si="135"/>
        <v>Accessories</v>
      </c>
      <c r="AB499" t="s">
        <v>2422</v>
      </c>
      <c r="AC499" t="s">
        <v>33</v>
      </c>
      <c r="AD499" t="str">
        <f t="shared" si="136"/>
        <v>Second Class</v>
      </c>
      <c r="AE499">
        <v>1</v>
      </c>
      <c r="AF499">
        <v>3106.88</v>
      </c>
      <c r="AG499">
        <v>0.2</v>
      </c>
      <c r="AH499">
        <v>0.2</v>
      </c>
      <c r="AI499" t="str">
        <f t="shared" si="137"/>
        <v>Valid</v>
      </c>
      <c r="AJ499">
        <v>2485.5</v>
      </c>
      <c r="AK499">
        <f t="shared" si="138"/>
        <v>2485.5040000000004</v>
      </c>
      <c r="AL499">
        <v>2028.43</v>
      </c>
      <c r="AM499">
        <v>457.07</v>
      </c>
      <c r="AN499">
        <f t="shared" si="139"/>
        <v>457.0740000000003</v>
      </c>
      <c r="AO499">
        <f t="shared" si="140"/>
        <v>-2028.43</v>
      </c>
      <c r="AP499" t="s">
        <v>34</v>
      </c>
      <c r="AQ499" t="str">
        <f t="shared" si="141"/>
        <v>Paid</v>
      </c>
      <c r="AR499" t="s">
        <v>78</v>
      </c>
      <c r="AS499" t="str">
        <f t="shared" si="142"/>
        <v>Cancelled</v>
      </c>
      <c r="AT499" t="str">
        <f t="shared" si="143"/>
        <v>Clean</v>
      </c>
    </row>
    <row r="500" spans="1:46">
      <c r="A500" t="s">
        <v>2423</v>
      </c>
      <c r="B500">
        <f>COUNTIF($D$2:D500,D500)</f>
        <v>3</v>
      </c>
      <c r="C500" t="str">
        <f>IF(COUNTIF($A:$A,A500)=1,
"Unique",
IF(COUNTIFS($A:$A,A500,$N:$N,N500,$AF:$AF,AF500,$AJ:$AJ,AJ500)&gt;1,
"Exact Duplicate",
"Conflicting Duplicate"))</f>
        <v>Unique</v>
      </c>
      <c r="D500" t="s">
        <v>2424</v>
      </c>
      <c r="E500" t="s">
        <v>2425</v>
      </c>
      <c r="F500" s="3">
        <v>45847</v>
      </c>
      <c r="G500" s="2">
        <v>45939</v>
      </c>
      <c r="H500" s="5" t="str">
        <f t="shared" si="126"/>
        <v>July</v>
      </c>
      <c r="I500" s="5">
        <f t="shared" si="127"/>
        <v>2025</v>
      </c>
      <c r="J500" t="str">
        <f>IF(F500="","Missing Date",
IF(ISNUMBER(F500),"Valid","Invalid Date"))</f>
        <v>Valid</v>
      </c>
      <c r="K500" t="str">
        <f t="shared" si="128"/>
        <v>Valid</v>
      </c>
      <c r="L500">
        <f>G500-F500</f>
        <v>92</v>
      </c>
      <c r="M500" t="s">
        <v>2426</v>
      </c>
      <c r="N500" t="s">
        <v>25</v>
      </c>
      <c r="O500" t="str">
        <f t="shared" si="129"/>
        <v>Karan Malhotra</v>
      </c>
      <c r="P500" t="s">
        <v>26</v>
      </c>
      <c r="Q500" t="str">
        <f t="shared" si="130"/>
        <v>Consumer</v>
      </c>
      <c r="R500" t="s">
        <v>27</v>
      </c>
      <c r="S500" t="str">
        <f t="shared" si="131"/>
        <v>North</v>
      </c>
      <c r="T500" t="s">
        <v>154</v>
      </c>
      <c r="U500" t="str">
        <f t="shared" si="132"/>
        <v>Punjab</v>
      </c>
      <c r="V500" t="s">
        <v>155</v>
      </c>
      <c r="W500" t="str">
        <f t="shared" si="133"/>
        <v>Ludhiana</v>
      </c>
      <c r="X500" t="s">
        <v>45</v>
      </c>
      <c r="Y500" t="str">
        <f t="shared" si="134"/>
        <v>Furniture</v>
      </c>
      <c r="Z500" t="s">
        <v>76</v>
      </c>
      <c r="AA500" t="str">
        <f t="shared" si="135"/>
        <v>Chairs</v>
      </c>
      <c r="AB500" t="s">
        <v>2427</v>
      </c>
      <c r="AC500" t="s">
        <v>48</v>
      </c>
      <c r="AD500" t="str">
        <f t="shared" si="136"/>
        <v>Same Day</v>
      </c>
      <c r="AE500">
        <v>2</v>
      </c>
      <c r="AF500">
        <v>447.55</v>
      </c>
      <c r="AG500">
        <v>0.05</v>
      </c>
      <c r="AH500">
        <v>0.05</v>
      </c>
      <c r="AI500" t="str">
        <f t="shared" si="137"/>
        <v>Valid</v>
      </c>
      <c r="AJ500">
        <v>850.35</v>
      </c>
      <c r="AK500">
        <f t="shared" si="138"/>
        <v>850.34500000000003</v>
      </c>
      <c r="AL500">
        <v>600.98</v>
      </c>
      <c r="AM500">
        <v>249.37</v>
      </c>
      <c r="AN500">
        <f t="shared" si="139"/>
        <v>249.36500000000001</v>
      </c>
      <c r="AO500">
        <f t="shared" si="140"/>
        <v>-600.98</v>
      </c>
      <c r="AP500" t="s">
        <v>124</v>
      </c>
      <c r="AQ500" t="str">
        <f t="shared" si="141"/>
        <v>Refunded</v>
      </c>
      <c r="AR500" t="s">
        <v>2428</v>
      </c>
      <c r="AS500" t="str">
        <f t="shared" si="142"/>
        <v>Cancelled</v>
      </c>
      <c r="AT500" t="str">
        <f t="shared" si="143"/>
        <v>Clean</v>
      </c>
    </row>
    <row r="501" spans="1:46">
      <c r="A501" t="s">
        <v>2429</v>
      </c>
      <c r="B501">
        <f>COUNTIF($D$2:D501,D501)</f>
        <v>1</v>
      </c>
      <c r="C501" t="str">
        <f>IF(COUNTIF($A:$A,A501)=1,
"Unique",
IF(COUNTIFS($A:$A,A501,$N:$N,N501,$AF:$AF,AF501,$AJ:$AJ,AJ501)&gt;1,
"Exact Duplicate",
"Conflicting Duplicate"))</f>
        <v>Unique</v>
      </c>
      <c r="D501" t="s">
        <v>2430</v>
      </c>
      <c r="E501" t="s">
        <v>1445</v>
      </c>
      <c r="F501" s="3">
        <v>45648</v>
      </c>
      <c r="G501" s="3">
        <v>45652</v>
      </c>
      <c r="H501" s="5" t="str">
        <f t="shared" si="126"/>
        <v>December</v>
      </c>
      <c r="I501" s="5">
        <f t="shared" si="127"/>
        <v>2024</v>
      </c>
      <c r="J501" t="str">
        <f>IF(F501="","Missing Date",
IF(ISNUMBER(F501),"Valid","Invalid Date"))</f>
        <v>Valid</v>
      </c>
      <c r="K501" t="str">
        <f t="shared" si="128"/>
        <v>Valid</v>
      </c>
      <c r="L501">
        <f>G501-F501</f>
        <v>4</v>
      </c>
      <c r="M501" t="s">
        <v>2431</v>
      </c>
      <c r="N501" t="s">
        <v>148</v>
      </c>
      <c r="O501" t="str">
        <f t="shared" si="129"/>
        <v>Rahul Verma</v>
      </c>
      <c r="P501" t="s">
        <v>115</v>
      </c>
      <c r="Q501" t="str">
        <f t="shared" si="130"/>
        <v>Home Office</v>
      </c>
      <c r="R501" t="s">
        <v>27</v>
      </c>
      <c r="S501" t="str">
        <f t="shared" si="131"/>
        <v>North</v>
      </c>
      <c r="T501" t="s">
        <v>174</v>
      </c>
      <c r="U501" t="str">
        <f t="shared" si="132"/>
        <v>Uttar Pradesh</v>
      </c>
      <c r="V501" t="s">
        <v>175</v>
      </c>
      <c r="W501" t="str">
        <f t="shared" si="133"/>
        <v>Noida</v>
      </c>
      <c r="X501" t="s">
        <v>45</v>
      </c>
      <c r="Y501" t="str">
        <f t="shared" si="134"/>
        <v>Furniture</v>
      </c>
      <c r="Z501" t="s">
        <v>76</v>
      </c>
      <c r="AA501" t="str">
        <f t="shared" si="135"/>
        <v>Chairs</v>
      </c>
      <c r="AB501" t="s">
        <v>2432</v>
      </c>
      <c r="AC501" t="s">
        <v>67</v>
      </c>
      <c r="AD501" t="str">
        <f t="shared" si="136"/>
        <v>Standard Class</v>
      </c>
      <c r="AE501">
        <v>9</v>
      </c>
      <c r="AF501">
        <v>1110.8699999999999</v>
      </c>
      <c r="AG501" t="s">
        <v>4104</v>
      </c>
      <c r="AH501" t="s">
        <v>4104</v>
      </c>
      <c r="AI501" t="str">
        <f t="shared" si="137"/>
        <v>Invalid - Above Range</v>
      </c>
      <c r="AJ501">
        <v>7498.37</v>
      </c>
      <c r="AK501" t="s">
        <v>4104</v>
      </c>
      <c r="AL501">
        <v>6059.07</v>
      </c>
      <c r="AM501">
        <v>1439.3</v>
      </c>
      <c r="AN501" t="s">
        <v>4104</v>
      </c>
      <c r="AO501" t="s">
        <v>4104</v>
      </c>
      <c r="AP501" t="s">
        <v>34</v>
      </c>
      <c r="AQ501" t="str">
        <f t="shared" si="141"/>
        <v>Paid</v>
      </c>
      <c r="AR501" t="s">
        <v>78</v>
      </c>
      <c r="AS501" t="str">
        <f t="shared" si="142"/>
        <v>Cancelled</v>
      </c>
      <c r="AT501" t="str">
        <f t="shared" si="143"/>
        <v>Needs Review</v>
      </c>
    </row>
    <row r="502" spans="1:46">
      <c r="A502" t="s">
        <v>2433</v>
      </c>
      <c r="B502">
        <f>COUNTIF($D$2:D502,D502)</f>
        <v>1</v>
      </c>
      <c r="C502" t="str">
        <f>IF(COUNTIF($A:$A,A502)=1,
"Unique",
IF(COUNTIFS($A:$A,A502,$N:$N,N502,$AF:$AF,AF502,$AJ:$AJ,AJ502)&gt;1,
"Exact Duplicate",
"Conflicting Duplicate"))</f>
        <v>Unique</v>
      </c>
      <c r="D502" t="s">
        <v>1129</v>
      </c>
      <c r="E502" t="s">
        <v>2434</v>
      </c>
      <c r="F502" s="3">
        <v>45429</v>
      </c>
      <c r="G502" s="3">
        <v>45434</v>
      </c>
      <c r="H502" s="5" t="str">
        <f t="shared" si="126"/>
        <v>May</v>
      </c>
      <c r="I502" s="5">
        <f t="shared" si="127"/>
        <v>2024</v>
      </c>
      <c r="J502" t="str">
        <f>IF(F502="","Missing Date",
IF(ISNUMBER(F502),"Valid","Invalid Date"))</f>
        <v>Valid</v>
      </c>
      <c r="K502" t="str">
        <f t="shared" si="128"/>
        <v>Valid</v>
      </c>
      <c r="L502">
        <f>G502-F502</f>
        <v>5</v>
      </c>
      <c r="M502" t="s">
        <v>2435</v>
      </c>
      <c r="N502" t="s">
        <v>168</v>
      </c>
      <c r="O502" t="str">
        <f t="shared" si="129"/>
        <v>Sneha Kapoor</v>
      </c>
      <c r="P502" t="s">
        <v>26</v>
      </c>
      <c r="Q502" t="str">
        <f t="shared" si="130"/>
        <v>Consumer</v>
      </c>
      <c r="R502" t="s">
        <v>62</v>
      </c>
      <c r="S502" t="str">
        <f t="shared" si="131"/>
        <v>South</v>
      </c>
      <c r="T502" t="s">
        <v>242</v>
      </c>
      <c r="U502" t="str">
        <f t="shared" si="132"/>
        <v>Kerala</v>
      </c>
      <c r="V502" t="s">
        <v>243</v>
      </c>
      <c r="W502" t="str">
        <f t="shared" si="133"/>
        <v>Kochi</v>
      </c>
      <c r="X502" t="s">
        <v>86</v>
      </c>
      <c r="Y502" t="str">
        <f t="shared" si="134"/>
        <v>Technology</v>
      </c>
      <c r="Z502" t="s">
        <v>223</v>
      </c>
      <c r="AA502" t="str">
        <f t="shared" si="135"/>
        <v>Phones</v>
      </c>
      <c r="AB502" t="s">
        <v>2436</v>
      </c>
      <c r="AC502" t="s">
        <v>48</v>
      </c>
      <c r="AD502" t="str">
        <f t="shared" si="136"/>
        <v>Same Day</v>
      </c>
      <c r="AE502">
        <v>9</v>
      </c>
      <c r="AF502">
        <v>3795.99</v>
      </c>
      <c r="AG502" t="s">
        <v>1170</v>
      </c>
      <c r="AH502">
        <v>0.85</v>
      </c>
      <c r="AI502" t="str">
        <f t="shared" si="137"/>
        <v>Invalid - Above Range</v>
      </c>
      <c r="AJ502">
        <v>34163.910000000003</v>
      </c>
      <c r="AK502">
        <f t="shared" si="138"/>
        <v>5124.5865000000003</v>
      </c>
      <c r="AL502">
        <v>28577.15</v>
      </c>
      <c r="AM502">
        <v>5586.76</v>
      </c>
      <c r="AN502">
        <f t="shared" si="139"/>
        <v>-23452.5635</v>
      </c>
      <c r="AO502">
        <f t="shared" si="140"/>
        <v>-28577.15</v>
      </c>
      <c r="AP502" t="s">
        <v>34</v>
      </c>
      <c r="AQ502" t="str">
        <f t="shared" si="141"/>
        <v>Paid</v>
      </c>
      <c r="AR502" t="s">
        <v>35</v>
      </c>
      <c r="AS502" t="str">
        <f t="shared" si="142"/>
        <v>Completed</v>
      </c>
      <c r="AT502" t="str">
        <f t="shared" si="143"/>
        <v>Clean</v>
      </c>
    </row>
    <row r="503" spans="1:46">
      <c r="A503" t="s">
        <v>2437</v>
      </c>
      <c r="B503">
        <f>COUNTIF($D$2:D503,D503)</f>
        <v>1</v>
      </c>
      <c r="C503" t="str">
        <f>IF(COUNTIF($A:$A,A503)=1,
"Unique",
IF(COUNTIFS($A:$A,A503,$N:$N,N503,$AF:$AF,AF503,$AJ:$AJ,AJ503)&gt;1,
"Exact Duplicate",
"Conflicting Duplicate"))</f>
        <v>Unique</v>
      </c>
      <c r="D503" t="s">
        <v>2438</v>
      </c>
      <c r="E503" t="s">
        <v>2439</v>
      </c>
      <c r="F503" s="2">
        <v>45604</v>
      </c>
      <c r="G503" s="3">
        <v>45521</v>
      </c>
      <c r="H503" s="5" t="str">
        <f t="shared" si="126"/>
        <v>November</v>
      </c>
      <c r="I503" s="5">
        <f t="shared" si="127"/>
        <v>2024</v>
      </c>
      <c r="J503" t="str">
        <f>IF(F503="","Missing Date",
IF(ISNUMBER(F503),"Valid","Invalid Date"))</f>
        <v>Valid</v>
      </c>
      <c r="K503" t="str">
        <f t="shared" si="128"/>
        <v>Valid</v>
      </c>
      <c r="L503">
        <f>G503-F503</f>
        <v>-83</v>
      </c>
      <c r="M503" t="s">
        <v>1237</v>
      </c>
      <c r="N503" t="s">
        <v>93</v>
      </c>
      <c r="O503" t="str">
        <f t="shared" si="129"/>
        <v>Neha Gupta</v>
      </c>
      <c r="P503" t="s">
        <v>26</v>
      </c>
      <c r="Q503" t="str">
        <f t="shared" si="130"/>
        <v>Consumer</v>
      </c>
      <c r="R503" t="s">
        <v>42</v>
      </c>
      <c r="S503" t="str">
        <f t="shared" si="131"/>
        <v>East</v>
      </c>
      <c r="T503" t="s">
        <v>311</v>
      </c>
      <c r="U503" t="str">
        <f t="shared" si="132"/>
        <v>Jharkhand</v>
      </c>
      <c r="V503" t="s">
        <v>312</v>
      </c>
      <c r="W503" t="str">
        <f t="shared" si="133"/>
        <v>Ranchi</v>
      </c>
      <c r="X503" t="s">
        <v>30</v>
      </c>
      <c r="Y503" t="str">
        <f t="shared" si="134"/>
        <v>Office Supplies</v>
      </c>
      <c r="Z503" t="s">
        <v>54</v>
      </c>
      <c r="AA503" t="str">
        <f t="shared" si="135"/>
        <v>Art</v>
      </c>
      <c r="AB503" t="s">
        <v>2440</v>
      </c>
      <c r="AC503" t="s">
        <v>33</v>
      </c>
      <c r="AD503" t="str">
        <f t="shared" si="136"/>
        <v>Second Class</v>
      </c>
      <c r="AE503">
        <v>6</v>
      </c>
      <c r="AF503">
        <v>3497.54</v>
      </c>
      <c r="AG503">
        <v>0.15</v>
      </c>
      <c r="AH503">
        <v>0.15</v>
      </c>
      <c r="AI503" t="str">
        <f t="shared" si="137"/>
        <v>Valid</v>
      </c>
      <c r="AJ503">
        <v>17837.45</v>
      </c>
      <c r="AK503">
        <f t="shared" si="138"/>
        <v>17837.453999999998</v>
      </c>
      <c r="AL503">
        <v>13627.02</v>
      </c>
      <c r="AM503">
        <v>4210.43</v>
      </c>
      <c r="AN503">
        <f t="shared" si="139"/>
        <v>4210.4339999999975</v>
      </c>
      <c r="AO503">
        <f t="shared" si="140"/>
        <v>-13627.02</v>
      </c>
      <c r="AP503" t="s">
        <v>34</v>
      </c>
      <c r="AQ503" t="str">
        <f t="shared" si="141"/>
        <v>Paid</v>
      </c>
      <c r="AR503" t="s">
        <v>35</v>
      </c>
      <c r="AS503" t="str">
        <f t="shared" si="142"/>
        <v>Completed</v>
      </c>
      <c r="AT503" t="str">
        <f t="shared" si="143"/>
        <v>Clean</v>
      </c>
    </row>
    <row r="504" spans="1:46">
      <c r="A504" t="s">
        <v>2441</v>
      </c>
      <c r="B504">
        <f>COUNTIF($D$2:D504,D504)</f>
        <v>2</v>
      </c>
      <c r="C504" t="str">
        <f>IF(COUNTIF($A:$A,A504)=1,
"Unique",
IF(COUNTIFS($A:$A,A504,$N:$N,N504,$AF:$AF,AF504,$AJ:$AJ,AJ504)&gt;1,
"Exact Duplicate",
"Conflicting Duplicate"))</f>
        <v>Exact Duplicate</v>
      </c>
      <c r="D504" t="s">
        <v>2442</v>
      </c>
      <c r="E504" t="s">
        <v>2443</v>
      </c>
      <c r="F504" s="3">
        <v>45383</v>
      </c>
      <c r="G504" s="3">
        <v>45539</v>
      </c>
      <c r="H504" s="5" t="str">
        <f t="shared" si="126"/>
        <v>April</v>
      </c>
      <c r="I504" s="5">
        <f t="shared" si="127"/>
        <v>2024</v>
      </c>
      <c r="J504" t="str">
        <f>IF(F504="","Missing Date",
IF(ISNUMBER(F504),"Valid","Invalid Date"))</f>
        <v>Valid</v>
      </c>
      <c r="K504" t="str">
        <f t="shared" si="128"/>
        <v>Valid</v>
      </c>
      <c r="L504">
        <f>G504-F504</f>
        <v>156</v>
      </c>
      <c r="M504" t="s">
        <v>2444</v>
      </c>
      <c r="N504" t="s">
        <v>142</v>
      </c>
      <c r="O504" t="str">
        <f t="shared" si="129"/>
        <v>Priya Menon</v>
      </c>
      <c r="P504" t="s">
        <v>41</v>
      </c>
      <c r="Q504" t="str">
        <f t="shared" si="130"/>
        <v>Small Business</v>
      </c>
      <c r="R504" t="s">
        <v>42</v>
      </c>
      <c r="S504" t="str">
        <f t="shared" si="131"/>
        <v>East</v>
      </c>
      <c r="T504" t="s">
        <v>43</v>
      </c>
      <c r="U504" t="str">
        <f t="shared" si="132"/>
        <v>Odisha</v>
      </c>
      <c r="V504" t="s">
        <v>44</v>
      </c>
      <c r="W504" t="str">
        <f t="shared" si="133"/>
        <v>Bhubaneswar</v>
      </c>
      <c r="X504" t="s">
        <v>86</v>
      </c>
      <c r="Y504" t="str">
        <f t="shared" si="134"/>
        <v>Technology</v>
      </c>
      <c r="Z504" t="s">
        <v>94</v>
      </c>
      <c r="AA504" t="str">
        <f t="shared" si="135"/>
        <v>Copiers</v>
      </c>
      <c r="AB504" t="s">
        <v>2445</v>
      </c>
      <c r="AC504" t="s">
        <v>33</v>
      </c>
      <c r="AD504" t="str">
        <f t="shared" si="136"/>
        <v>Second Class</v>
      </c>
      <c r="AE504">
        <v>6</v>
      </c>
      <c r="AF504">
        <v>826.93</v>
      </c>
      <c r="AG504">
        <v>0.1</v>
      </c>
      <c r="AH504">
        <v>0.1</v>
      </c>
      <c r="AI504" t="str">
        <f t="shared" si="137"/>
        <v>Valid</v>
      </c>
      <c r="AJ504">
        <v>4465.42</v>
      </c>
      <c r="AK504">
        <f t="shared" si="138"/>
        <v>4465.4220000000005</v>
      </c>
      <c r="AL504">
        <v>3377.1</v>
      </c>
      <c r="AM504">
        <v>1088.32</v>
      </c>
      <c r="AN504">
        <f t="shared" si="139"/>
        <v>1088.3220000000006</v>
      </c>
      <c r="AO504">
        <f t="shared" si="140"/>
        <v>-3377.1</v>
      </c>
      <c r="AP504" t="s">
        <v>34</v>
      </c>
      <c r="AQ504" t="str">
        <f t="shared" si="141"/>
        <v>Paid</v>
      </c>
      <c r="AR504" t="s">
        <v>35</v>
      </c>
      <c r="AS504" t="str">
        <f t="shared" si="142"/>
        <v>Completed</v>
      </c>
      <c r="AT504" t="str">
        <f t="shared" si="143"/>
        <v>Clean</v>
      </c>
    </row>
    <row r="505" spans="1:46">
      <c r="A505" t="s">
        <v>2446</v>
      </c>
      <c r="B505">
        <f>COUNTIF($D$2:D505,D505)</f>
        <v>1</v>
      </c>
      <c r="C505" t="str">
        <f>IF(COUNTIF($A:$A,A505)=1,
"Unique",
IF(COUNTIFS($A:$A,A505,$N:$N,N505,$AF:$AF,AF505,$AJ:$AJ,AJ505)&gt;1,
"Exact Duplicate",
"Conflicting Duplicate"))</f>
        <v>Unique</v>
      </c>
      <c r="D505" t="s">
        <v>2447</v>
      </c>
      <c r="E505" t="s">
        <v>2448</v>
      </c>
      <c r="F505" s="3">
        <v>45563</v>
      </c>
      <c r="G505" s="3">
        <v>45422</v>
      </c>
      <c r="H505" s="5" t="str">
        <f t="shared" si="126"/>
        <v>September</v>
      </c>
      <c r="I505" s="5">
        <f t="shared" si="127"/>
        <v>2024</v>
      </c>
      <c r="J505" t="str">
        <f>IF(F505="","Missing Date",
IF(ISNUMBER(F505),"Valid","Invalid Date"))</f>
        <v>Valid</v>
      </c>
      <c r="K505" t="str">
        <f t="shared" si="128"/>
        <v>Valid</v>
      </c>
      <c r="L505">
        <f>G505-F505</f>
        <v>-141</v>
      </c>
      <c r="M505" t="s">
        <v>2449</v>
      </c>
      <c r="N505" t="s">
        <v>162</v>
      </c>
      <c r="O505" t="str">
        <f t="shared" si="129"/>
        <v>Aarav Sharma</v>
      </c>
      <c r="P505" t="s">
        <v>26</v>
      </c>
      <c r="Q505" t="str">
        <f t="shared" si="130"/>
        <v>Consumer</v>
      </c>
      <c r="R505" t="s">
        <v>62</v>
      </c>
      <c r="S505" t="str">
        <f t="shared" si="131"/>
        <v>South</v>
      </c>
      <c r="T505" t="s">
        <v>339</v>
      </c>
      <c r="U505" t="str">
        <f t="shared" si="132"/>
        <v>Tamil Nadu</v>
      </c>
      <c r="V505" t="s">
        <v>340</v>
      </c>
      <c r="W505" t="str">
        <f t="shared" si="133"/>
        <v>Chennai</v>
      </c>
      <c r="X505" t="s">
        <v>86</v>
      </c>
      <c r="Y505" t="str">
        <f t="shared" si="134"/>
        <v>Technology</v>
      </c>
      <c r="Z505" t="s">
        <v>223</v>
      </c>
      <c r="AA505" t="str">
        <f t="shared" si="135"/>
        <v>Phones</v>
      </c>
      <c r="AB505" t="s">
        <v>2450</v>
      </c>
      <c r="AC505" t="s">
        <v>67</v>
      </c>
      <c r="AD505" t="str">
        <f t="shared" si="136"/>
        <v>Standard Class</v>
      </c>
      <c r="AE505">
        <v>7</v>
      </c>
      <c r="AF505">
        <v>1681.6</v>
      </c>
      <c r="AG505">
        <v>0.1</v>
      </c>
      <c r="AH505">
        <v>0.1</v>
      </c>
      <c r="AI505" t="str">
        <f t="shared" si="137"/>
        <v>Valid</v>
      </c>
      <c r="AJ505">
        <v>10594.08</v>
      </c>
      <c r="AK505">
        <f t="shared" si="138"/>
        <v>10594.08</v>
      </c>
      <c r="AL505">
        <v>7160.31</v>
      </c>
      <c r="AM505">
        <v>3433.77</v>
      </c>
      <c r="AN505">
        <f t="shared" si="139"/>
        <v>3433.7699999999995</v>
      </c>
      <c r="AO505">
        <f t="shared" si="140"/>
        <v>-7160.31</v>
      </c>
      <c r="AP505" t="s">
        <v>34</v>
      </c>
      <c r="AQ505" t="str">
        <f t="shared" si="141"/>
        <v>Paid</v>
      </c>
      <c r="AR505" t="s">
        <v>35</v>
      </c>
      <c r="AS505" t="str">
        <f t="shared" si="142"/>
        <v>Completed</v>
      </c>
      <c r="AT505" t="str">
        <f t="shared" si="143"/>
        <v>Clean</v>
      </c>
    </row>
    <row r="506" spans="1:46">
      <c r="A506" t="s">
        <v>2451</v>
      </c>
      <c r="B506">
        <f>COUNTIF($D$2:D506,D506)</f>
        <v>1</v>
      </c>
      <c r="C506" t="str">
        <f>IF(COUNTIF($A:$A,A506)=1,
"Unique",
IF(COUNTIFS($A:$A,A506,$N:$N,N506,$AF:$AF,AF506,$AJ:$AJ,AJ506)&gt;1,
"Exact Duplicate",
"Conflicting Duplicate"))</f>
        <v>Unique</v>
      </c>
      <c r="D506" t="s">
        <v>2452</v>
      </c>
      <c r="E506" t="s">
        <v>2453</v>
      </c>
      <c r="F506" s="3">
        <v>45993</v>
      </c>
      <c r="G506" s="3">
        <v>45705</v>
      </c>
      <c r="H506" s="5" t="str">
        <f t="shared" si="126"/>
        <v>December</v>
      </c>
      <c r="I506" s="5">
        <f t="shared" si="127"/>
        <v>2025</v>
      </c>
      <c r="J506" t="str">
        <f>IF(F506="","Missing Date",
IF(ISNUMBER(F506),"Valid","Invalid Date"))</f>
        <v>Valid</v>
      </c>
      <c r="K506" t="str">
        <f t="shared" si="128"/>
        <v>Valid</v>
      </c>
      <c r="L506">
        <f>G506-F506</f>
        <v>-288</v>
      </c>
      <c r="M506" t="s">
        <v>2454</v>
      </c>
      <c r="N506" t="s">
        <v>61</v>
      </c>
      <c r="O506" t="str">
        <f t="shared" si="129"/>
        <v>Arjun Bose</v>
      </c>
      <c r="P506" t="s">
        <v>108</v>
      </c>
      <c r="Q506" t="str">
        <f t="shared" si="130"/>
        <v>Corporate</v>
      </c>
      <c r="R506" t="s">
        <v>73</v>
      </c>
      <c r="S506" t="str">
        <f t="shared" si="131"/>
        <v>West</v>
      </c>
      <c r="T506" t="s">
        <v>235</v>
      </c>
      <c r="U506" t="str">
        <f t="shared" si="132"/>
        <v>Gujarat</v>
      </c>
      <c r="V506" t="s">
        <v>236</v>
      </c>
      <c r="W506" t="str">
        <f t="shared" si="133"/>
        <v>Ahmedabad</v>
      </c>
      <c r="X506" t="s">
        <v>30</v>
      </c>
      <c r="Y506" t="str">
        <f t="shared" si="134"/>
        <v>Office Supplies</v>
      </c>
      <c r="Z506" t="s">
        <v>54</v>
      </c>
      <c r="AA506" t="str">
        <f t="shared" si="135"/>
        <v>Art</v>
      </c>
      <c r="AB506" t="s">
        <v>2455</v>
      </c>
      <c r="AC506" t="s">
        <v>67</v>
      </c>
      <c r="AD506" t="str">
        <f t="shared" si="136"/>
        <v>Standard Class</v>
      </c>
      <c r="AE506">
        <v>4</v>
      </c>
      <c r="AF506">
        <v>4328.12</v>
      </c>
      <c r="AG506">
        <v>0</v>
      </c>
      <c r="AH506">
        <v>0</v>
      </c>
      <c r="AI506" t="str">
        <f t="shared" si="137"/>
        <v>Valid</v>
      </c>
      <c r="AJ506">
        <v>17312.48</v>
      </c>
      <c r="AK506">
        <f t="shared" si="138"/>
        <v>17312.48</v>
      </c>
      <c r="AL506">
        <v>14424.22</v>
      </c>
      <c r="AM506">
        <v>2888.26</v>
      </c>
      <c r="AN506">
        <f t="shared" si="139"/>
        <v>2888.26</v>
      </c>
      <c r="AO506">
        <f t="shared" si="140"/>
        <v>-14424.22</v>
      </c>
      <c r="AP506" t="s">
        <v>34</v>
      </c>
      <c r="AQ506" t="str">
        <f t="shared" si="141"/>
        <v>Paid</v>
      </c>
      <c r="AR506" t="s">
        <v>35</v>
      </c>
      <c r="AS506" t="str">
        <f t="shared" si="142"/>
        <v>Completed</v>
      </c>
      <c r="AT506" t="str">
        <f t="shared" si="143"/>
        <v>Clean</v>
      </c>
    </row>
    <row r="507" spans="1:46">
      <c r="A507" t="s">
        <v>2456</v>
      </c>
      <c r="B507">
        <f>COUNTIF($D$2:D507,D507)</f>
        <v>1</v>
      </c>
      <c r="C507" t="str">
        <f>IF(COUNTIF($A:$A,A507)=1,
"Unique",
IF(COUNTIFS($A:$A,A507,$N:$N,N507,$AF:$AF,AF507,$AJ:$AJ,AJ507)&gt;1,
"Exact Duplicate",
"Conflicting Duplicate"))</f>
        <v>Unique</v>
      </c>
      <c r="D507" t="s">
        <v>2457</v>
      </c>
      <c r="E507" t="s">
        <v>1380</v>
      </c>
      <c r="F507" s="3">
        <v>45546</v>
      </c>
      <c r="G507" s="2">
        <v>45610</v>
      </c>
      <c r="H507" s="5" t="str">
        <f t="shared" si="126"/>
        <v>September</v>
      </c>
      <c r="I507" s="5">
        <f t="shared" si="127"/>
        <v>2024</v>
      </c>
      <c r="J507" t="str">
        <f>IF(F507="","Missing Date",
IF(ISNUMBER(F507),"Valid","Invalid Date"))</f>
        <v>Valid</v>
      </c>
      <c r="K507" t="str">
        <f t="shared" si="128"/>
        <v>Valid</v>
      </c>
      <c r="L507">
        <f>G507-F507</f>
        <v>64</v>
      </c>
      <c r="M507" t="s">
        <v>2458</v>
      </c>
      <c r="N507" t="s">
        <v>93</v>
      </c>
      <c r="O507" t="str">
        <f t="shared" si="129"/>
        <v>Neha Gupta</v>
      </c>
      <c r="P507" t="s">
        <v>108</v>
      </c>
      <c r="Q507" t="str">
        <f t="shared" si="130"/>
        <v>Corporate</v>
      </c>
      <c r="R507" t="s">
        <v>73</v>
      </c>
      <c r="S507" t="str">
        <f t="shared" si="131"/>
        <v>West</v>
      </c>
      <c r="T507" t="s">
        <v>84</v>
      </c>
      <c r="U507" t="str">
        <f t="shared" si="132"/>
        <v>Madhya Pradesh</v>
      </c>
      <c r="V507" t="s">
        <v>85</v>
      </c>
      <c r="W507" t="str">
        <f t="shared" si="133"/>
        <v>Indore</v>
      </c>
      <c r="X507" t="s">
        <v>30</v>
      </c>
      <c r="Y507" t="str">
        <f t="shared" si="134"/>
        <v>Office Supplies</v>
      </c>
      <c r="Z507" t="s">
        <v>54</v>
      </c>
      <c r="AA507" t="str">
        <f t="shared" si="135"/>
        <v>Art</v>
      </c>
      <c r="AB507" t="s">
        <v>2459</v>
      </c>
      <c r="AC507" t="s">
        <v>56</v>
      </c>
      <c r="AD507" t="str">
        <f t="shared" si="136"/>
        <v>First Class</v>
      </c>
      <c r="AE507">
        <v>9</v>
      </c>
      <c r="AF507">
        <v>2438.29</v>
      </c>
      <c r="AG507">
        <v>0.2</v>
      </c>
      <c r="AH507">
        <v>0.2</v>
      </c>
      <c r="AI507" t="str">
        <f t="shared" si="137"/>
        <v>Valid</v>
      </c>
      <c r="AJ507">
        <v>17555.689999999999</v>
      </c>
      <c r="AK507">
        <f t="shared" si="138"/>
        <v>17555.688000000002</v>
      </c>
      <c r="AL507">
        <v>13293.2</v>
      </c>
      <c r="AM507">
        <v>4262.49</v>
      </c>
      <c r="AN507">
        <f t="shared" si="139"/>
        <v>4262.4880000000012</v>
      </c>
      <c r="AO507">
        <f t="shared" si="140"/>
        <v>-13293.2</v>
      </c>
      <c r="AP507" t="s">
        <v>34</v>
      </c>
      <c r="AQ507" t="str">
        <f t="shared" si="141"/>
        <v>Paid</v>
      </c>
      <c r="AR507" t="s">
        <v>78</v>
      </c>
      <c r="AS507" t="str">
        <f t="shared" si="142"/>
        <v>Cancelled</v>
      </c>
      <c r="AT507" t="str">
        <f t="shared" si="143"/>
        <v>Clean</v>
      </c>
    </row>
    <row r="508" spans="1:46">
      <c r="A508" t="s">
        <v>2460</v>
      </c>
      <c r="B508">
        <f>COUNTIF($D$2:D508,D508)</f>
        <v>1</v>
      </c>
      <c r="C508" t="str">
        <f>IF(COUNTIF($A:$A,A508)=1,
"Unique",
IF(COUNTIFS($A:$A,A508,$N:$N,N508,$AF:$AF,AF508,$AJ:$AJ,AJ508)&gt;1,
"Exact Duplicate",
"Conflicting Duplicate"))</f>
        <v>Unique</v>
      </c>
      <c r="D508" t="s">
        <v>2461</v>
      </c>
      <c r="E508" t="s">
        <v>2462</v>
      </c>
      <c r="F508" s="3">
        <v>45641</v>
      </c>
      <c r="G508" s="3">
        <v>45641</v>
      </c>
      <c r="H508" s="5" t="str">
        <f t="shared" si="126"/>
        <v>December</v>
      </c>
      <c r="I508" s="5">
        <f t="shared" si="127"/>
        <v>2024</v>
      </c>
      <c r="J508" t="str">
        <f>IF(F508="","Missing Date",
IF(ISNUMBER(F508),"Valid","Invalid Date"))</f>
        <v>Valid</v>
      </c>
      <c r="K508" t="str">
        <f t="shared" si="128"/>
        <v>Valid</v>
      </c>
      <c r="L508">
        <f>G508-F508</f>
        <v>0</v>
      </c>
      <c r="M508" t="s">
        <v>2463</v>
      </c>
      <c r="N508" t="s">
        <v>162</v>
      </c>
      <c r="O508" t="str">
        <f t="shared" si="129"/>
        <v>Aarav Sharma</v>
      </c>
      <c r="P508" t="s">
        <v>41</v>
      </c>
      <c r="Q508" t="str">
        <f t="shared" si="130"/>
        <v>Small Business</v>
      </c>
      <c r="R508" t="s">
        <v>27</v>
      </c>
      <c r="S508" t="str">
        <f t="shared" si="131"/>
        <v>North</v>
      </c>
      <c r="T508" t="s">
        <v>154</v>
      </c>
      <c r="U508" t="str">
        <f t="shared" si="132"/>
        <v>Punjab</v>
      </c>
      <c r="V508" t="s">
        <v>155</v>
      </c>
      <c r="W508" t="str">
        <f t="shared" si="133"/>
        <v>Ludhiana</v>
      </c>
      <c r="X508" t="s">
        <v>45</v>
      </c>
      <c r="Y508" t="str">
        <f t="shared" si="134"/>
        <v>Furniture</v>
      </c>
      <c r="Z508" t="s">
        <v>65</v>
      </c>
      <c r="AA508" t="str">
        <f t="shared" si="135"/>
        <v>Furnishings</v>
      </c>
      <c r="AB508" t="s">
        <v>2464</v>
      </c>
      <c r="AC508" t="s">
        <v>56</v>
      </c>
      <c r="AD508" t="str">
        <f t="shared" si="136"/>
        <v>First Class</v>
      </c>
      <c r="AE508">
        <v>2</v>
      </c>
      <c r="AF508">
        <v>669.8</v>
      </c>
      <c r="AG508">
        <v>0.1</v>
      </c>
      <c r="AH508">
        <v>0.1</v>
      </c>
      <c r="AI508" t="str">
        <f t="shared" si="137"/>
        <v>Valid</v>
      </c>
      <c r="AJ508">
        <v>1205.6400000000001</v>
      </c>
      <c r="AK508">
        <f t="shared" si="138"/>
        <v>1205.6399999999999</v>
      </c>
      <c r="AL508">
        <v>842.07</v>
      </c>
      <c r="AM508">
        <v>363.57</v>
      </c>
      <c r="AN508">
        <f t="shared" si="139"/>
        <v>363.56999999999982</v>
      </c>
      <c r="AO508">
        <f t="shared" si="140"/>
        <v>-842.07</v>
      </c>
      <c r="AP508" t="s">
        <v>124</v>
      </c>
      <c r="AQ508" t="str">
        <f t="shared" si="141"/>
        <v>Refunded</v>
      </c>
      <c r="AR508" t="s">
        <v>125</v>
      </c>
      <c r="AS508" t="str">
        <f t="shared" si="142"/>
        <v>Returned</v>
      </c>
      <c r="AT508" t="str">
        <f t="shared" si="143"/>
        <v>Clean</v>
      </c>
    </row>
    <row r="509" spans="1:46">
      <c r="A509" t="s">
        <v>2465</v>
      </c>
      <c r="B509">
        <f>COUNTIF($D$2:D509,D509)</f>
        <v>1</v>
      </c>
      <c r="C509" t="str">
        <f>IF(COUNTIF($A:$A,A509)=1,
"Unique",
IF(COUNTIFS($A:$A,A509,$N:$N,N509,$AF:$AF,AF509,$AJ:$AJ,AJ509)&gt;1,
"Exact Duplicate",
"Conflicting Duplicate"))</f>
        <v>Unique</v>
      </c>
      <c r="D509" t="s">
        <v>2143</v>
      </c>
      <c r="E509" t="s">
        <v>2109</v>
      </c>
      <c r="F509" s="3">
        <v>45762</v>
      </c>
      <c r="G509" s="3">
        <v>45769</v>
      </c>
      <c r="H509" s="5" t="str">
        <f t="shared" si="126"/>
        <v>April</v>
      </c>
      <c r="I509" s="5">
        <f t="shared" si="127"/>
        <v>2025</v>
      </c>
      <c r="J509" t="str">
        <f>IF(F509="","Missing Date",
IF(ISNUMBER(F509),"Valid","Invalid Date"))</f>
        <v>Valid</v>
      </c>
      <c r="K509" t="str">
        <f t="shared" si="128"/>
        <v>Valid</v>
      </c>
      <c r="L509">
        <f>G509-F509</f>
        <v>7</v>
      </c>
      <c r="M509" t="s">
        <v>2466</v>
      </c>
      <c r="N509" t="s">
        <v>53</v>
      </c>
      <c r="O509" t="str">
        <f t="shared" si="129"/>
        <v>Isha Nair</v>
      </c>
      <c r="P509" t="s">
        <v>41</v>
      </c>
      <c r="Q509" t="str">
        <f t="shared" si="130"/>
        <v>Small Business</v>
      </c>
      <c r="R509" t="s">
        <v>27</v>
      </c>
      <c r="S509" t="str">
        <f t="shared" si="131"/>
        <v>North</v>
      </c>
      <c r="T509" t="s">
        <v>323</v>
      </c>
      <c r="U509" t="str">
        <f t="shared" si="132"/>
        <v>Haryana</v>
      </c>
      <c r="V509" t="s">
        <v>324</v>
      </c>
      <c r="W509" t="str">
        <f t="shared" si="133"/>
        <v>Gurugram</v>
      </c>
      <c r="X509" t="s">
        <v>30</v>
      </c>
      <c r="Y509" t="str">
        <f t="shared" si="134"/>
        <v>Office Supplies</v>
      </c>
      <c r="Z509" t="s">
        <v>198</v>
      </c>
      <c r="AA509" t="str">
        <f t="shared" si="135"/>
        <v>Binders</v>
      </c>
      <c r="AB509" t="s">
        <v>2467</v>
      </c>
      <c r="AC509" t="s">
        <v>48</v>
      </c>
      <c r="AD509" t="str">
        <f t="shared" si="136"/>
        <v>Same Day</v>
      </c>
      <c r="AE509">
        <v>4</v>
      </c>
      <c r="AF509">
        <v>2990.42</v>
      </c>
      <c r="AG509">
        <v>0.25</v>
      </c>
      <c r="AH509">
        <v>0.25</v>
      </c>
      <c r="AI509" t="str">
        <f t="shared" si="137"/>
        <v>Valid</v>
      </c>
      <c r="AJ509">
        <v>8971.26</v>
      </c>
      <c r="AK509">
        <f t="shared" si="138"/>
        <v>8971.26</v>
      </c>
      <c r="AL509">
        <v>6814.35</v>
      </c>
      <c r="AM509">
        <v>2156.91</v>
      </c>
      <c r="AN509">
        <f t="shared" si="139"/>
        <v>2156.91</v>
      </c>
      <c r="AO509">
        <f t="shared" si="140"/>
        <v>-6814.35</v>
      </c>
      <c r="AP509" t="s">
        <v>34</v>
      </c>
      <c r="AQ509" t="str">
        <f t="shared" si="141"/>
        <v>Paid</v>
      </c>
      <c r="AR509" t="s">
        <v>35</v>
      </c>
      <c r="AS509" t="str">
        <f t="shared" si="142"/>
        <v>Completed</v>
      </c>
      <c r="AT509" t="str">
        <f t="shared" si="143"/>
        <v>Clean</v>
      </c>
    </row>
    <row r="510" spans="1:46">
      <c r="A510" t="s">
        <v>2468</v>
      </c>
      <c r="B510">
        <f>COUNTIF($D$2:D510,D510)</f>
        <v>1</v>
      </c>
      <c r="C510" t="str">
        <f>IF(COUNTIF($A:$A,A510)=1,
"Unique",
IF(COUNTIFS($A:$A,A510,$N:$N,N510,$AF:$AF,AF510,$AJ:$AJ,AJ510)&gt;1,
"Exact Duplicate",
"Conflicting Duplicate"))</f>
        <v>Unique</v>
      </c>
      <c r="D510" t="s">
        <v>2469</v>
      </c>
      <c r="E510" t="s">
        <v>1419</v>
      </c>
      <c r="F510" s="2">
        <v>45382</v>
      </c>
      <c r="G510" s="3">
        <v>45477</v>
      </c>
      <c r="H510" s="5" t="str">
        <f t="shared" si="126"/>
        <v>March</v>
      </c>
      <c r="I510" s="5">
        <f t="shared" si="127"/>
        <v>2024</v>
      </c>
      <c r="J510" t="str">
        <f>IF(F510="","Missing Date",
IF(ISNUMBER(F510),"Valid","Invalid Date"))</f>
        <v>Valid</v>
      </c>
      <c r="K510" t="str">
        <f t="shared" si="128"/>
        <v>Valid</v>
      </c>
      <c r="L510">
        <f>G510-F510</f>
        <v>95</v>
      </c>
      <c r="M510" t="s">
        <v>2470</v>
      </c>
      <c r="N510" t="s">
        <v>53</v>
      </c>
      <c r="O510" t="str">
        <f t="shared" si="129"/>
        <v>Isha Nair</v>
      </c>
      <c r="P510" t="s">
        <v>41</v>
      </c>
      <c r="Q510" t="str">
        <f t="shared" si="130"/>
        <v>Small Business</v>
      </c>
      <c r="R510" t="s">
        <v>27</v>
      </c>
      <c r="S510" t="str">
        <f t="shared" si="131"/>
        <v>North</v>
      </c>
      <c r="T510" t="s">
        <v>323</v>
      </c>
      <c r="U510" t="str">
        <f t="shared" si="132"/>
        <v>Haryana</v>
      </c>
      <c r="V510" t="s">
        <v>324</v>
      </c>
      <c r="W510" t="str">
        <f t="shared" si="133"/>
        <v>Gurugram</v>
      </c>
      <c r="X510" t="s">
        <v>86</v>
      </c>
      <c r="Y510" t="str">
        <f t="shared" si="134"/>
        <v>Technology</v>
      </c>
      <c r="Z510" t="s">
        <v>382</v>
      </c>
      <c r="AA510" t="str">
        <f t="shared" si="135"/>
        <v>Machines</v>
      </c>
      <c r="AB510" t="s">
        <v>2471</v>
      </c>
      <c r="AC510" t="s">
        <v>33</v>
      </c>
      <c r="AD510" t="str">
        <f t="shared" si="136"/>
        <v>Second Class</v>
      </c>
      <c r="AE510">
        <v>4</v>
      </c>
      <c r="AF510">
        <v>1831</v>
      </c>
      <c r="AG510">
        <v>0</v>
      </c>
      <c r="AH510">
        <v>0</v>
      </c>
      <c r="AI510" t="str">
        <f t="shared" si="137"/>
        <v>Valid</v>
      </c>
      <c r="AJ510">
        <v>7324</v>
      </c>
      <c r="AK510">
        <f t="shared" si="138"/>
        <v>7324</v>
      </c>
      <c r="AL510">
        <v>4179.63</v>
      </c>
      <c r="AM510">
        <v>3144.37</v>
      </c>
      <c r="AN510">
        <f t="shared" si="139"/>
        <v>3144.37</v>
      </c>
      <c r="AO510">
        <f t="shared" si="140"/>
        <v>-4179.63</v>
      </c>
      <c r="AP510" t="s">
        <v>34</v>
      </c>
      <c r="AQ510" t="str">
        <f t="shared" si="141"/>
        <v>Paid</v>
      </c>
      <c r="AR510" t="s">
        <v>35</v>
      </c>
      <c r="AS510" t="str">
        <f t="shared" si="142"/>
        <v>Completed</v>
      </c>
      <c r="AT510" t="str">
        <f t="shared" si="143"/>
        <v>Clean</v>
      </c>
    </row>
    <row r="511" spans="1:46">
      <c r="A511" t="s">
        <v>2472</v>
      </c>
      <c r="B511">
        <f>COUNTIF($D$2:D511,D511)</f>
        <v>2</v>
      </c>
      <c r="C511" t="str">
        <f>IF(COUNTIF($A:$A,A511)=1,
"Unique",
IF(COUNTIFS($A:$A,A511,$N:$N,N511,$AF:$AF,AF511,$AJ:$AJ,AJ511)&gt;1,
"Exact Duplicate",
"Conflicting Duplicate"))</f>
        <v>Unique</v>
      </c>
      <c r="D511" t="s">
        <v>2473</v>
      </c>
      <c r="E511" t="s">
        <v>2474</v>
      </c>
      <c r="F511" s="3">
        <v>45996</v>
      </c>
      <c r="G511" s="3">
        <v>45791</v>
      </c>
      <c r="H511" s="5" t="str">
        <f t="shared" si="126"/>
        <v>December</v>
      </c>
      <c r="I511" s="5">
        <f t="shared" si="127"/>
        <v>2025</v>
      </c>
      <c r="J511" t="str">
        <f>IF(F511="","Missing Date",
IF(ISNUMBER(F511),"Valid","Invalid Date"))</f>
        <v>Valid</v>
      </c>
      <c r="K511" t="str">
        <f t="shared" si="128"/>
        <v>Valid</v>
      </c>
      <c r="L511">
        <f>G511-F511</f>
        <v>-205</v>
      </c>
      <c r="M511" t="s">
        <v>2475</v>
      </c>
      <c r="N511" t="s">
        <v>93</v>
      </c>
      <c r="O511" t="str">
        <f t="shared" si="129"/>
        <v>Neha Gupta</v>
      </c>
      <c r="P511" t="s">
        <v>26</v>
      </c>
      <c r="Q511" t="str">
        <f t="shared" si="130"/>
        <v>Consumer</v>
      </c>
      <c r="R511" t="s">
        <v>73</v>
      </c>
      <c r="S511" t="str">
        <f t="shared" si="131"/>
        <v>West</v>
      </c>
      <c r="T511" t="s">
        <v>235</v>
      </c>
      <c r="U511" t="str">
        <f t="shared" si="132"/>
        <v>Gujarat</v>
      </c>
      <c r="V511" t="s">
        <v>236</v>
      </c>
      <c r="W511" t="str">
        <f t="shared" si="133"/>
        <v>Ahmedabad</v>
      </c>
      <c r="X511" t="s">
        <v>86</v>
      </c>
      <c r="Y511" t="str">
        <f t="shared" si="134"/>
        <v>Technology</v>
      </c>
      <c r="Z511" t="s">
        <v>382</v>
      </c>
      <c r="AA511" t="str">
        <f t="shared" si="135"/>
        <v>Machines</v>
      </c>
      <c r="AB511" t="s">
        <v>2476</v>
      </c>
      <c r="AC511" t="s">
        <v>48</v>
      </c>
      <c r="AD511" t="str">
        <f t="shared" si="136"/>
        <v>Same Day</v>
      </c>
      <c r="AE511">
        <v>8</v>
      </c>
      <c r="AF511">
        <v>3631.44</v>
      </c>
      <c r="AG511">
        <v>0.2</v>
      </c>
      <c r="AH511">
        <v>0.2</v>
      </c>
      <c r="AI511" t="str">
        <f t="shared" si="137"/>
        <v>Valid</v>
      </c>
      <c r="AJ511">
        <v>23241.22</v>
      </c>
      <c r="AK511">
        <f t="shared" si="138"/>
        <v>23241.216</v>
      </c>
      <c r="AL511">
        <v>17220.900000000001</v>
      </c>
      <c r="AM511">
        <v>6020.32</v>
      </c>
      <c r="AN511">
        <f t="shared" si="139"/>
        <v>6020.3159999999989</v>
      </c>
      <c r="AO511">
        <f t="shared" si="140"/>
        <v>-17220.900000000001</v>
      </c>
      <c r="AP511" t="s">
        <v>34</v>
      </c>
      <c r="AQ511" t="str">
        <f t="shared" si="141"/>
        <v>Paid</v>
      </c>
      <c r="AR511" t="s">
        <v>35</v>
      </c>
      <c r="AS511" t="str">
        <f t="shared" si="142"/>
        <v>Completed</v>
      </c>
      <c r="AT511" t="str">
        <f t="shared" si="143"/>
        <v>Clean</v>
      </c>
    </row>
    <row r="512" spans="1:46">
      <c r="A512" t="s">
        <v>2477</v>
      </c>
      <c r="B512">
        <f>COUNTIF($D$2:D512,D512)</f>
        <v>3</v>
      </c>
      <c r="C512" t="str">
        <f>IF(COUNTIF($A:$A,A512)=1,
"Unique",
IF(COUNTIFS($A:$A,A512,$N:$N,N512,$AF:$AF,AF512,$AJ:$AJ,AJ512)&gt;1,
"Exact Duplicate",
"Conflicting Duplicate"))</f>
        <v>Unique</v>
      </c>
      <c r="D512" t="s">
        <v>644</v>
      </c>
      <c r="E512" t="s">
        <v>2478</v>
      </c>
      <c r="F512" s="3">
        <v>45583</v>
      </c>
      <c r="G512" s="3">
        <v>45586</v>
      </c>
      <c r="H512" s="5" t="str">
        <f t="shared" si="126"/>
        <v>October</v>
      </c>
      <c r="I512" s="5">
        <f t="shared" si="127"/>
        <v>2024</v>
      </c>
      <c r="J512" t="str">
        <f>IF(F512="","Missing Date",
IF(ISNUMBER(F512),"Valid","Invalid Date"))</f>
        <v>Valid</v>
      </c>
      <c r="K512" t="str">
        <f t="shared" si="128"/>
        <v>Valid</v>
      </c>
      <c r="L512">
        <f>G512-F512</f>
        <v>3</v>
      </c>
      <c r="M512" t="s">
        <v>2479</v>
      </c>
      <c r="N512" t="s">
        <v>2480</v>
      </c>
      <c r="O512" t="str">
        <f t="shared" si="129"/>
        <v>Aarav Sharma</v>
      </c>
      <c r="P512" t="s">
        <v>26</v>
      </c>
      <c r="Q512" t="str">
        <f t="shared" si="130"/>
        <v>Consumer</v>
      </c>
      <c r="R512" t="s">
        <v>62</v>
      </c>
      <c r="S512" t="str">
        <f t="shared" si="131"/>
        <v>South</v>
      </c>
      <c r="T512" t="s">
        <v>229</v>
      </c>
      <c r="U512" t="str">
        <f t="shared" si="132"/>
        <v>Karnataka</v>
      </c>
      <c r="V512" t="s">
        <v>230</v>
      </c>
      <c r="W512" t="str">
        <f t="shared" si="133"/>
        <v>Bengaluru</v>
      </c>
      <c r="X512" t="s">
        <v>30</v>
      </c>
      <c r="Y512" t="str">
        <f t="shared" si="134"/>
        <v>Office Supplies</v>
      </c>
      <c r="Z512" t="s">
        <v>156</v>
      </c>
      <c r="AA512" t="str">
        <f t="shared" si="135"/>
        <v>Storage</v>
      </c>
      <c r="AB512" t="s">
        <v>2481</v>
      </c>
      <c r="AC512" t="s">
        <v>33</v>
      </c>
      <c r="AD512" t="str">
        <f t="shared" si="136"/>
        <v>Second Class</v>
      </c>
      <c r="AE512">
        <v>2</v>
      </c>
      <c r="AF512">
        <v>4238.51</v>
      </c>
      <c r="AG512">
        <v>0</v>
      </c>
      <c r="AH512">
        <v>0</v>
      </c>
      <c r="AI512" t="str">
        <f t="shared" si="137"/>
        <v>Valid</v>
      </c>
      <c r="AJ512">
        <v>8477.02</v>
      </c>
      <c r="AK512">
        <f t="shared" si="138"/>
        <v>8477.02</v>
      </c>
      <c r="AL512">
        <v>6884.96</v>
      </c>
      <c r="AM512">
        <v>1592.06</v>
      </c>
      <c r="AN512">
        <f t="shared" si="139"/>
        <v>1592.0600000000004</v>
      </c>
      <c r="AO512">
        <f t="shared" si="140"/>
        <v>-6884.96</v>
      </c>
      <c r="AP512" t="s">
        <v>34</v>
      </c>
      <c r="AQ512" t="str">
        <f t="shared" si="141"/>
        <v>Paid</v>
      </c>
      <c r="AR512" t="s">
        <v>35</v>
      </c>
      <c r="AS512" t="str">
        <f t="shared" si="142"/>
        <v>Completed</v>
      </c>
      <c r="AT512" t="str">
        <f t="shared" si="143"/>
        <v>Clean</v>
      </c>
    </row>
    <row r="513" spans="1:46">
      <c r="A513" t="s">
        <v>2482</v>
      </c>
      <c r="B513">
        <f>COUNTIF($D$2:D513,D513)</f>
        <v>1</v>
      </c>
      <c r="C513" t="str">
        <f>IF(COUNTIF($A:$A,A513)=1,
"Unique",
IF(COUNTIFS($A:$A,A513,$N:$N,N513,$AF:$AF,AF513,$AJ:$AJ,AJ513)&gt;1,
"Exact Duplicate",
"Conflicting Duplicate"))</f>
        <v>Unique</v>
      </c>
      <c r="D513" t="s">
        <v>2483</v>
      </c>
      <c r="E513" t="s">
        <v>2484</v>
      </c>
      <c r="F513" s="3">
        <v>45588</v>
      </c>
      <c r="G513" s="2">
        <v>45591</v>
      </c>
      <c r="H513" s="5" t="str">
        <f t="shared" si="126"/>
        <v>October</v>
      </c>
      <c r="I513" s="5">
        <f t="shared" si="127"/>
        <v>2024</v>
      </c>
      <c r="J513" t="str">
        <f>IF(F513="","Missing Date",
IF(ISNUMBER(F513),"Valid","Invalid Date"))</f>
        <v>Valid</v>
      </c>
      <c r="K513" t="str">
        <f t="shared" si="128"/>
        <v>Valid</v>
      </c>
      <c r="L513">
        <f>G513-F513</f>
        <v>3</v>
      </c>
      <c r="M513" t="s">
        <v>2485</v>
      </c>
      <c r="N513" t="s">
        <v>168</v>
      </c>
      <c r="O513" t="str">
        <f t="shared" si="129"/>
        <v>Sneha Kapoor</v>
      </c>
      <c r="P513" t="s">
        <v>26</v>
      </c>
      <c r="Q513" t="str">
        <f t="shared" si="130"/>
        <v>Consumer</v>
      </c>
      <c r="R513" t="s">
        <v>73</v>
      </c>
      <c r="S513" t="str">
        <f t="shared" si="131"/>
        <v>West</v>
      </c>
      <c r="T513" t="s">
        <v>84</v>
      </c>
      <c r="U513" t="str">
        <f t="shared" si="132"/>
        <v>Madhya Pradesh</v>
      </c>
      <c r="V513" t="s">
        <v>85</v>
      </c>
      <c r="W513" t="str">
        <f t="shared" si="133"/>
        <v>Indore</v>
      </c>
      <c r="X513" t="s">
        <v>45</v>
      </c>
      <c r="Y513" t="str">
        <f t="shared" si="134"/>
        <v>Furniture</v>
      </c>
      <c r="Z513" t="s">
        <v>204</v>
      </c>
      <c r="AA513" t="str">
        <f t="shared" si="135"/>
        <v>Bookcases</v>
      </c>
      <c r="AB513" t="s">
        <v>2486</v>
      </c>
      <c r="AC513" t="s">
        <v>67</v>
      </c>
      <c r="AD513" t="str">
        <f t="shared" si="136"/>
        <v>Standard Class</v>
      </c>
      <c r="AE513">
        <v>9</v>
      </c>
      <c r="AF513">
        <v>544.27</v>
      </c>
      <c r="AG513">
        <v>0.25</v>
      </c>
      <c r="AH513">
        <v>0.25</v>
      </c>
      <c r="AI513" t="str">
        <f t="shared" si="137"/>
        <v>Valid</v>
      </c>
      <c r="AJ513">
        <v>3673.82</v>
      </c>
      <c r="AK513">
        <f t="shared" si="138"/>
        <v>3673.8225000000002</v>
      </c>
      <c r="AL513">
        <v>2088.15</v>
      </c>
      <c r="AM513">
        <v>1585.67</v>
      </c>
      <c r="AN513">
        <f t="shared" si="139"/>
        <v>1585.6725000000001</v>
      </c>
      <c r="AO513">
        <f t="shared" si="140"/>
        <v>-2088.15</v>
      </c>
      <c r="AP513" t="s">
        <v>34</v>
      </c>
      <c r="AQ513" t="str">
        <f t="shared" si="141"/>
        <v>Paid</v>
      </c>
      <c r="AR513" t="s">
        <v>35</v>
      </c>
      <c r="AS513" t="str">
        <f t="shared" si="142"/>
        <v>Completed</v>
      </c>
      <c r="AT513" t="str">
        <f t="shared" si="143"/>
        <v>Clean</v>
      </c>
    </row>
    <row r="514" spans="1:46">
      <c r="A514" t="s">
        <v>2487</v>
      </c>
      <c r="B514">
        <f>COUNTIF($D$2:D514,D514)</f>
        <v>3</v>
      </c>
      <c r="C514" t="str">
        <f>IF(COUNTIF($A:$A,A514)=1,
"Unique",
IF(COUNTIFS($A:$A,A514,$N:$N,N514,$AF:$AF,AF514,$AJ:$AJ,AJ514)&gt;1,
"Exact Duplicate",
"Conflicting Duplicate"))</f>
        <v>Unique</v>
      </c>
      <c r="D514" t="s">
        <v>786</v>
      </c>
      <c r="E514" t="s">
        <v>2488</v>
      </c>
      <c r="F514" s="3">
        <v>45718</v>
      </c>
      <c r="G514" s="3">
        <v>45719</v>
      </c>
      <c r="H514" s="5" t="str">
        <f t="shared" si="126"/>
        <v>March</v>
      </c>
      <c r="I514" s="5">
        <f t="shared" si="127"/>
        <v>2025</v>
      </c>
      <c r="J514" t="str">
        <f>IF(F514="","Missing Date",
IF(ISNUMBER(F514),"Valid","Invalid Date"))</f>
        <v>Valid</v>
      </c>
      <c r="K514" t="str">
        <f t="shared" si="128"/>
        <v>Valid</v>
      </c>
      <c r="L514">
        <f>G514-F514</f>
        <v>1</v>
      </c>
      <c r="M514" t="s">
        <v>1900</v>
      </c>
      <c r="N514" t="s">
        <v>53</v>
      </c>
      <c r="O514" t="str">
        <f t="shared" si="129"/>
        <v>Isha Nair</v>
      </c>
      <c r="P514" t="s">
        <v>108</v>
      </c>
      <c r="Q514" t="str">
        <f t="shared" si="130"/>
        <v>Corporate</v>
      </c>
      <c r="R514" t="s">
        <v>62</v>
      </c>
      <c r="S514" t="str">
        <f t="shared" si="131"/>
        <v>South</v>
      </c>
      <c r="T514" t="s">
        <v>242</v>
      </c>
      <c r="U514" t="str">
        <f t="shared" si="132"/>
        <v>Kerala</v>
      </c>
      <c r="V514" t="s">
        <v>243</v>
      </c>
      <c r="W514" t="str">
        <f t="shared" si="133"/>
        <v>Kochi</v>
      </c>
      <c r="X514" t="s">
        <v>30</v>
      </c>
      <c r="Y514" t="str">
        <f t="shared" si="134"/>
        <v>Office Supplies</v>
      </c>
      <c r="Z514" t="s">
        <v>109</v>
      </c>
      <c r="AA514" t="str">
        <f t="shared" si="135"/>
        <v>Labels</v>
      </c>
      <c r="AB514" t="s">
        <v>2489</v>
      </c>
      <c r="AC514" t="s">
        <v>33</v>
      </c>
      <c r="AD514" t="str">
        <f t="shared" si="136"/>
        <v>Second Class</v>
      </c>
      <c r="AE514">
        <v>2</v>
      </c>
      <c r="AF514">
        <v>4031.45</v>
      </c>
      <c r="AG514">
        <v>0.25</v>
      </c>
      <c r="AH514">
        <v>0.25</v>
      </c>
      <c r="AI514" t="str">
        <f t="shared" si="137"/>
        <v>Valid</v>
      </c>
      <c r="AJ514">
        <v>6047.17</v>
      </c>
      <c r="AK514">
        <f t="shared" si="138"/>
        <v>6047.1749999999993</v>
      </c>
      <c r="AL514">
        <v>3368.79</v>
      </c>
      <c r="AM514">
        <v>2678.38</v>
      </c>
      <c r="AN514">
        <f t="shared" si="139"/>
        <v>2678.3849999999993</v>
      </c>
      <c r="AO514">
        <f t="shared" si="140"/>
        <v>-3368.79</v>
      </c>
      <c r="AP514" t="s">
        <v>34</v>
      </c>
      <c r="AQ514" t="str">
        <f t="shared" si="141"/>
        <v>Paid</v>
      </c>
      <c r="AR514" t="s">
        <v>35</v>
      </c>
      <c r="AS514" t="str">
        <f t="shared" si="142"/>
        <v>Completed</v>
      </c>
      <c r="AT514" t="str">
        <f t="shared" si="143"/>
        <v>Clean</v>
      </c>
    </row>
    <row r="515" spans="1:46">
      <c r="A515" t="s">
        <v>2490</v>
      </c>
      <c r="B515">
        <f>COUNTIF($D$2:D515,D515)</f>
        <v>3</v>
      </c>
      <c r="C515" t="str">
        <f>IF(COUNTIF($A:$A,A515)=1,
"Unique",
IF(COUNTIFS($A:$A,A515,$N:$N,N515,$AF:$AF,AF515,$AJ:$AJ,AJ515)&gt;1,
"Exact Duplicate",
"Conflicting Duplicate"))</f>
        <v>Unique</v>
      </c>
      <c r="D515" t="s">
        <v>997</v>
      </c>
      <c r="E515" t="s">
        <v>2397</v>
      </c>
      <c r="F515" s="3">
        <v>45835</v>
      </c>
      <c r="G515" s="3">
        <v>45840</v>
      </c>
      <c r="H515" s="5" t="str">
        <f t="shared" ref="H515:H578" si="144">TEXT(DATE(2024,MONTH(F515),1),"MMMM")</f>
        <v>June</v>
      </c>
      <c r="I515" s="5">
        <f t="shared" ref="I515:I578" si="145">YEAR(F515)</f>
        <v>2025</v>
      </c>
      <c r="J515" t="str">
        <f>IF(F515="","Missing Date",
IF(ISNUMBER(F515),"Valid","Invalid Date"))</f>
        <v>Valid</v>
      </c>
      <c r="K515" t="str">
        <f t="shared" ref="K515:K578" si="146">IF(G515="","Missing Date",
IF(ISNUMBER(G515),"Valid","Invalid Date"))</f>
        <v>Valid</v>
      </c>
      <c r="L515">
        <f>G515-F515</f>
        <v>5</v>
      </c>
      <c r="M515" t="s">
        <v>2491</v>
      </c>
      <c r="N515" t="s">
        <v>162</v>
      </c>
      <c r="O515" t="str">
        <f t="shared" ref="O515:O578" si="147">TRIM(PROPER(CLEAN(N515)))</f>
        <v>Aarav Sharma</v>
      </c>
      <c r="P515" t="s">
        <v>108</v>
      </c>
      <c r="Q515" t="str">
        <f t="shared" ref="Q515:Q578" si="148">TRIM(PROPER(CLEAN(P515)))</f>
        <v>Corporate</v>
      </c>
      <c r="R515" t="s">
        <v>62</v>
      </c>
      <c r="S515" t="str">
        <f t="shared" ref="S515:S577" si="149">TRIM(PROPER(CLEAN(R515)))</f>
        <v>South</v>
      </c>
      <c r="T515" t="s">
        <v>242</v>
      </c>
      <c r="U515" t="str">
        <f t="shared" ref="U515:U578" si="150">TRIM(PROPER(CLEAN(T515)))</f>
        <v>Kerala</v>
      </c>
      <c r="V515" t="s">
        <v>243</v>
      </c>
      <c r="W515" t="str">
        <f t="shared" ref="W515:W578" si="151">TRIM(PROPER(CLEAN(V515)))</f>
        <v>Kochi</v>
      </c>
      <c r="X515" t="s">
        <v>86</v>
      </c>
      <c r="Y515" t="str">
        <f t="shared" ref="Y515:Y578" si="152">TRIM(PROPER(CLEAN(X515)))</f>
        <v>Technology</v>
      </c>
      <c r="Z515" t="s">
        <v>87</v>
      </c>
      <c r="AA515" t="str">
        <f t="shared" ref="AA515:AA578" si="153">TRIM(PROPER(CLEAN(Z515)))</f>
        <v>Accessories</v>
      </c>
      <c r="AB515" t="s">
        <v>2492</v>
      </c>
      <c r="AC515" t="s">
        <v>56</v>
      </c>
      <c r="AD515" t="str">
        <f t="shared" ref="AD515:AD578" si="154">TRIM(PROPER(CLEAN(AC515)))</f>
        <v>First Class</v>
      </c>
      <c r="AE515">
        <v>6</v>
      </c>
      <c r="AF515">
        <v>1099.49</v>
      </c>
      <c r="AG515">
        <v>0.1</v>
      </c>
      <c r="AH515">
        <v>0.1</v>
      </c>
      <c r="AI515" t="str">
        <f t="shared" ref="AI515:AI578" si="155">IF(AG515="","Missing Discount",IF(AG515&lt;0,"Invalid - Negative Discount",IF(AG515&gt;1,"Invalid - Above Range","Valid")))</f>
        <v>Valid</v>
      </c>
      <c r="AJ515">
        <v>6212.38</v>
      </c>
      <c r="AK515">
        <f t="shared" ref="AK515:AK578" si="156">AE515*AF515*(1-AH515)</f>
        <v>5937.246000000001</v>
      </c>
      <c r="AL515">
        <v>4088.46</v>
      </c>
      <c r="AM515">
        <v>1848.79</v>
      </c>
      <c r="AN515">
        <f t="shared" ref="AN515:AN578" si="157">AK515-AL515</f>
        <v>1848.786000000001</v>
      </c>
      <c r="AO515">
        <f t="shared" ref="AO515:AO578" si="158">AN515-AK515</f>
        <v>-4088.46</v>
      </c>
      <c r="AP515" t="s">
        <v>34</v>
      </c>
      <c r="AQ515" t="str">
        <f t="shared" ref="AQ515:AQ578" si="159">TRIM(PROPER(CLEAN(AP515)))</f>
        <v>Paid</v>
      </c>
      <c r="AR515" t="s">
        <v>35</v>
      </c>
      <c r="AS515" t="str">
        <f t="shared" ref="AS515:AS578" si="160">TRIM(PROPER(CLEAN(AR515)))</f>
        <v>Completed</v>
      </c>
      <c r="AT515" t="str">
        <f t="shared" ref="AT515:AT578" si="161">IF(OR(AH515="Unknown",AJ515="Unknown",AM515="Unknown",A515="Unknown"),"Needs Review","Clean")</f>
        <v>Clean</v>
      </c>
    </row>
    <row r="516" spans="1:46">
      <c r="A516" t="s">
        <v>2493</v>
      </c>
      <c r="B516">
        <f>COUNTIF($D$2:D516,D516)</f>
        <v>1</v>
      </c>
      <c r="C516" t="str">
        <f>IF(COUNTIF($A:$A,A516)=1,
"Unique",
IF(COUNTIFS($A:$A,A516,$N:$N,N516,$AF:$AF,AF516,$AJ:$AJ,AJ516)&gt;1,
"Exact Duplicate",
"Conflicting Duplicate"))</f>
        <v>Unique</v>
      </c>
      <c r="D516" t="s">
        <v>2494</v>
      </c>
      <c r="E516" t="s">
        <v>2407</v>
      </c>
      <c r="F516" s="2">
        <v>45614</v>
      </c>
      <c r="G516" s="3">
        <v>45618</v>
      </c>
      <c r="H516" s="5" t="str">
        <f t="shared" si="144"/>
        <v>November</v>
      </c>
      <c r="I516" s="5">
        <f t="shared" si="145"/>
        <v>2024</v>
      </c>
      <c r="J516" t="str">
        <f>IF(F516="","Missing Date",
IF(ISNUMBER(F516),"Valid","Invalid Date"))</f>
        <v>Valid</v>
      </c>
      <c r="K516" t="str">
        <f t="shared" si="146"/>
        <v>Valid</v>
      </c>
      <c r="L516">
        <f>G516-F516</f>
        <v>4</v>
      </c>
      <c r="M516" t="s">
        <v>2495</v>
      </c>
      <c r="N516" t="s">
        <v>25</v>
      </c>
      <c r="O516" t="str">
        <f t="shared" si="147"/>
        <v>Karan Malhotra</v>
      </c>
      <c r="P516" t="s">
        <v>115</v>
      </c>
      <c r="Q516" t="str">
        <f t="shared" si="148"/>
        <v>Home Office</v>
      </c>
      <c r="R516" t="s">
        <v>62</v>
      </c>
      <c r="S516" t="str">
        <f t="shared" si="149"/>
        <v>South</v>
      </c>
      <c r="T516" t="s">
        <v>242</v>
      </c>
      <c r="U516" t="str">
        <f t="shared" si="150"/>
        <v>Kerala</v>
      </c>
      <c r="V516" t="s">
        <v>243</v>
      </c>
      <c r="W516" t="str">
        <f t="shared" si="151"/>
        <v>Kochi</v>
      </c>
      <c r="X516" t="s">
        <v>86</v>
      </c>
      <c r="Y516" t="str">
        <f t="shared" si="152"/>
        <v>Technology</v>
      </c>
      <c r="Z516" t="s">
        <v>87</v>
      </c>
      <c r="AA516" t="str">
        <f t="shared" si="153"/>
        <v>Accessories</v>
      </c>
      <c r="AB516" t="s">
        <v>2496</v>
      </c>
      <c r="AC516" t="s">
        <v>67</v>
      </c>
      <c r="AD516" t="str">
        <f t="shared" si="154"/>
        <v>Standard Class</v>
      </c>
      <c r="AE516">
        <v>6</v>
      </c>
      <c r="AF516">
        <v>3872.94</v>
      </c>
      <c r="AG516">
        <v>0.1</v>
      </c>
      <c r="AH516">
        <v>0.1</v>
      </c>
      <c r="AI516" t="str">
        <f t="shared" si="155"/>
        <v>Valid</v>
      </c>
      <c r="AJ516">
        <v>20913.88</v>
      </c>
      <c r="AK516">
        <f t="shared" si="156"/>
        <v>20913.876</v>
      </c>
      <c r="AL516">
        <v>11684.68</v>
      </c>
      <c r="AM516">
        <v>9229.2000000000007</v>
      </c>
      <c r="AN516">
        <f t="shared" si="157"/>
        <v>9229.1959999999999</v>
      </c>
      <c r="AO516">
        <f t="shared" si="158"/>
        <v>-11684.68</v>
      </c>
      <c r="AP516" t="s">
        <v>34</v>
      </c>
      <c r="AQ516" t="str">
        <f t="shared" si="159"/>
        <v>Paid</v>
      </c>
      <c r="AR516" t="s">
        <v>35</v>
      </c>
      <c r="AS516" t="str">
        <f t="shared" si="160"/>
        <v>Completed</v>
      </c>
      <c r="AT516" t="str">
        <f t="shared" si="161"/>
        <v>Clean</v>
      </c>
    </row>
    <row r="517" spans="1:46">
      <c r="A517" t="s">
        <v>2497</v>
      </c>
      <c r="B517">
        <f>COUNTIF($D$2:D517,D517)</f>
        <v>2</v>
      </c>
      <c r="C517" t="str">
        <f>IF(COUNTIF($A:$A,A517)=1,
"Unique",
IF(COUNTIFS($A:$A,A517,$N:$N,N517,$AF:$AF,AF517,$AJ:$AJ,AJ517)&gt;1,
"Exact Duplicate",
"Conflicting Duplicate"))</f>
        <v>Unique</v>
      </c>
      <c r="D517" t="s">
        <v>2142</v>
      </c>
      <c r="E517" t="s">
        <v>2498</v>
      </c>
      <c r="F517" s="3">
        <v>45758</v>
      </c>
      <c r="G517" s="3">
        <v>45965</v>
      </c>
      <c r="H517" s="5" t="str">
        <f t="shared" si="144"/>
        <v>April</v>
      </c>
      <c r="I517" s="5">
        <f t="shared" si="145"/>
        <v>2025</v>
      </c>
      <c r="J517" t="str">
        <f>IF(F517="","Missing Date",
IF(ISNUMBER(F517),"Valid","Invalid Date"))</f>
        <v>Valid</v>
      </c>
      <c r="K517" t="str">
        <f t="shared" si="146"/>
        <v>Valid</v>
      </c>
      <c r="L517">
        <f>G517-F517</f>
        <v>207</v>
      </c>
      <c r="M517" t="s">
        <v>2499</v>
      </c>
      <c r="N517" t="s">
        <v>148</v>
      </c>
      <c r="O517" t="str">
        <f t="shared" si="147"/>
        <v>Rahul Verma</v>
      </c>
      <c r="P517" t="s">
        <v>108</v>
      </c>
      <c r="Q517" t="str">
        <f t="shared" si="148"/>
        <v>Corporate</v>
      </c>
      <c r="R517" t="s">
        <v>27</v>
      </c>
      <c r="S517" t="str">
        <f t="shared" si="149"/>
        <v>North</v>
      </c>
      <c r="T517" t="s">
        <v>506</v>
      </c>
      <c r="U517" t="str">
        <f t="shared" si="150"/>
        <v>Delhi</v>
      </c>
      <c r="V517" t="s">
        <v>507</v>
      </c>
      <c r="W517" t="str">
        <f t="shared" si="151"/>
        <v>New Delhi</v>
      </c>
      <c r="X517" t="s">
        <v>30</v>
      </c>
      <c r="Y517" t="str">
        <f t="shared" si="152"/>
        <v>Office Supplies</v>
      </c>
      <c r="Z517" t="s">
        <v>31</v>
      </c>
      <c r="AA517" t="str">
        <f t="shared" si="153"/>
        <v>Paper</v>
      </c>
      <c r="AB517" t="s">
        <v>2500</v>
      </c>
      <c r="AC517" t="s">
        <v>67</v>
      </c>
      <c r="AD517" t="str">
        <f t="shared" si="154"/>
        <v>Standard Class</v>
      </c>
      <c r="AE517">
        <v>1</v>
      </c>
      <c r="AF517">
        <v>4458.49</v>
      </c>
      <c r="AG517">
        <v>-7.0000000000000007E-2</v>
      </c>
      <c r="AH517">
        <v>-7.0000000000000007E-2</v>
      </c>
      <c r="AI517" t="str">
        <f t="shared" si="155"/>
        <v>Invalid - Negative Discount</v>
      </c>
      <c r="AJ517">
        <v>3566.79</v>
      </c>
      <c r="AK517">
        <f t="shared" si="156"/>
        <v>4770.5843000000004</v>
      </c>
      <c r="AL517">
        <v>2083.41</v>
      </c>
      <c r="AM517">
        <v>1483.38</v>
      </c>
      <c r="AN517">
        <f t="shared" si="157"/>
        <v>2687.1743000000006</v>
      </c>
      <c r="AO517">
        <f t="shared" si="158"/>
        <v>-2083.41</v>
      </c>
      <c r="AP517" t="s">
        <v>34</v>
      </c>
      <c r="AQ517" t="str">
        <f t="shared" si="159"/>
        <v>Paid</v>
      </c>
      <c r="AR517" t="s">
        <v>35</v>
      </c>
      <c r="AS517" t="str">
        <f t="shared" si="160"/>
        <v>Completed</v>
      </c>
      <c r="AT517" t="str">
        <f t="shared" si="161"/>
        <v>Clean</v>
      </c>
    </row>
    <row r="518" spans="1:46">
      <c r="A518" t="s">
        <v>2501</v>
      </c>
      <c r="B518">
        <f>COUNTIF($D$2:D518,D518)</f>
        <v>1</v>
      </c>
      <c r="C518" t="str">
        <f>IF(COUNTIF($A:$A,A518)=1,
"Unique",
IF(COUNTIFS($A:$A,A518,$N:$N,N518,$AF:$AF,AF518,$AJ:$AJ,AJ518)&gt;1,
"Exact Duplicate",
"Conflicting Duplicate"))</f>
        <v>Unique</v>
      </c>
      <c r="D518" t="s">
        <v>2502</v>
      </c>
      <c r="E518" t="s">
        <v>2503</v>
      </c>
      <c r="F518" s="3">
        <v>45563</v>
      </c>
      <c r="G518" s="2">
        <v>45392</v>
      </c>
      <c r="H518" s="5" t="str">
        <f t="shared" si="144"/>
        <v>September</v>
      </c>
      <c r="I518" s="5">
        <f t="shared" si="145"/>
        <v>2024</v>
      </c>
      <c r="J518" t="str">
        <f>IF(F518="","Missing Date",
IF(ISNUMBER(F518),"Valid","Invalid Date"))</f>
        <v>Valid</v>
      </c>
      <c r="K518" t="str">
        <f t="shared" si="146"/>
        <v>Valid</v>
      </c>
      <c r="L518">
        <f>G518-F518</f>
        <v>-171</v>
      </c>
      <c r="M518" t="s">
        <v>2504</v>
      </c>
      <c r="N518" t="s">
        <v>366</v>
      </c>
      <c r="O518" t="str">
        <f t="shared" si="147"/>
        <v>Kabir Singh</v>
      </c>
      <c r="P518" t="s">
        <v>115</v>
      </c>
      <c r="Q518" t="str">
        <f t="shared" si="148"/>
        <v>Home Office</v>
      </c>
      <c r="R518" t="s">
        <v>27</v>
      </c>
      <c r="S518" t="str">
        <f t="shared" si="149"/>
        <v>North</v>
      </c>
      <c r="T518" t="s">
        <v>506</v>
      </c>
      <c r="U518" t="str">
        <f t="shared" si="150"/>
        <v>Delhi</v>
      </c>
      <c r="V518" t="s">
        <v>507</v>
      </c>
      <c r="W518" t="str">
        <f t="shared" si="151"/>
        <v>New Delhi</v>
      </c>
      <c r="X518" t="s">
        <v>86</v>
      </c>
      <c r="Y518" t="str">
        <f t="shared" si="152"/>
        <v>Technology</v>
      </c>
      <c r="Z518" t="s">
        <v>94</v>
      </c>
      <c r="AA518" t="str">
        <f t="shared" si="153"/>
        <v>Copiers</v>
      </c>
      <c r="AB518" t="s">
        <v>2505</v>
      </c>
      <c r="AC518" t="s">
        <v>67</v>
      </c>
      <c r="AD518" t="str">
        <f t="shared" si="154"/>
        <v>Standard Class</v>
      </c>
      <c r="AE518">
        <v>1</v>
      </c>
      <c r="AF518">
        <v>2233.1799999999998</v>
      </c>
      <c r="AG518">
        <v>0</v>
      </c>
      <c r="AH518">
        <v>0</v>
      </c>
      <c r="AI518" t="str">
        <f t="shared" si="155"/>
        <v>Valid</v>
      </c>
      <c r="AJ518">
        <v>2233.1799999999998</v>
      </c>
      <c r="AK518">
        <f t="shared" si="156"/>
        <v>2233.1799999999998</v>
      </c>
      <c r="AL518">
        <v>1585.82</v>
      </c>
      <c r="AM518">
        <v>647.36</v>
      </c>
      <c r="AN518">
        <f t="shared" si="157"/>
        <v>647.3599999999999</v>
      </c>
      <c r="AO518">
        <f t="shared" si="158"/>
        <v>-1585.82</v>
      </c>
      <c r="AP518" t="s">
        <v>200</v>
      </c>
      <c r="AQ518" t="str">
        <f t="shared" si="159"/>
        <v>Failed</v>
      </c>
      <c r="AR518" t="s">
        <v>125</v>
      </c>
      <c r="AS518" t="str">
        <f t="shared" si="160"/>
        <v>Returned</v>
      </c>
      <c r="AT518" t="str">
        <f t="shared" si="161"/>
        <v>Clean</v>
      </c>
    </row>
    <row r="519" spans="1:46">
      <c r="A519" t="s">
        <v>2506</v>
      </c>
      <c r="B519">
        <f>COUNTIF($D$2:D519,D519)</f>
        <v>1</v>
      </c>
      <c r="C519" t="str">
        <f>IF(COUNTIF($A:$A,A519)=1,
"Unique",
IF(COUNTIFS($A:$A,A519,$N:$N,N519,$AF:$AF,AF519,$AJ:$AJ,AJ519)&gt;1,
"Exact Duplicate",
"Conflicting Duplicate"))</f>
        <v>Unique</v>
      </c>
      <c r="D519" t="s">
        <v>2507</v>
      </c>
      <c r="E519" t="s">
        <v>1682</v>
      </c>
      <c r="F519" s="3">
        <v>45802</v>
      </c>
      <c r="G519" s="2">
        <v>45804</v>
      </c>
      <c r="H519" s="5" t="str">
        <f t="shared" si="144"/>
        <v>May</v>
      </c>
      <c r="I519" s="5">
        <f t="shared" si="145"/>
        <v>2025</v>
      </c>
      <c r="J519" t="str">
        <f>IF(F519="","Missing Date",
IF(ISNUMBER(F519),"Valid","Invalid Date"))</f>
        <v>Valid</v>
      </c>
      <c r="K519" t="str">
        <f t="shared" si="146"/>
        <v>Valid</v>
      </c>
      <c r="L519">
        <f>G519-F519</f>
        <v>2</v>
      </c>
      <c r="M519" t="s">
        <v>2508</v>
      </c>
      <c r="N519" t="s">
        <v>148</v>
      </c>
      <c r="O519" t="str">
        <f t="shared" si="147"/>
        <v>Rahul Verma</v>
      </c>
      <c r="P519" t="s">
        <v>26</v>
      </c>
      <c r="Q519" t="str">
        <f t="shared" si="148"/>
        <v>Consumer</v>
      </c>
      <c r="R519" t="s">
        <v>42</v>
      </c>
      <c r="S519" t="str">
        <f t="shared" si="149"/>
        <v>East</v>
      </c>
      <c r="T519" t="s">
        <v>43</v>
      </c>
      <c r="U519" t="str">
        <f t="shared" si="150"/>
        <v>Odisha</v>
      </c>
      <c r="V519" t="s">
        <v>44</v>
      </c>
      <c r="W519" t="str">
        <f t="shared" si="151"/>
        <v>Bhubaneswar</v>
      </c>
      <c r="X519" t="s">
        <v>45</v>
      </c>
      <c r="Y519" t="str">
        <f t="shared" si="152"/>
        <v>Furniture</v>
      </c>
      <c r="Z519" t="s">
        <v>65</v>
      </c>
      <c r="AA519" t="str">
        <f t="shared" si="153"/>
        <v>Furnishings</v>
      </c>
      <c r="AB519" t="s">
        <v>2509</v>
      </c>
      <c r="AC519" t="s">
        <v>33</v>
      </c>
      <c r="AD519" t="str">
        <f t="shared" si="154"/>
        <v>Second Class</v>
      </c>
      <c r="AE519">
        <v>7</v>
      </c>
      <c r="AF519">
        <v>2123.2800000000002</v>
      </c>
      <c r="AG519">
        <v>0.2</v>
      </c>
      <c r="AH519">
        <v>0.2</v>
      </c>
      <c r="AI519" t="str">
        <f t="shared" si="155"/>
        <v>Valid</v>
      </c>
      <c r="AJ519">
        <v>11890.37</v>
      </c>
      <c r="AK519">
        <f t="shared" si="156"/>
        <v>11890.368000000002</v>
      </c>
      <c r="AL519">
        <v>9234.5300000000007</v>
      </c>
      <c r="AM519">
        <v>2655.84</v>
      </c>
      <c r="AN519">
        <f t="shared" si="157"/>
        <v>2655.8380000000016</v>
      </c>
      <c r="AO519">
        <f t="shared" si="158"/>
        <v>-9234.5300000000007</v>
      </c>
      <c r="AP519" t="s">
        <v>124</v>
      </c>
      <c r="AQ519" t="str">
        <f t="shared" si="159"/>
        <v>Refunded</v>
      </c>
      <c r="AR519" t="s">
        <v>125</v>
      </c>
      <c r="AS519" t="str">
        <f t="shared" si="160"/>
        <v>Returned</v>
      </c>
      <c r="AT519" t="str">
        <f t="shared" si="161"/>
        <v>Clean</v>
      </c>
    </row>
    <row r="520" spans="1:46">
      <c r="A520" t="s">
        <v>2510</v>
      </c>
      <c r="B520">
        <f>COUNTIF($D$2:D520,D520)</f>
        <v>1</v>
      </c>
      <c r="C520" t="str">
        <f>IF(COUNTIF($A:$A,A520)=1,
"Unique",
IF(COUNTIFS($A:$A,A520,$N:$N,N520,$AF:$AF,AF520,$AJ:$AJ,AJ520)&gt;1,
"Exact Duplicate",
"Conflicting Duplicate"))</f>
        <v>Unique</v>
      </c>
      <c r="D520" t="s">
        <v>2392</v>
      </c>
      <c r="E520" t="s">
        <v>2511</v>
      </c>
      <c r="F520" s="3">
        <v>45777</v>
      </c>
      <c r="G520" s="2">
        <v>45773</v>
      </c>
      <c r="H520" s="5" t="str">
        <f t="shared" si="144"/>
        <v>April</v>
      </c>
      <c r="I520" s="5">
        <f t="shared" si="145"/>
        <v>2025</v>
      </c>
      <c r="J520" t="str">
        <f>IF(F520="","Missing Date",
IF(ISNUMBER(F520),"Valid","Invalid Date"))</f>
        <v>Valid</v>
      </c>
      <c r="K520" t="str">
        <f t="shared" si="146"/>
        <v>Valid</v>
      </c>
      <c r="L520">
        <f>G520-F520</f>
        <v>-4</v>
      </c>
      <c r="M520" t="s">
        <v>2512</v>
      </c>
      <c r="N520" t="s">
        <v>210</v>
      </c>
      <c r="O520" t="str">
        <f t="shared" si="147"/>
        <v>Diya Patel</v>
      </c>
      <c r="P520" t="s">
        <v>108</v>
      </c>
      <c r="Q520" t="str">
        <f t="shared" si="148"/>
        <v>Corporate</v>
      </c>
      <c r="R520" t="s">
        <v>42</v>
      </c>
      <c r="S520" t="str">
        <f t="shared" si="149"/>
        <v>East</v>
      </c>
      <c r="T520" t="s">
        <v>43</v>
      </c>
      <c r="U520" t="str">
        <f t="shared" si="150"/>
        <v>Odisha</v>
      </c>
      <c r="V520" t="s">
        <v>44</v>
      </c>
      <c r="W520" t="str">
        <f t="shared" si="151"/>
        <v>Bhubaneswar</v>
      </c>
      <c r="X520" t="s">
        <v>45</v>
      </c>
      <c r="Y520" t="str">
        <f t="shared" si="152"/>
        <v>Furniture</v>
      </c>
      <c r="Z520" t="s">
        <v>46</v>
      </c>
      <c r="AA520" t="str">
        <f t="shared" si="153"/>
        <v>Tables</v>
      </c>
      <c r="AB520" t="s">
        <v>2513</v>
      </c>
      <c r="AC520" t="s">
        <v>56</v>
      </c>
      <c r="AD520" t="str">
        <f t="shared" si="154"/>
        <v>First Class</v>
      </c>
      <c r="AE520">
        <v>7</v>
      </c>
      <c r="AF520">
        <v>1604.13</v>
      </c>
      <c r="AG520">
        <v>0.25</v>
      </c>
      <c r="AH520">
        <v>0.25</v>
      </c>
      <c r="AI520" t="str">
        <f t="shared" si="155"/>
        <v>Valid</v>
      </c>
      <c r="AJ520">
        <v>8421.68</v>
      </c>
      <c r="AK520">
        <f t="shared" si="156"/>
        <v>8421.682499999999</v>
      </c>
      <c r="AL520">
        <v>6534.47</v>
      </c>
      <c r="AM520">
        <v>1887.21</v>
      </c>
      <c r="AN520">
        <f t="shared" si="157"/>
        <v>1887.2124999999987</v>
      </c>
      <c r="AO520">
        <f t="shared" si="158"/>
        <v>-6534.47</v>
      </c>
      <c r="AP520" t="s">
        <v>34</v>
      </c>
      <c r="AQ520" t="str">
        <f t="shared" si="159"/>
        <v>Paid</v>
      </c>
      <c r="AR520" t="s">
        <v>78</v>
      </c>
      <c r="AS520" t="str">
        <f t="shared" si="160"/>
        <v>Cancelled</v>
      </c>
      <c r="AT520" t="str">
        <f t="shared" si="161"/>
        <v>Clean</v>
      </c>
    </row>
    <row r="521" spans="1:46">
      <c r="A521" t="s">
        <v>2514</v>
      </c>
      <c r="B521">
        <f>COUNTIF($D$2:D521,D521)</f>
        <v>1</v>
      </c>
      <c r="C521" t="str">
        <f>IF(COUNTIF($A:$A,A521)=1,
"Unique",
IF(COUNTIFS($A:$A,A521,$N:$N,N521,$AF:$AF,AF521,$AJ:$AJ,AJ521)&gt;1,
"Exact Duplicate",
"Conflicting Duplicate"))</f>
        <v>Unique</v>
      </c>
      <c r="D521" t="s">
        <v>380</v>
      </c>
      <c r="E521" t="s">
        <v>2515</v>
      </c>
      <c r="F521" s="3">
        <v>45723</v>
      </c>
      <c r="G521" s="3">
        <v>45845</v>
      </c>
      <c r="H521" s="5" t="str">
        <f t="shared" si="144"/>
        <v>March</v>
      </c>
      <c r="I521" s="5">
        <f t="shared" si="145"/>
        <v>2025</v>
      </c>
      <c r="J521" t="str">
        <f>IF(F521="","Missing Date",
IF(ISNUMBER(F521),"Valid","Invalid Date"))</f>
        <v>Valid</v>
      </c>
      <c r="K521" t="str">
        <f t="shared" si="146"/>
        <v>Valid</v>
      </c>
      <c r="L521">
        <f>G521-F521</f>
        <v>122</v>
      </c>
      <c r="M521" t="s">
        <v>2516</v>
      </c>
      <c r="N521" t="s">
        <v>142</v>
      </c>
      <c r="O521" t="str">
        <f t="shared" si="147"/>
        <v>Priya Menon</v>
      </c>
      <c r="P521" t="s">
        <v>26</v>
      </c>
      <c r="Q521" t="str">
        <f t="shared" si="148"/>
        <v>Consumer</v>
      </c>
      <c r="R521" t="s">
        <v>27</v>
      </c>
      <c r="S521" t="str">
        <f t="shared" si="149"/>
        <v>North</v>
      </c>
      <c r="T521" t="s">
        <v>174</v>
      </c>
      <c r="U521" t="str">
        <f t="shared" si="150"/>
        <v>Uttar Pradesh</v>
      </c>
      <c r="V521" t="s">
        <v>175</v>
      </c>
      <c r="W521" t="str">
        <f t="shared" si="151"/>
        <v>Noida</v>
      </c>
      <c r="X521" t="s">
        <v>45</v>
      </c>
      <c r="Y521" t="str">
        <f t="shared" si="152"/>
        <v>Furniture</v>
      </c>
      <c r="Z521" t="s">
        <v>46</v>
      </c>
      <c r="AA521" t="str">
        <f t="shared" si="153"/>
        <v>Tables</v>
      </c>
      <c r="AB521" t="s">
        <v>2517</v>
      </c>
      <c r="AC521" t="s">
        <v>67</v>
      </c>
      <c r="AD521" t="str">
        <f t="shared" si="154"/>
        <v>Standard Class</v>
      </c>
      <c r="AE521">
        <v>4</v>
      </c>
      <c r="AF521">
        <v>4365.21</v>
      </c>
      <c r="AG521">
        <v>0.2</v>
      </c>
      <c r="AH521">
        <v>0.2</v>
      </c>
      <c r="AI521" t="str">
        <f t="shared" si="155"/>
        <v>Valid</v>
      </c>
      <c r="AJ521">
        <v>13968.67</v>
      </c>
      <c r="AK521">
        <f t="shared" si="156"/>
        <v>13968.672</v>
      </c>
      <c r="AL521">
        <v>8857.58</v>
      </c>
      <c r="AM521">
        <v>5111.09</v>
      </c>
      <c r="AN521">
        <f t="shared" si="157"/>
        <v>5111.0920000000006</v>
      </c>
      <c r="AO521">
        <f t="shared" si="158"/>
        <v>-8857.58</v>
      </c>
      <c r="AP521" t="s">
        <v>137</v>
      </c>
      <c r="AQ521" t="str">
        <f t="shared" si="159"/>
        <v>Pending</v>
      </c>
      <c r="AR521" t="s">
        <v>78</v>
      </c>
      <c r="AS521" t="str">
        <f t="shared" si="160"/>
        <v>Cancelled</v>
      </c>
      <c r="AT521" t="str">
        <f t="shared" si="161"/>
        <v>Clean</v>
      </c>
    </row>
    <row r="522" spans="1:46">
      <c r="A522" t="s">
        <v>2518</v>
      </c>
      <c r="B522">
        <f>COUNTIF($D$2:D522,D522)</f>
        <v>1</v>
      </c>
      <c r="C522" t="str">
        <f>IF(COUNTIF($A:$A,A522)=1,
"Unique",
IF(COUNTIFS($A:$A,A522,$N:$N,N522,$AF:$AF,AF522,$AJ:$AJ,AJ522)&gt;1,
"Exact Duplicate",
"Conflicting Duplicate"))</f>
        <v>Unique</v>
      </c>
      <c r="D522" t="s">
        <v>1109</v>
      </c>
      <c r="E522" t="s">
        <v>2519</v>
      </c>
      <c r="F522" s="3">
        <v>45489</v>
      </c>
      <c r="G522" s="2">
        <v>45496</v>
      </c>
      <c r="H522" s="5" t="str">
        <f t="shared" si="144"/>
        <v>July</v>
      </c>
      <c r="I522" s="5">
        <f t="shared" si="145"/>
        <v>2024</v>
      </c>
      <c r="J522" t="str">
        <f>IF(F522="","Missing Date",
IF(ISNUMBER(F522),"Valid","Invalid Date"))</f>
        <v>Valid</v>
      </c>
      <c r="K522" t="str">
        <f t="shared" si="146"/>
        <v>Valid</v>
      </c>
      <c r="L522">
        <f>G522-F522</f>
        <v>7</v>
      </c>
      <c r="M522" t="s">
        <v>2520</v>
      </c>
      <c r="N522" t="s">
        <v>162</v>
      </c>
      <c r="O522" t="str">
        <f t="shared" si="147"/>
        <v>Aarav Sharma</v>
      </c>
      <c r="P522" t="s">
        <v>115</v>
      </c>
      <c r="Q522" t="str">
        <f t="shared" si="148"/>
        <v>Home Office</v>
      </c>
      <c r="R522" t="s">
        <v>62</v>
      </c>
      <c r="S522" t="str">
        <f t="shared" si="149"/>
        <v>South</v>
      </c>
      <c r="T522" t="s">
        <v>229</v>
      </c>
      <c r="U522" t="str">
        <f t="shared" si="150"/>
        <v>Karnataka</v>
      </c>
      <c r="V522" t="s">
        <v>230</v>
      </c>
      <c r="W522" t="str">
        <f t="shared" si="151"/>
        <v>Bengaluru</v>
      </c>
      <c r="X522" t="s">
        <v>86</v>
      </c>
      <c r="Y522" t="str">
        <f t="shared" si="152"/>
        <v>Technology</v>
      </c>
      <c r="Z522" t="s">
        <v>382</v>
      </c>
      <c r="AA522" t="str">
        <f t="shared" si="153"/>
        <v>Machines</v>
      </c>
      <c r="AB522" t="s">
        <v>2521</v>
      </c>
      <c r="AC522" t="s">
        <v>48</v>
      </c>
      <c r="AD522" t="str">
        <f t="shared" si="154"/>
        <v>Same Day</v>
      </c>
      <c r="AE522">
        <v>1</v>
      </c>
      <c r="AF522">
        <v>1695.91</v>
      </c>
      <c r="AG522">
        <v>0.05</v>
      </c>
      <c r="AH522">
        <v>0.05</v>
      </c>
      <c r="AI522" t="str">
        <f t="shared" si="155"/>
        <v>Valid</v>
      </c>
      <c r="AJ522">
        <v>1611.11</v>
      </c>
      <c r="AK522">
        <f t="shared" si="156"/>
        <v>1611.1144999999999</v>
      </c>
      <c r="AL522">
        <v>895.15</v>
      </c>
      <c r="AM522">
        <v>715.96</v>
      </c>
      <c r="AN522">
        <f t="shared" si="157"/>
        <v>715.96449999999993</v>
      </c>
      <c r="AO522">
        <f t="shared" si="158"/>
        <v>-895.15</v>
      </c>
      <c r="AP522" t="s">
        <v>34</v>
      </c>
      <c r="AQ522" t="str">
        <f t="shared" si="159"/>
        <v>Paid</v>
      </c>
      <c r="AR522" t="s">
        <v>35</v>
      </c>
      <c r="AS522" t="str">
        <f t="shared" si="160"/>
        <v>Completed</v>
      </c>
      <c r="AT522" t="str">
        <f t="shared" si="161"/>
        <v>Clean</v>
      </c>
    </row>
    <row r="523" spans="1:46">
      <c r="A523" t="s">
        <v>2522</v>
      </c>
      <c r="B523">
        <f>COUNTIF($D$2:D523,D523)</f>
        <v>1</v>
      </c>
      <c r="C523" t="str">
        <f>IF(COUNTIF($A:$A,A523)=1,
"Unique",
IF(COUNTIFS($A:$A,A523,$N:$N,N523,$AF:$AF,AF523,$AJ:$AJ,AJ523)&gt;1,
"Exact Duplicate",
"Conflicting Duplicate"))</f>
        <v>Unique</v>
      </c>
      <c r="D523" t="s">
        <v>2523</v>
      </c>
      <c r="E523" t="s">
        <v>2524</v>
      </c>
      <c r="F523" s="3">
        <v>45741</v>
      </c>
      <c r="G523" s="3">
        <v>45661</v>
      </c>
      <c r="H523" s="5" t="str">
        <f t="shared" si="144"/>
        <v>March</v>
      </c>
      <c r="I523" s="5">
        <f t="shared" si="145"/>
        <v>2025</v>
      </c>
      <c r="J523" t="str">
        <f>IF(F523="","Missing Date",
IF(ISNUMBER(F523),"Valid","Invalid Date"))</f>
        <v>Valid</v>
      </c>
      <c r="K523" t="str">
        <f t="shared" si="146"/>
        <v>Valid</v>
      </c>
      <c r="L523">
        <f>G523-F523</f>
        <v>-80</v>
      </c>
      <c r="M523" t="s">
        <v>2525</v>
      </c>
      <c r="N523" t="s">
        <v>210</v>
      </c>
      <c r="O523" t="str">
        <f t="shared" si="147"/>
        <v>Diya Patel</v>
      </c>
      <c r="P523" t="s">
        <v>26</v>
      </c>
      <c r="Q523" t="str">
        <f t="shared" si="148"/>
        <v>Consumer</v>
      </c>
      <c r="R523" t="s">
        <v>27</v>
      </c>
      <c r="S523" t="str">
        <f t="shared" si="149"/>
        <v>North</v>
      </c>
      <c r="T523" t="s">
        <v>154</v>
      </c>
      <c r="U523" t="str">
        <f t="shared" si="150"/>
        <v>Punjab</v>
      </c>
      <c r="V523" t="s">
        <v>155</v>
      </c>
      <c r="W523" t="str">
        <f t="shared" si="151"/>
        <v>Ludhiana</v>
      </c>
      <c r="X523" t="s">
        <v>30</v>
      </c>
      <c r="Y523" t="str">
        <f t="shared" si="152"/>
        <v>Office Supplies</v>
      </c>
      <c r="Z523" t="s">
        <v>109</v>
      </c>
      <c r="AA523" t="str">
        <f t="shared" si="153"/>
        <v>Labels</v>
      </c>
      <c r="AB523" t="s">
        <v>2526</v>
      </c>
      <c r="AC523" t="s">
        <v>33</v>
      </c>
      <c r="AD523" t="str">
        <f t="shared" si="154"/>
        <v>Second Class</v>
      </c>
      <c r="AE523">
        <v>6</v>
      </c>
      <c r="AF523">
        <v>2192.11</v>
      </c>
      <c r="AG523">
        <v>0.05</v>
      </c>
      <c r="AH523">
        <v>0.05</v>
      </c>
      <c r="AI523" t="str">
        <f t="shared" si="155"/>
        <v>Valid</v>
      </c>
      <c r="AJ523">
        <v>12495.03</v>
      </c>
      <c r="AK523">
        <f t="shared" si="156"/>
        <v>12495.027</v>
      </c>
      <c r="AL523">
        <v>9184.52</v>
      </c>
      <c r="AM523">
        <v>3310.51</v>
      </c>
      <c r="AN523">
        <f t="shared" si="157"/>
        <v>3310.5069999999996</v>
      </c>
      <c r="AO523">
        <f t="shared" si="158"/>
        <v>-9184.52</v>
      </c>
      <c r="AP523" t="s">
        <v>34</v>
      </c>
      <c r="AQ523" t="str">
        <f t="shared" si="159"/>
        <v>Paid</v>
      </c>
      <c r="AR523" t="s">
        <v>35</v>
      </c>
      <c r="AS523" t="str">
        <f t="shared" si="160"/>
        <v>Completed</v>
      </c>
      <c r="AT523" t="str">
        <f t="shared" si="161"/>
        <v>Clean</v>
      </c>
    </row>
    <row r="524" spans="1:46">
      <c r="A524" t="s">
        <v>2527</v>
      </c>
      <c r="B524">
        <f>COUNTIF($D$2:D524,D524)</f>
        <v>1</v>
      </c>
      <c r="C524" t="str">
        <f>IF(COUNTIF($A:$A,A524)=1,
"Unique",
IF(COUNTIFS($A:$A,A524,$N:$N,N524,$AF:$AF,AF524,$AJ:$AJ,AJ524)&gt;1,
"Exact Duplicate",
"Conflicting Duplicate"))</f>
        <v>Unique</v>
      </c>
      <c r="D524" t="s">
        <v>2528</v>
      </c>
      <c r="E524" t="s">
        <v>2324</v>
      </c>
      <c r="F524" s="3">
        <v>45716</v>
      </c>
      <c r="G524" s="2">
        <v>45872</v>
      </c>
      <c r="H524" s="5" t="str">
        <f t="shared" si="144"/>
        <v>February</v>
      </c>
      <c r="I524" s="5">
        <f t="shared" si="145"/>
        <v>2025</v>
      </c>
      <c r="J524" t="str">
        <f>IF(F524="","Missing Date",
IF(ISNUMBER(F524),"Valid","Invalid Date"))</f>
        <v>Valid</v>
      </c>
      <c r="K524" t="str">
        <f t="shared" si="146"/>
        <v>Valid</v>
      </c>
      <c r="L524">
        <f>G524-F524</f>
        <v>156</v>
      </c>
      <c r="M524" t="s">
        <v>2529</v>
      </c>
      <c r="N524" t="s">
        <v>93</v>
      </c>
      <c r="O524" t="str">
        <f t="shared" si="147"/>
        <v>Neha Gupta</v>
      </c>
      <c r="P524" t="s">
        <v>41</v>
      </c>
      <c r="Q524" t="str">
        <f t="shared" si="148"/>
        <v>Small Business</v>
      </c>
      <c r="R524" t="s">
        <v>42</v>
      </c>
      <c r="S524" t="str">
        <f t="shared" si="149"/>
        <v>East</v>
      </c>
      <c r="T524" t="s">
        <v>311</v>
      </c>
      <c r="U524" t="str">
        <f t="shared" si="150"/>
        <v>Jharkhand</v>
      </c>
      <c r="V524" t="s">
        <v>312</v>
      </c>
      <c r="W524" t="str">
        <f t="shared" si="151"/>
        <v>Ranchi</v>
      </c>
      <c r="X524" t="s">
        <v>86</v>
      </c>
      <c r="Y524" t="str">
        <f t="shared" si="152"/>
        <v>Technology</v>
      </c>
      <c r="Z524" t="s">
        <v>223</v>
      </c>
      <c r="AA524" t="str">
        <f t="shared" si="153"/>
        <v>Phones</v>
      </c>
      <c r="AB524" t="s">
        <v>2530</v>
      </c>
      <c r="AC524" t="s">
        <v>56</v>
      </c>
      <c r="AD524" t="str">
        <f t="shared" si="154"/>
        <v>First Class</v>
      </c>
      <c r="AE524">
        <v>9</v>
      </c>
      <c r="AF524">
        <v>3670.54</v>
      </c>
      <c r="AG524">
        <v>0</v>
      </c>
      <c r="AH524">
        <v>0</v>
      </c>
      <c r="AI524" t="str">
        <f t="shared" si="155"/>
        <v>Valid</v>
      </c>
      <c r="AJ524">
        <v>33034.86</v>
      </c>
      <c r="AK524">
        <f t="shared" si="156"/>
        <v>33034.86</v>
      </c>
      <c r="AL524">
        <v>24539.83</v>
      </c>
      <c r="AM524">
        <v>8495.0300000000007</v>
      </c>
      <c r="AN524">
        <f t="shared" si="157"/>
        <v>8495.0299999999988</v>
      </c>
      <c r="AO524">
        <f t="shared" si="158"/>
        <v>-24539.83</v>
      </c>
      <c r="AP524" t="s">
        <v>34</v>
      </c>
      <c r="AQ524" t="str">
        <f t="shared" si="159"/>
        <v>Paid</v>
      </c>
      <c r="AR524" t="s">
        <v>35</v>
      </c>
      <c r="AS524" t="str">
        <f t="shared" si="160"/>
        <v>Completed</v>
      </c>
      <c r="AT524" t="str">
        <f t="shared" si="161"/>
        <v>Clean</v>
      </c>
    </row>
    <row r="525" spans="1:46">
      <c r="A525" t="s">
        <v>2531</v>
      </c>
      <c r="B525">
        <f>COUNTIF($D$2:D525,D525)</f>
        <v>2</v>
      </c>
      <c r="C525" t="str">
        <f>IF(COUNTIF($A:$A,A525)=1,
"Unique",
IF(COUNTIFS($A:$A,A525,$N:$N,N525,$AF:$AF,AF525,$AJ:$AJ,AJ525)&gt;1,
"Exact Duplicate",
"Conflicting Duplicate"))</f>
        <v>Unique</v>
      </c>
      <c r="D525" t="s">
        <v>2532</v>
      </c>
      <c r="E525" t="s">
        <v>2533</v>
      </c>
      <c r="F525" s="3">
        <v>45326</v>
      </c>
      <c r="G525" s="3">
        <v>45355</v>
      </c>
      <c r="H525" s="5" t="str">
        <f t="shared" si="144"/>
        <v>February</v>
      </c>
      <c r="I525" s="5">
        <f t="shared" si="145"/>
        <v>2024</v>
      </c>
      <c r="J525" t="str">
        <f>IF(F525="","Missing Date",
IF(ISNUMBER(F525),"Valid","Invalid Date"))</f>
        <v>Valid</v>
      </c>
      <c r="K525" t="str">
        <f t="shared" si="146"/>
        <v>Valid</v>
      </c>
      <c r="L525">
        <f>G525-F525</f>
        <v>29</v>
      </c>
      <c r="M525" t="s">
        <v>2534</v>
      </c>
      <c r="N525" t="s">
        <v>366</v>
      </c>
      <c r="O525" t="str">
        <f t="shared" si="147"/>
        <v>Kabir Singh</v>
      </c>
      <c r="P525" t="s">
        <v>115</v>
      </c>
      <c r="Q525" t="str">
        <f t="shared" si="148"/>
        <v>Home Office</v>
      </c>
      <c r="R525" t="s">
        <v>73</v>
      </c>
      <c r="S525" t="str">
        <f t="shared" si="149"/>
        <v>West</v>
      </c>
      <c r="T525" t="s">
        <v>249</v>
      </c>
      <c r="U525" t="str">
        <f t="shared" si="150"/>
        <v>Goa</v>
      </c>
      <c r="V525" t="s">
        <v>250</v>
      </c>
      <c r="W525" t="str">
        <f t="shared" si="151"/>
        <v>Panaji</v>
      </c>
      <c r="X525" t="s">
        <v>30</v>
      </c>
      <c r="Y525" t="str">
        <f t="shared" si="152"/>
        <v>Office Supplies</v>
      </c>
      <c r="Z525" t="s">
        <v>31</v>
      </c>
      <c r="AA525" t="str">
        <f t="shared" si="153"/>
        <v>Paper</v>
      </c>
      <c r="AB525" t="s">
        <v>2535</v>
      </c>
      <c r="AC525" t="s">
        <v>33</v>
      </c>
      <c r="AD525" t="str">
        <f t="shared" si="154"/>
        <v>Second Class</v>
      </c>
      <c r="AE525">
        <v>2</v>
      </c>
      <c r="AF525">
        <v>2902.63</v>
      </c>
      <c r="AG525">
        <v>0</v>
      </c>
      <c r="AH525">
        <v>0</v>
      </c>
      <c r="AI525" t="str">
        <f t="shared" si="155"/>
        <v>Valid</v>
      </c>
      <c r="AJ525">
        <v>5805.26</v>
      </c>
      <c r="AK525">
        <f t="shared" si="156"/>
        <v>5805.26</v>
      </c>
      <c r="AL525">
        <v>4654.3599999999997</v>
      </c>
      <c r="AM525">
        <v>1150.9000000000001</v>
      </c>
      <c r="AN525">
        <f t="shared" si="157"/>
        <v>1150.9000000000005</v>
      </c>
      <c r="AO525">
        <f t="shared" si="158"/>
        <v>-4654.3599999999997</v>
      </c>
      <c r="AP525" t="s">
        <v>34</v>
      </c>
      <c r="AQ525" t="str">
        <f t="shared" si="159"/>
        <v>Paid</v>
      </c>
      <c r="AR525" t="s">
        <v>125</v>
      </c>
      <c r="AS525" t="str">
        <f t="shared" si="160"/>
        <v>Returned</v>
      </c>
      <c r="AT525" t="str">
        <f t="shared" si="161"/>
        <v>Clean</v>
      </c>
    </row>
    <row r="526" spans="1:46">
      <c r="A526" t="s">
        <v>2536</v>
      </c>
      <c r="B526">
        <f>COUNTIF($D$2:D526,D526)</f>
        <v>1</v>
      </c>
      <c r="C526" t="str">
        <f>IF(COUNTIF($A:$A,A526)=1,
"Unique",
IF(COUNTIFS($A:$A,A526,$N:$N,N526,$AF:$AF,AF526,$AJ:$AJ,AJ526)&gt;1,
"Exact Duplicate",
"Conflicting Duplicate"))</f>
        <v>Unique</v>
      </c>
      <c r="D526" t="s">
        <v>2537</v>
      </c>
      <c r="E526" t="s">
        <v>2538</v>
      </c>
      <c r="F526" s="2">
        <v>45626</v>
      </c>
      <c r="G526" s="2">
        <v>45303</v>
      </c>
      <c r="H526" s="5" t="str">
        <f t="shared" si="144"/>
        <v>November</v>
      </c>
      <c r="I526" s="5">
        <f t="shared" si="145"/>
        <v>2024</v>
      </c>
      <c r="J526" t="str">
        <f>IF(F526="","Missing Date",
IF(ISNUMBER(F526),"Valid","Invalid Date"))</f>
        <v>Valid</v>
      </c>
      <c r="K526" t="str">
        <f t="shared" si="146"/>
        <v>Valid</v>
      </c>
      <c r="L526">
        <f>G526-F526</f>
        <v>-323</v>
      </c>
      <c r="M526" t="s">
        <v>2539</v>
      </c>
      <c r="N526" t="s">
        <v>72</v>
      </c>
      <c r="O526" t="str">
        <f t="shared" si="147"/>
        <v>Ananya Rao</v>
      </c>
      <c r="P526" t="s">
        <v>108</v>
      </c>
      <c r="Q526" t="str">
        <f t="shared" si="148"/>
        <v>Corporate</v>
      </c>
      <c r="R526" t="s">
        <v>73</v>
      </c>
      <c r="S526" t="str">
        <f t="shared" si="149"/>
        <v>West</v>
      </c>
      <c r="T526" t="s">
        <v>235</v>
      </c>
      <c r="U526" t="str">
        <f t="shared" si="150"/>
        <v>Gujarat</v>
      </c>
      <c r="V526" t="s">
        <v>236</v>
      </c>
      <c r="W526" t="str">
        <f t="shared" si="151"/>
        <v>Ahmedabad</v>
      </c>
      <c r="X526" t="s">
        <v>45</v>
      </c>
      <c r="Y526" t="str">
        <f t="shared" si="152"/>
        <v>Furniture</v>
      </c>
      <c r="Z526" t="s">
        <v>76</v>
      </c>
      <c r="AA526" t="str">
        <f t="shared" si="153"/>
        <v>Chairs</v>
      </c>
      <c r="AB526" t="s">
        <v>2540</v>
      </c>
      <c r="AC526" t="s">
        <v>56</v>
      </c>
      <c r="AD526" t="str">
        <f t="shared" si="154"/>
        <v>First Class</v>
      </c>
      <c r="AE526">
        <v>9</v>
      </c>
      <c r="AF526">
        <v>4207.3599999999997</v>
      </c>
      <c r="AG526">
        <v>0.1</v>
      </c>
      <c r="AH526">
        <v>0.1</v>
      </c>
      <c r="AI526" t="str">
        <f t="shared" si="155"/>
        <v>Valid</v>
      </c>
      <c r="AJ526">
        <v>34079.620000000003</v>
      </c>
      <c r="AK526">
        <f t="shared" si="156"/>
        <v>34079.616000000002</v>
      </c>
      <c r="AL526">
        <v>21871.39</v>
      </c>
      <c r="AM526">
        <v>12208.23</v>
      </c>
      <c r="AN526">
        <f t="shared" si="157"/>
        <v>12208.226000000002</v>
      </c>
      <c r="AO526">
        <f t="shared" si="158"/>
        <v>-21871.39</v>
      </c>
      <c r="AP526" t="s">
        <v>34</v>
      </c>
      <c r="AQ526" t="str">
        <f t="shared" si="159"/>
        <v>Paid</v>
      </c>
      <c r="AR526" t="s">
        <v>35</v>
      </c>
      <c r="AS526" t="str">
        <f t="shared" si="160"/>
        <v>Completed</v>
      </c>
      <c r="AT526" t="str">
        <f t="shared" si="161"/>
        <v>Clean</v>
      </c>
    </row>
    <row r="527" spans="1:46">
      <c r="A527" t="s">
        <v>2541</v>
      </c>
      <c r="B527">
        <f>COUNTIF($D$2:D527,D527)</f>
        <v>1</v>
      </c>
      <c r="C527" t="str">
        <f>IF(COUNTIF($A:$A,A527)=1,
"Unique",
IF(COUNTIFS($A:$A,A527,$N:$N,N527,$AF:$AF,AF527,$AJ:$AJ,AJ527)&gt;1,
"Exact Duplicate",
"Conflicting Duplicate"))</f>
        <v>Unique</v>
      </c>
      <c r="D527" t="s">
        <v>2542</v>
      </c>
      <c r="E527" t="s">
        <v>2543</v>
      </c>
      <c r="F527" s="3">
        <v>45582</v>
      </c>
      <c r="G527" s="3">
        <v>45582</v>
      </c>
      <c r="H527" s="5" t="str">
        <f t="shared" si="144"/>
        <v>October</v>
      </c>
      <c r="I527" s="5">
        <f t="shared" si="145"/>
        <v>2024</v>
      </c>
      <c r="J527" t="str">
        <f>IF(F527="","Missing Date",
IF(ISNUMBER(F527),"Valid","Invalid Date"))</f>
        <v>Valid</v>
      </c>
      <c r="K527" t="str">
        <f t="shared" si="146"/>
        <v>Valid</v>
      </c>
      <c r="L527">
        <f>G527-F527</f>
        <v>0</v>
      </c>
      <c r="M527" t="s">
        <v>2544</v>
      </c>
      <c r="N527" t="s">
        <v>142</v>
      </c>
      <c r="O527" t="str">
        <f t="shared" si="147"/>
        <v>Priya Menon</v>
      </c>
      <c r="P527" t="s">
        <v>115</v>
      </c>
      <c r="Q527" t="str">
        <f t="shared" si="148"/>
        <v>Home Office</v>
      </c>
      <c r="R527" t="s">
        <v>42</v>
      </c>
      <c r="S527" t="str">
        <f t="shared" si="149"/>
        <v>East</v>
      </c>
      <c r="T527" t="s">
        <v>121</v>
      </c>
      <c r="U527" t="str">
        <f t="shared" si="150"/>
        <v>West Bengal</v>
      </c>
      <c r="V527" t="s">
        <v>122</v>
      </c>
      <c r="W527" t="str">
        <f t="shared" si="151"/>
        <v>Kolkata</v>
      </c>
      <c r="X527" t="s">
        <v>45</v>
      </c>
      <c r="Y527" t="str">
        <f t="shared" si="152"/>
        <v>Furniture</v>
      </c>
      <c r="Z527" t="s">
        <v>76</v>
      </c>
      <c r="AA527" t="str">
        <f t="shared" si="153"/>
        <v>Chairs</v>
      </c>
      <c r="AB527" t="s">
        <v>2545</v>
      </c>
      <c r="AC527" t="s">
        <v>67</v>
      </c>
      <c r="AD527" t="str">
        <f t="shared" si="154"/>
        <v>Standard Class</v>
      </c>
      <c r="AE527">
        <v>5</v>
      </c>
      <c r="AF527">
        <v>2524.4</v>
      </c>
      <c r="AG527">
        <v>0.1</v>
      </c>
      <c r="AH527">
        <v>0.1</v>
      </c>
      <c r="AI527" t="str">
        <f t="shared" si="155"/>
        <v>Valid</v>
      </c>
      <c r="AJ527">
        <v>11359.8</v>
      </c>
      <c r="AK527">
        <f t="shared" si="156"/>
        <v>11359.800000000001</v>
      </c>
      <c r="AL527">
        <v>7062.44</v>
      </c>
      <c r="AM527">
        <v>4297.3599999999997</v>
      </c>
      <c r="AN527">
        <f t="shared" si="157"/>
        <v>4297.3600000000015</v>
      </c>
      <c r="AO527">
        <f t="shared" si="158"/>
        <v>-7062.44</v>
      </c>
      <c r="AP527" t="s">
        <v>34</v>
      </c>
      <c r="AQ527" t="str">
        <f t="shared" si="159"/>
        <v>Paid</v>
      </c>
      <c r="AR527" t="s">
        <v>35</v>
      </c>
      <c r="AS527" t="str">
        <f t="shared" si="160"/>
        <v>Completed</v>
      </c>
      <c r="AT527" t="str">
        <f t="shared" si="161"/>
        <v>Clean</v>
      </c>
    </row>
    <row r="528" spans="1:46">
      <c r="A528" t="s">
        <v>2546</v>
      </c>
      <c r="B528">
        <f>COUNTIF($D$2:D528,D528)</f>
        <v>1</v>
      </c>
      <c r="C528" t="str">
        <f>IF(COUNTIF($A:$A,A528)=1,
"Unique",
IF(COUNTIFS($A:$A,A528,$N:$N,N528,$AF:$AF,AF528,$AJ:$AJ,AJ528)&gt;1,
"Exact Duplicate",
"Conflicting Duplicate"))</f>
        <v>Unique</v>
      </c>
      <c r="D528" t="s">
        <v>2547</v>
      </c>
      <c r="E528" t="s">
        <v>2548</v>
      </c>
      <c r="F528" s="3">
        <v>45856</v>
      </c>
      <c r="G528" s="2">
        <v>45859</v>
      </c>
      <c r="H528" s="5" t="str">
        <f t="shared" si="144"/>
        <v>July</v>
      </c>
      <c r="I528" s="5">
        <f t="shared" si="145"/>
        <v>2025</v>
      </c>
      <c r="J528" t="str">
        <f>IF(F528="","Missing Date",
IF(ISNUMBER(F528),"Valid","Invalid Date"))</f>
        <v>Valid</v>
      </c>
      <c r="K528" t="str">
        <f t="shared" si="146"/>
        <v>Valid</v>
      </c>
      <c r="L528">
        <f>G528-F528</f>
        <v>3</v>
      </c>
      <c r="M528" t="s">
        <v>2549</v>
      </c>
      <c r="N528" t="s">
        <v>142</v>
      </c>
      <c r="O528" t="str">
        <f t="shared" si="147"/>
        <v>Priya Menon</v>
      </c>
      <c r="P528" t="s">
        <v>26</v>
      </c>
      <c r="Q528" t="str">
        <f t="shared" si="148"/>
        <v>Consumer</v>
      </c>
      <c r="R528" t="s">
        <v>42</v>
      </c>
      <c r="S528" t="str">
        <f t="shared" si="149"/>
        <v>East</v>
      </c>
      <c r="T528" t="s">
        <v>43</v>
      </c>
      <c r="U528" t="str">
        <f t="shared" si="150"/>
        <v>Odisha</v>
      </c>
      <c r="V528" t="s">
        <v>44</v>
      </c>
      <c r="W528" t="str">
        <f t="shared" si="151"/>
        <v>Bhubaneswar</v>
      </c>
      <c r="X528" t="s">
        <v>45</v>
      </c>
      <c r="Y528" t="str">
        <f t="shared" si="152"/>
        <v>Furniture</v>
      </c>
      <c r="Z528" t="s">
        <v>46</v>
      </c>
      <c r="AA528" t="str">
        <f t="shared" si="153"/>
        <v>Tables</v>
      </c>
      <c r="AB528" t="s">
        <v>2550</v>
      </c>
      <c r="AC528" t="s">
        <v>33</v>
      </c>
      <c r="AD528" t="str">
        <f t="shared" si="154"/>
        <v>Second Class</v>
      </c>
      <c r="AE528">
        <v>4</v>
      </c>
      <c r="AF528">
        <v>284.04000000000002</v>
      </c>
      <c r="AG528" t="s">
        <v>4104</v>
      </c>
      <c r="AH528" t="s">
        <v>4104</v>
      </c>
      <c r="AI528" t="str">
        <f t="shared" si="155"/>
        <v>Invalid - Above Range</v>
      </c>
      <c r="AJ528">
        <v>908.93</v>
      </c>
      <c r="AK528" t="s">
        <v>4104</v>
      </c>
      <c r="AL528">
        <v>572.08000000000004</v>
      </c>
      <c r="AM528">
        <v>336.85</v>
      </c>
      <c r="AN528" t="s">
        <v>4104</v>
      </c>
      <c r="AO528" t="s">
        <v>4104</v>
      </c>
      <c r="AP528" t="s">
        <v>34</v>
      </c>
      <c r="AQ528" t="str">
        <f t="shared" si="159"/>
        <v>Paid</v>
      </c>
      <c r="AR528" t="s">
        <v>35</v>
      </c>
      <c r="AS528" t="str">
        <f t="shared" si="160"/>
        <v>Completed</v>
      </c>
      <c r="AT528" t="str">
        <f t="shared" si="161"/>
        <v>Needs Review</v>
      </c>
    </row>
    <row r="529" spans="1:46">
      <c r="A529" t="s">
        <v>2551</v>
      </c>
      <c r="B529">
        <f>COUNTIF($D$2:D529,D529)</f>
        <v>1</v>
      </c>
      <c r="C529" t="str">
        <f>IF(COUNTIF($A:$A,A529)=1,
"Unique",
IF(COUNTIFS($A:$A,A529,$N:$N,N529,$AF:$AF,AF529,$AJ:$AJ,AJ529)&gt;1,
"Exact Duplicate",
"Conflicting Duplicate"))</f>
        <v>Unique</v>
      </c>
      <c r="D529" t="s">
        <v>2552</v>
      </c>
      <c r="E529" t="s">
        <v>2553</v>
      </c>
      <c r="F529" s="3">
        <v>45667</v>
      </c>
      <c r="G529" s="3">
        <v>45787</v>
      </c>
      <c r="H529" s="5" t="str">
        <f t="shared" si="144"/>
        <v>January</v>
      </c>
      <c r="I529" s="5">
        <f t="shared" si="145"/>
        <v>2025</v>
      </c>
      <c r="J529" t="str">
        <f>IF(F529="","Missing Date",
IF(ISNUMBER(F529),"Valid","Invalid Date"))</f>
        <v>Valid</v>
      </c>
      <c r="K529" t="str">
        <f t="shared" si="146"/>
        <v>Valid</v>
      </c>
      <c r="L529">
        <f>G529-F529</f>
        <v>120</v>
      </c>
      <c r="M529" t="s">
        <v>2554</v>
      </c>
      <c r="N529" t="s">
        <v>107</v>
      </c>
      <c r="O529" t="str">
        <f t="shared" si="147"/>
        <v>Aditi Sen</v>
      </c>
      <c r="P529" t="s">
        <v>115</v>
      </c>
      <c r="Q529" t="str">
        <f t="shared" si="148"/>
        <v>Home Office</v>
      </c>
      <c r="R529" t="s">
        <v>27</v>
      </c>
      <c r="S529" t="str">
        <f t="shared" si="149"/>
        <v>North</v>
      </c>
      <c r="T529" t="s">
        <v>323</v>
      </c>
      <c r="U529" t="str">
        <f t="shared" si="150"/>
        <v>Haryana</v>
      </c>
      <c r="V529" t="s">
        <v>324</v>
      </c>
      <c r="W529" t="str">
        <f t="shared" si="151"/>
        <v>Gurugram</v>
      </c>
      <c r="X529" t="s">
        <v>30</v>
      </c>
      <c r="Y529" t="str">
        <f t="shared" si="152"/>
        <v>Office Supplies</v>
      </c>
      <c r="Z529" t="s">
        <v>31</v>
      </c>
      <c r="AA529" t="str">
        <f t="shared" si="153"/>
        <v>Paper</v>
      </c>
      <c r="AB529" t="s">
        <v>2555</v>
      </c>
      <c r="AC529" t="s">
        <v>56</v>
      </c>
      <c r="AD529" t="str">
        <f t="shared" si="154"/>
        <v>First Class</v>
      </c>
      <c r="AE529">
        <v>5</v>
      </c>
      <c r="AF529">
        <v>3247.56</v>
      </c>
      <c r="AG529">
        <v>0.15</v>
      </c>
      <c r="AH529">
        <v>0.15</v>
      </c>
      <c r="AI529" t="str">
        <f t="shared" si="155"/>
        <v>Valid</v>
      </c>
      <c r="AJ529">
        <v>13802.13</v>
      </c>
      <c r="AK529">
        <f t="shared" si="156"/>
        <v>13802.13</v>
      </c>
      <c r="AL529">
        <v>10075.93</v>
      </c>
      <c r="AM529">
        <v>3726.2</v>
      </c>
      <c r="AN529">
        <f t="shared" si="157"/>
        <v>3726.1999999999989</v>
      </c>
      <c r="AO529">
        <f t="shared" si="158"/>
        <v>-10075.93</v>
      </c>
      <c r="AP529" t="s">
        <v>34</v>
      </c>
      <c r="AQ529" t="str">
        <f t="shared" si="159"/>
        <v>Paid</v>
      </c>
      <c r="AR529" t="s">
        <v>35</v>
      </c>
      <c r="AS529" t="str">
        <f t="shared" si="160"/>
        <v>Completed</v>
      </c>
      <c r="AT529" t="str">
        <f t="shared" si="161"/>
        <v>Clean</v>
      </c>
    </row>
    <row r="530" spans="1:46">
      <c r="A530" t="s">
        <v>2556</v>
      </c>
      <c r="B530">
        <f>COUNTIF($D$2:D530,D530)</f>
        <v>1</v>
      </c>
      <c r="C530" t="str">
        <f>IF(COUNTIF($A:$A,A530)=1,
"Unique",
IF(COUNTIFS($A:$A,A530,$N:$N,N530,$AF:$AF,AF530,$AJ:$AJ,AJ530)&gt;1,
"Exact Duplicate",
"Conflicting Duplicate"))</f>
        <v>Unique</v>
      </c>
      <c r="D530" t="s">
        <v>2557</v>
      </c>
      <c r="E530" t="s">
        <v>2558</v>
      </c>
      <c r="F530" s="3">
        <v>45483</v>
      </c>
      <c r="G530" s="3">
        <v>45545</v>
      </c>
      <c r="H530" s="5" t="str">
        <f t="shared" si="144"/>
        <v>July</v>
      </c>
      <c r="I530" s="5">
        <f t="shared" si="145"/>
        <v>2024</v>
      </c>
      <c r="J530" t="str">
        <f>IF(F530="","Missing Date",
IF(ISNUMBER(F530),"Valid","Invalid Date"))</f>
        <v>Valid</v>
      </c>
      <c r="K530" t="str">
        <f t="shared" si="146"/>
        <v>Valid</v>
      </c>
      <c r="L530">
        <f>G530-F530</f>
        <v>62</v>
      </c>
      <c r="M530" t="s">
        <v>2559</v>
      </c>
      <c r="N530" t="s">
        <v>210</v>
      </c>
      <c r="O530" t="str">
        <f t="shared" si="147"/>
        <v>Diya Patel</v>
      </c>
      <c r="P530" t="s">
        <v>26</v>
      </c>
      <c r="Q530" t="str">
        <f t="shared" si="148"/>
        <v>Consumer</v>
      </c>
      <c r="R530" t="s">
        <v>62</v>
      </c>
      <c r="S530" t="str">
        <f t="shared" si="149"/>
        <v>South</v>
      </c>
      <c r="T530" t="s">
        <v>339</v>
      </c>
      <c r="U530" t="str">
        <f t="shared" si="150"/>
        <v>Tamil Nadu</v>
      </c>
      <c r="V530" t="s">
        <v>340</v>
      </c>
      <c r="W530" t="str">
        <f t="shared" si="151"/>
        <v>Chennai</v>
      </c>
      <c r="X530" t="s">
        <v>30</v>
      </c>
      <c r="Y530" t="str">
        <f t="shared" si="152"/>
        <v>Office Supplies</v>
      </c>
      <c r="Z530" t="s">
        <v>198</v>
      </c>
      <c r="AA530" t="str">
        <f t="shared" si="153"/>
        <v>Binders</v>
      </c>
      <c r="AB530" t="s">
        <v>2560</v>
      </c>
      <c r="AC530" t="s">
        <v>67</v>
      </c>
      <c r="AD530" t="str">
        <f t="shared" si="154"/>
        <v>Standard Class</v>
      </c>
      <c r="AE530">
        <v>9</v>
      </c>
      <c r="AF530">
        <v>3457.09</v>
      </c>
      <c r="AG530">
        <v>0.05</v>
      </c>
      <c r="AH530">
        <v>0.05</v>
      </c>
      <c r="AI530" t="str">
        <f t="shared" si="155"/>
        <v>Valid</v>
      </c>
      <c r="AJ530">
        <v>29558.12</v>
      </c>
      <c r="AK530">
        <f t="shared" si="156"/>
        <v>29558.119500000001</v>
      </c>
      <c r="AL530">
        <v>21302.13</v>
      </c>
      <c r="AM530">
        <v>8255.99</v>
      </c>
      <c r="AN530">
        <f t="shared" si="157"/>
        <v>8255.9894999999997</v>
      </c>
      <c r="AO530">
        <f t="shared" si="158"/>
        <v>-21302.13</v>
      </c>
      <c r="AP530" t="s">
        <v>137</v>
      </c>
      <c r="AQ530" t="str">
        <f t="shared" si="159"/>
        <v>Pending</v>
      </c>
      <c r="AR530" t="s">
        <v>125</v>
      </c>
      <c r="AS530" t="str">
        <f t="shared" si="160"/>
        <v>Returned</v>
      </c>
      <c r="AT530" t="str">
        <f t="shared" si="161"/>
        <v>Clean</v>
      </c>
    </row>
    <row r="531" spans="1:46">
      <c r="A531" t="s">
        <v>2561</v>
      </c>
      <c r="B531">
        <f>COUNTIF($D$2:D531,D531)</f>
        <v>3</v>
      </c>
      <c r="C531" t="str">
        <f>IF(COUNTIF($A:$A,A531)=1,
"Unique",
IF(COUNTIFS($A:$A,A531,$N:$N,N531,$AF:$AF,AF531,$AJ:$AJ,AJ531)&gt;1,
"Exact Duplicate",
"Conflicting Duplicate"))</f>
        <v>Unique</v>
      </c>
      <c r="D531" t="s">
        <v>2280</v>
      </c>
      <c r="E531" t="s">
        <v>2562</v>
      </c>
      <c r="F531" s="3">
        <v>45445</v>
      </c>
      <c r="G531" s="3">
        <v>45506</v>
      </c>
      <c r="H531" s="5" t="str">
        <f t="shared" si="144"/>
        <v>June</v>
      </c>
      <c r="I531" s="5">
        <f t="shared" si="145"/>
        <v>2024</v>
      </c>
      <c r="J531" t="str">
        <f>IF(F531="","Missing Date",
IF(ISNUMBER(F531),"Valid","Invalid Date"))</f>
        <v>Valid</v>
      </c>
      <c r="K531" t="str">
        <f t="shared" si="146"/>
        <v>Valid</v>
      </c>
      <c r="L531">
        <f>G531-F531</f>
        <v>61</v>
      </c>
      <c r="M531" t="s">
        <v>1110</v>
      </c>
      <c r="N531" t="s">
        <v>25</v>
      </c>
      <c r="O531" t="str">
        <f t="shared" si="147"/>
        <v>Karan Malhotra</v>
      </c>
      <c r="P531" t="s">
        <v>26</v>
      </c>
      <c r="Q531" t="str">
        <f t="shared" si="148"/>
        <v>Consumer</v>
      </c>
      <c r="R531" t="s">
        <v>42</v>
      </c>
      <c r="S531" t="str">
        <f t="shared" si="149"/>
        <v>East</v>
      </c>
      <c r="T531" t="s">
        <v>311</v>
      </c>
      <c r="U531" t="str">
        <f t="shared" si="150"/>
        <v>Jharkhand</v>
      </c>
      <c r="V531" t="s">
        <v>312</v>
      </c>
      <c r="W531" t="str">
        <f t="shared" si="151"/>
        <v>Ranchi</v>
      </c>
      <c r="X531" t="s">
        <v>45</v>
      </c>
      <c r="Y531" t="str">
        <f t="shared" si="152"/>
        <v>Furniture</v>
      </c>
      <c r="Z531" t="s">
        <v>204</v>
      </c>
      <c r="AA531" t="str">
        <f t="shared" si="153"/>
        <v>Bookcases</v>
      </c>
      <c r="AB531" t="s">
        <v>2563</v>
      </c>
      <c r="AC531" t="s">
        <v>33</v>
      </c>
      <c r="AD531" t="str">
        <f t="shared" si="154"/>
        <v>Second Class</v>
      </c>
      <c r="AE531">
        <v>9</v>
      </c>
      <c r="AF531">
        <v>1822.25</v>
      </c>
      <c r="AG531">
        <v>0</v>
      </c>
      <c r="AH531">
        <v>0</v>
      </c>
      <c r="AI531" t="str">
        <f t="shared" si="155"/>
        <v>Valid</v>
      </c>
      <c r="AJ531">
        <v>16400.25</v>
      </c>
      <c r="AK531">
        <f t="shared" si="156"/>
        <v>16400.25</v>
      </c>
      <c r="AL531">
        <v>12146.96</v>
      </c>
      <c r="AM531">
        <v>4253.29</v>
      </c>
      <c r="AN531">
        <f t="shared" si="157"/>
        <v>4253.2900000000009</v>
      </c>
      <c r="AO531">
        <f t="shared" si="158"/>
        <v>-12146.96</v>
      </c>
      <c r="AP531" t="s">
        <v>34</v>
      </c>
      <c r="AQ531" t="str">
        <f t="shared" si="159"/>
        <v>Paid</v>
      </c>
      <c r="AR531" t="s">
        <v>35</v>
      </c>
      <c r="AS531" t="str">
        <f t="shared" si="160"/>
        <v>Completed</v>
      </c>
      <c r="AT531" t="str">
        <f t="shared" si="161"/>
        <v>Clean</v>
      </c>
    </row>
    <row r="532" spans="1:46">
      <c r="A532" t="s">
        <v>2564</v>
      </c>
      <c r="B532">
        <f>COUNTIF($D$2:D532,D532)</f>
        <v>1</v>
      </c>
      <c r="C532" t="str">
        <f>IF(COUNTIF($A:$A,A532)=1,
"Unique",
IF(COUNTIFS($A:$A,A532,$N:$N,N532,$AF:$AF,AF532,$AJ:$AJ,AJ532)&gt;1,
"Exact Duplicate",
"Conflicting Duplicate"))</f>
        <v>Unique</v>
      </c>
      <c r="D532" t="s">
        <v>2565</v>
      </c>
      <c r="E532" t="s">
        <v>2566</v>
      </c>
      <c r="F532" s="3">
        <v>45807</v>
      </c>
      <c r="G532" s="3">
        <v>45663</v>
      </c>
      <c r="H532" s="5" t="str">
        <f t="shared" si="144"/>
        <v>May</v>
      </c>
      <c r="I532" s="5">
        <f t="shared" si="145"/>
        <v>2025</v>
      </c>
      <c r="J532" t="str">
        <f>IF(F532="","Missing Date",
IF(ISNUMBER(F532),"Valid","Invalid Date"))</f>
        <v>Valid</v>
      </c>
      <c r="K532" t="str">
        <f t="shared" si="146"/>
        <v>Valid</v>
      </c>
      <c r="L532">
        <f>G532-F532</f>
        <v>-144</v>
      </c>
      <c r="M532" t="s">
        <v>2567</v>
      </c>
      <c r="N532" t="s">
        <v>148</v>
      </c>
      <c r="O532" t="str">
        <f t="shared" si="147"/>
        <v>Rahul Verma</v>
      </c>
      <c r="P532" t="s">
        <v>115</v>
      </c>
      <c r="Q532" t="str">
        <f t="shared" si="148"/>
        <v>Home Office</v>
      </c>
      <c r="R532" t="s">
        <v>62</v>
      </c>
      <c r="S532" t="str">
        <f t="shared" si="149"/>
        <v>South</v>
      </c>
      <c r="T532" t="s">
        <v>339</v>
      </c>
      <c r="U532" t="str">
        <f t="shared" si="150"/>
        <v>Tamil Nadu</v>
      </c>
      <c r="V532" t="s">
        <v>340</v>
      </c>
      <c r="W532" t="str">
        <f t="shared" si="151"/>
        <v>Chennai</v>
      </c>
      <c r="X532" t="s">
        <v>30</v>
      </c>
      <c r="Y532" t="str">
        <f t="shared" si="152"/>
        <v>Office Supplies</v>
      </c>
      <c r="Z532" t="s">
        <v>198</v>
      </c>
      <c r="AA532" t="str">
        <f t="shared" si="153"/>
        <v>Binders</v>
      </c>
      <c r="AB532" t="s">
        <v>2568</v>
      </c>
      <c r="AC532" t="s">
        <v>67</v>
      </c>
      <c r="AD532" t="str">
        <f t="shared" si="154"/>
        <v>Standard Class</v>
      </c>
      <c r="AE532">
        <v>9</v>
      </c>
      <c r="AF532">
        <v>1994.51</v>
      </c>
      <c r="AG532">
        <v>0.05</v>
      </c>
      <c r="AH532">
        <v>0.05</v>
      </c>
      <c r="AI532" t="str">
        <f t="shared" si="155"/>
        <v>Valid</v>
      </c>
      <c r="AJ532">
        <v>17053.060000000001</v>
      </c>
      <c r="AK532">
        <f t="shared" si="156"/>
        <v>17053.0605</v>
      </c>
      <c r="AL532">
        <v>10742.38</v>
      </c>
      <c r="AM532">
        <v>6310.68</v>
      </c>
      <c r="AN532">
        <f t="shared" si="157"/>
        <v>6310.6805000000004</v>
      </c>
      <c r="AO532">
        <f t="shared" si="158"/>
        <v>-10742.38</v>
      </c>
      <c r="AP532" t="s">
        <v>34</v>
      </c>
      <c r="AQ532" t="str">
        <f t="shared" si="159"/>
        <v>Paid</v>
      </c>
      <c r="AR532" t="s">
        <v>35</v>
      </c>
      <c r="AS532" t="str">
        <f t="shared" si="160"/>
        <v>Completed</v>
      </c>
      <c r="AT532" t="str">
        <f t="shared" si="161"/>
        <v>Clean</v>
      </c>
    </row>
    <row r="533" spans="1:46">
      <c r="A533" t="s">
        <v>2569</v>
      </c>
      <c r="B533">
        <f>COUNTIF($D$2:D533,D533)</f>
        <v>1</v>
      </c>
      <c r="C533" t="str">
        <f>IF(COUNTIF($A:$A,A533)=1,
"Unique",
IF(COUNTIFS($A:$A,A533,$N:$N,N533,$AF:$AF,AF533,$AJ:$AJ,AJ533)&gt;1,
"Exact Duplicate",
"Conflicting Duplicate"))</f>
        <v>Unique</v>
      </c>
      <c r="D533" t="s">
        <v>1299</v>
      </c>
      <c r="E533" t="s">
        <v>2570</v>
      </c>
      <c r="F533" s="2">
        <v>45299</v>
      </c>
      <c r="G533" s="3">
        <v>45512</v>
      </c>
      <c r="H533" s="5" t="str">
        <f t="shared" si="144"/>
        <v>January</v>
      </c>
      <c r="I533" s="5">
        <f t="shared" si="145"/>
        <v>2024</v>
      </c>
      <c r="J533" t="str">
        <f>IF(F533="","Missing Date",
IF(ISNUMBER(F533),"Valid","Invalid Date"))</f>
        <v>Valid</v>
      </c>
      <c r="K533" t="str">
        <f t="shared" si="146"/>
        <v>Valid</v>
      </c>
      <c r="L533">
        <f>G533-F533</f>
        <v>213</v>
      </c>
      <c r="M533" t="s">
        <v>2571</v>
      </c>
      <c r="N533" t="s">
        <v>210</v>
      </c>
      <c r="O533" t="str">
        <f t="shared" si="147"/>
        <v>Diya Patel</v>
      </c>
      <c r="P533" t="s">
        <v>41</v>
      </c>
      <c r="Q533" t="str">
        <f t="shared" si="148"/>
        <v>Small Business</v>
      </c>
      <c r="R533" t="s">
        <v>73</v>
      </c>
      <c r="S533" t="str">
        <f t="shared" si="149"/>
        <v>West</v>
      </c>
      <c r="T533" t="s">
        <v>74</v>
      </c>
      <c r="U533" t="str">
        <f t="shared" si="150"/>
        <v>Maharashtra</v>
      </c>
      <c r="V533" t="s">
        <v>75</v>
      </c>
      <c r="W533" t="str">
        <f t="shared" si="151"/>
        <v>Mumbai</v>
      </c>
      <c r="X533" t="s">
        <v>30</v>
      </c>
      <c r="Y533" t="str">
        <f t="shared" si="152"/>
        <v>Office Supplies</v>
      </c>
      <c r="Z533" t="s">
        <v>156</v>
      </c>
      <c r="AA533" t="str">
        <f t="shared" si="153"/>
        <v>Storage</v>
      </c>
      <c r="AB533" t="s">
        <v>2572</v>
      </c>
      <c r="AC533" t="s">
        <v>4104</v>
      </c>
      <c r="AD533" t="str">
        <f t="shared" si="154"/>
        <v>Unknown</v>
      </c>
      <c r="AE533">
        <v>1</v>
      </c>
      <c r="AF533">
        <v>442.97</v>
      </c>
      <c r="AG533">
        <v>0.1</v>
      </c>
      <c r="AH533">
        <v>0.1</v>
      </c>
      <c r="AI533" t="str">
        <f t="shared" si="155"/>
        <v>Valid</v>
      </c>
      <c r="AJ533">
        <v>398.67</v>
      </c>
      <c r="AK533">
        <f t="shared" si="156"/>
        <v>398.67300000000006</v>
      </c>
      <c r="AL533">
        <v>311.66000000000003</v>
      </c>
      <c r="AM533">
        <v>87.01</v>
      </c>
      <c r="AN533">
        <f t="shared" si="157"/>
        <v>87.013000000000034</v>
      </c>
      <c r="AO533">
        <f t="shared" si="158"/>
        <v>-311.66000000000003</v>
      </c>
      <c r="AP533" t="s">
        <v>34</v>
      </c>
      <c r="AQ533" t="str">
        <f t="shared" si="159"/>
        <v>Paid</v>
      </c>
      <c r="AR533" t="s">
        <v>35</v>
      </c>
      <c r="AS533" t="str">
        <f t="shared" si="160"/>
        <v>Completed</v>
      </c>
      <c r="AT533" t="str">
        <f t="shared" si="161"/>
        <v>Clean</v>
      </c>
    </row>
    <row r="534" spans="1:46">
      <c r="A534" t="s">
        <v>2573</v>
      </c>
      <c r="B534">
        <f>COUNTIF($D$2:D534,D534)</f>
        <v>1</v>
      </c>
      <c r="C534" t="str">
        <f>IF(COUNTIF($A:$A,A534)=1,
"Unique",
IF(COUNTIFS($A:$A,A534,$N:$N,N534,$AF:$AF,AF534,$AJ:$AJ,AJ534)&gt;1,
"Exact Duplicate",
"Conflicting Duplicate"))</f>
        <v>Unique</v>
      </c>
      <c r="D534" t="s">
        <v>2553</v>
      </c>
      <c r="E534" t="s">
        <v>308</v>
      </c>
      <c r="F534" s="3">
        <v>45787</v>
      </c>
      <c r="G534" s="3">
        <v>45940</v>
      </c>
      <c r="H534" s="5" t="str">
        <f t="shared" si="144"/>
        <v>May</v>
      </c>
      <c r="I534" s="5">
        <f t="shared" si="145"/>
        <v>2025</v>
      </c>
      <c r="J534" t="str">
        <f>IF(F534="","Missing Date",
IF(ISNUMBER(F534),"Valid","Invalid Date"))</f>
        <v>Valid</v>
      </c>
      <c r="K534" t="str">
        <f t="shared" si="146"/>
        <v>Valid</v>
      </c>
      <c r="L534">
        <f>G534-F534</f>
        <v>153</v>
      </c>
      <c r="M534" t="s">
        <v>2574</v>
      </c>
      <c r="N534" t="s">
        <v>142</v>
      </c>
      <c r="O534" t="str">
        <f t="shared" si="147"/>
        <v>Priya Menon</v>
      </c>
      <c r="P534" t="s">
        <v>108</v>
      </c>
      <c r="Q534" t="str">
        <f t="shared" si="148"/>
        <v>Corporate</v>
      </c>
      <c r="R534" t="s">
        <v>42</v>
      </c>
      <c r="S534" t="str">
        <f t="shared" si="149"/>
        <v>East</v>
      </c>
      <c r="T534" t="s">
        <v>216</v>
      </c>
      <c r="U534" t="str">
        <f t="shared" si="150"/>
        <v>Assam</v>
      </c>
      <c r="V534" t="s">
        <v>217</v>
      </c>
      <c r="W534" t="str">
        <f t="shared" si="151"/>
        <v>Guwahati</v>
      </c>
      <c r="X534" t="s">
        <v>45</v>
      </c>
      <c r="Y534" t="str">
        <f t="shared" si="152"/>
        <v>Furniture</v>
      </c>
      <c r="Z534" t="s">
        <v>46</v>
      </c>
      <c r="AA534" t="str">
        <f t="shared" si="153"/>
        <v>Tables</v>
      </c>
      <c r="AB534" t="s">
        <v>2575</v>
      </c>
      <c r="AC534" t="s">
        <v>33</v>
      </c>
      <c r="AD534" t="str">
        <f t="shared" si="154"/>
        <v>Second Class</v>
      </c>
      <c r="AE534">
        <v>9</v>
      </c>
      <c r="AF534">
        <v>2089.14</v>
      </c>
      <c r="AG534">
        <v>0.05</v>
      </c>
      <c r="AH534">
        <v>0.05</v>
      </c>
      <c r="AI534" t="str">
        <f t="shared" si="155"/>
        <v>Valid</v>
      </c>
      <c r="AJ534">
        <v>17862.150000000001</v>
      </c>
      <c r="AK534">
        <f t="shared" si="156"/>
        <v>17862.146999999997</v>
      </c>
      <c r="AL534">
        <v>9892.2099999999991</v>
      </c>
      <c r="AM534">
        <v>7969.94</v>
      </c>
      <c r="AN534">
        <f t="shared" si="157"/>
        <v>7969.9369999999981</v>
      </c>
      <c r="AO534">
        <f t="shared" si="158"/>
        <v>-9892.2099999999991</v>
      </c>
      <c r="AP534" t="s">
        <v>200</v>
      </c>
      <c r="AQ534" t="str">
        <f t="shared" si="159"/>
        <v>Failed</v>
      </c>
      <c r="AR534" t="s">
        <v>78</v>
      </c>
      <c r="AS534" t="str">
        <f t="shared" si="160"/>
        <v>Cancelled</v>
      </c>
      <c r="AT534" t="str">
        <f t="shared" si="161"/>
        <v>Clean</v>
      </c>
    </row>
    <row r="535" spans="1:46">
      <c r="A535" t="s">
        <v>2576</v>
      </c>
      <c r="B535">
        <f>COUNTIF($D$2:D535,D535)</f>
        <v>1</v>
      </c>
      <c r="C535" t="str">
        <f>IF(COUNTIF($A:$A,A535)=1,
"Unique",
IF(COUNTIFS($A:$A,A535,$N:$N,N535,$AF:$AF,AF535,$AJ:$AJ,AJ535)&gt;1,
"Exact Duplicate",
"Conflicting Duplicate"))</f>
        <v>Unique</v>
      </c>
      <c r="D535" t="s">
        <v>2577</v>
      </c>
      <c r="E535" t="s">
        <v>395</v>
      </c>
      <c r="F535" s="2">
        <v>45529</v>
      </c>
      <c r="G535" s="3">
        <v>45300</v>
      </c>
      <c r="H535" s="5" t="str">
        <f t="shared" si="144"/>
        <v>August</v>
      </c>
      <c r="I535" s="5">
        <f t="shared" si="145"/>
        <v>2024</v>
      </c>
      <c r="J535" t="str">
        <f>IF(F535="","Missing Date",
IF(ISNUMBER(F535),"Valid","Invalid Date"))</f>
        <v>Valid</v>
      </c>
      <c r="K535" t="str">
        <f t="shared" si="146"/>
        <v>Valid</v>
      </c>
      <c r="L535">
        <f>G535-F535</f>
        <v>-229</v>
      </c>
      <c r="M535" t="s">
        <v>2578</v>
      </c>
      <c r="N535" t="s">
        <v>53</v>
      </c>
      <c r="O535" t="str">
        <f t="shared" si="147"/>
        <v>Isha Nair</v>
      </c>
      <c r="P535" t="s">
        <v>115</v>
      </c>
      <c r="Q535" t="str">
        <f t="shared" si="148"/>
        <v>Home Office</v>
      </c>
      <c r="R535" t="s">
        <v>27</v>
      </c>
      <c r="S535" t="str">
        <f t="shared" si="149"/>
        <v>North</v>
      </c>
      <c r="T535" t="s">
        <v>28</v>
      </c>
      <c r="U535" t="str">
        <f t="shared" si="150"/>
        <v>Rajasthan</v>
      </c>
      <c r="V535" t="s">
        <v>29</v>
      </c>
      <c r="W535" t="str">
        <f t="shared" si="151"/>
        <v>Jaipur</v>
      </c>
      <c r="X535" t="s">
        <v>45</v>
      </c>
      <c r="Y535" t="str">
        <f t="shared" si="152"/>
        <v>Furniture</v>
      </c>
      <c r="Z535" t="s">
        <v>46</v>
      </c>
      <c r="AA535" t="str">
        <f t="shared" si="153"/>
        <v>Tables</v>
      </c>
      <c r="AB535" t="s">
        <v>2579</v>
      </c>
      <c r="AC535" t="s">
        <v>48</v>
      </c>
      <c r="AD535" t="str">
        <f t="shared" si="154"/>
        <v>Same Day</v>
      </c>
      <c r="AE535">
        <v>6</v>
      </c>
      <c r="AF535">
        <v>481.3</v>
      </c>
      <c r="AG535">
        <v>0.25</v>
      </c>
      <c r="AH535">
        <v>0.25</v>
      </c>
      <c r="AI535" t="str">
        <f t="shared" si="155"/>
        <v>Valid</v>
      </c>
      <c r="AJ535">
        <v>2165.85</v>
      </c>
      <c r="AK535">
        <f t="shared" si="156"/>
        <v>2165.8500000000004</v>
      </c>
      <c r="AL535">
        <v>2124.48</v>
      </c>
      <c r="AM535">
        <v>430.45</v>
      </c>
      <c r="AN535">
        <f t="shared" si="157"/>
        <v>41.370000000000346</v>
      </c>
      <c r="AO535">
        <f t="shared" si="158"/>
        <v>-2124.48</v>
      </c>
      <c r="AP535" t="s">
        <v>34</v>
      </c>
      <c r="AQ535" t="str">
        <f t="shared" si="159"/>
        <v>Paid</v>
      </c>
      <c r="AR535" t="s">
        <v>35</v>
      </c>
      <c r="AS535" t="str">
        <f t="shared" si="160"/>
        <v>Completed</v>
      </c>
      <c r="AT535" t="str">
        <f t="shared" si="161"/>
        <v>Clean</v>
      </c>
    </row>
    <row r="536" spans="1:46">
      <c r="A536" t="s">
        <v>2580</v>
      </c>
      <c r="B536">
        <f>COUNTIF($D$2:D536,D536)</f>
        <v>1</v>
      </c>
      <c r="C536" t="str">
        <f>IF(COUNTIF($A:$A,A536)=1,
"Unique",
IF(COUNTIFS($A:$A,A536,$N:$N,N536,$AF:$AF,AF536,$AJ:$AJ,AJ536)&gt;1,
"Exact Duplicate",
"Conflicting Duplicate"))</f>
        <v>Unique</v>
      </c>
      <c r="D536" t="s">
        <v>2581</v>
      </c>
      <c r="E536" t="s">
        <v>2582</v>
      </c>
      <c r="F536" s="3">
        <v>45774</v>
      </c>
      <c r="G536" s="3">
        <v>45782</v>
      </c>
      <c r="H536" s="5" t="str">
        <f t="shared" si="144"/>
        <v>April</v>
      </c>
      <c r="I536" s="5">
        <f t="shared" si="145"/>
        <v>2025</v>
      </c>
      <c r="J536" t="str">
        <f>IF(F536="","Missing Date",
IF(ISNUMBER(F536),"Valid","Invalid Date"))</f>
        <v>Valid</v>
      </c>
      <c r="K536" t="str">
        <f t="shared" si="146"/>
        <v>Valid</v>
      </c>
      <c r="L536">
        <f>G536-F536</f>
        <v>8</v>
      </c>
      <c r="M536" t="s">
        <v>2583</v>
      </c>
      <c r="N536" t="s">
        <v>180</v>
      </c>
      <c r="O536" t="str">
        <f t="shared" si="147"/>
        <v>Rohan Mehta</v>
      </c>
      <c r="P536" t="s">
        <v>115</v>
      </c>
      <c r="Q536" t="str">
        <f t="shared" si="148"/>
        <v>Home Office</v>
      </c>
      <c r="R536" t="s">
        <v>42</v>
      </c>
      <c r="S536" t="str">
        <f t="shared" si="149"/>
        <v>East</v>
      </c>
      <c r="T536" t="s">
        <v>186</v>
      </c>
      <c r="U536" t="str">
        <f t="shared" si="150"/>
        <v>Bihar</v>
      </c>
      <c r="V536" t="s">
        <v>187</v>
      </c>
      <c r="W536" t="str">
        <f t="shared" si="151"/>
        <v>Patna</v>
      </c>
      <c r="X536" t="s">
        <v>86</v>
      </c>
      <c r="Y536" t="str">
        <f t="shared" si="152"/>
        <v>Technology</v>
      </c>
      <c r="Z536" t="s">
        <v>87</v>
      </c>
      <c r="AA536" t="str">
        <f t="shared" si="153"/>
        <v>Accessories</v>
      </c>
      <c r="AB536" t="s">
        <v>2584</v>
      </c>
      <c r="AC536" t="s">
        <v>33</v>
      </c>
      <c r="AD536" t="str">
        <f t="shared" si="154"/>
        <v>Second Class</v>
      </c>
      <c r="AE536">
        <v>4</v>
      </c>
      <c r="AF536">
        <v>3963.39</v>
      </c>
      <c r="AG536">
        <v>0.1</v>
      </c>
      <c r="AH536">
        <v>0.1</v>
      </c>
      <c r="AI536" t="str">
        <f t="shared" si="155"/>
        <v>Valid</v>
      </c>
      <c r="AJ536">
        <v>14268.2</v>
      </c>
      <c r="AK536">
        <f t="shared" si="156"/>
        <v>14268.204</v>
      </c>
      <c r="AL536">
        <v>11705.3</v>
      </c>
      <c r="AM536">
        <v>2562.9</v>
      </c>
      <c r="AN536">
        <f t="shared" si="157"/>
        <v>2562.9040000000005</v>
      </c>
      <c r="AO536">
        <f t="shared" si="158"/>
        <v>-11705.3</v>
      </c>
      <c r="AP536" t="s">
        <v>137</v>
      </c>
      <c r="AQ536" t="str">
        <f t="shared" si="159"/>
        <v>Pending</v>
      </c>
      <c r="AR536" t="s">
        <v>125</v>
      </c>
      <c r="AS536" t="str">
        <f t="shared" si="160"/>
        <v>Returned</v>
      </c>
      <c r="AT536" t="str">
        <f t="shared" si="161"/>
        <v>Clean</v>
      </c>
    </row>
    <row r="537" spans="1:46">
      <c r="A537" t="s">
        <v>2585</v>
      </c>
      <c r="B537">
        <f>COUNTIF($D$2:D537,D537)</f>
        <v>1</v>
      </c>
      <c r="C537" t="str">
        <f>IF(COUNTIF($A:$A,A537)=1,
"Unique",
IF(COUNTIFS($A:$A,A537,$N:$N,N537,$AF:$AF,AF537,$AJ:$AJ,AJ537)&gt;1,
"Exact Duplicate",
"Conflicting Duplicate"))</f>
        <v>Unique</v>
      </c>
      <c r="D537" t="s">
        <v>2586</v>
      </c>
      <c r="E537" t="s">
        <v>2587</v>
      </c>
      <c r="F537" s="3">
        <v>45431</v>
      </c>
      <c r="G537" s="2">
        <v>45433</v>
      </c>
      <c r="H537" s="5" t="str">
        <f t="shared" si="144"/>
        <v>May</v>
      </c>
      <c r="I537" s="5">
        <f t="shared" si="145"/>
        <v>2024</v>
      </c>
      <c r="J537" t="str">
        <f>IF(F537="","Missing Date",
IF(ISNUMBER(F537),"Valid","Invalid Date"))</f>
        <v>Valid</v>
      </c>
      <c r="K537" t="str">
        <f t="shared" si="146"/>
        <v>Valid</v>
      </c>
      <c r="L537">
        <f>G537-F537</f>
        <v>2</v>
      </c>
      <c r="M537" t="s">
        <v>2588</v>
      </c>
      <c r="N537" t="s">
        <v>210</v>
      </c>
      <c r="O537" t="str">
        <f t="shared" si="147"/>
        <v>Diya Patel</v>
      </c>
      <c r="P537" t="s">
        <v>41</v>
      </c>
      <c r="Q537" t="str">
        <f t="shared" si="148"/>
        <v>Small Business</v>
      </c>
      <c r="R537" t="s">
        <v>73</v>
      </c>
      <c r="S537" t="str">
        <f t="shared" si="149"/>
        <v>West</v>
      </c>
      <c r="T537" t="s">
        <v>74</v>
      </c>
      <c r="U537" t="str">
        <f t="shared" si="150"/>
        <v>Maharashtra</v>
      </c>
      <c r="V537" t="s">
        <v>75</v>
      </c>
      <c r="W537" t="str">
        <f t="shared" si="151"/>
        <v>Mumbai</v>
      </c>
      <c r="X537" t="s">
        <v>86</v>
      </c>
      <c r="Y537" t="str">
        <f t="shared" si="152"/>
        <v>Technology</v>
      </c>
      <c r="Z537" t="s">
        <v>94</v>
      </c>
      <c r="AA537" t="str">
        <f t="shared" si="153"/>
        <v>Copiers</v>
      </c>
      <c r="AB537" t="s">
        <v>2589</v>
      </c>
      <c r="AC537" t="s">
        <v>56</v>
      </c>
      <c r="AD537" t="str">
        <f t="shared" si="154"/>
        <v>First Class</v>
      </c>
      <c r="AE537">
        <v>3</v>
      </c>
      <c r="AF537">
        <v>4000.98</v>
      </c>
      <c r="AG537">
        <v>0.2</v>
      </c>
      <c r="AH537">
        <v>0.2</v>
      </c>
      <c r="AI537" t="str">
        <f t="shared" si="155"/>
        <v>Valid</v>
      </c>
      <c r="AJ537">
        <v>9602.35</v>
      </c>
      <c r="AK537">
        <f t="shared" si="156"/>
        <v>9602.3520000000008</v>
      </c>
      <c r="AL537">
        <v>7387.57</v>
      </c>
      <c r="AM537">
        <v>2214.7800000000002</v>
      </c>
      <c r="AN537">
        <f t="shared" si="157"/>
        <v>2214.7820000000011</v>
      </c>
      <c r="AO537">
        <f t="shared" si="158"/>
        <v>-7387.57</v>
      </c>
      <c r="AP537" t="s">
        <v>34</v>
      </c>
      <c r="AQ537" t="str">
        <f t="shared" si="159"/>
        <v>Paid</v>
      </c>
      <c r="AR537" t="s">
        <v>35</v>
      </c>
      <c r="AS537" t="str">
        <f t="shared" si="160"/>
        <v>Completed</v>
      </c>
      <c r="AT537" t="str">
        <f t="shared" si="161"/>
        <v>Clean</v>
      </c>
    </row>
    <row r="538" spans="1:46">
      <c r="A538" t="s">
        <v>2590</v>
      </c>
      <c r="B538">
        <f>COUNTIF($D$2:D538,D538)</f>
        <v>2</v>
      </c>
      <c r="C538" t="str">
        <f>IF(COUNTIF($A:$A,A538)=1,
"Unique",
IF(COUNTIFS($A:$A,A538,$N:$N,N538,$AF:$AF,AF538,$AJ:$AJ,AJ538)&gt;1,
"Exact Duplicate",
"Conflicting Duplicate"))</f>
        <v>Unique</v>
      </c>
      <c r="D538" t="s">
        <v>2591</v>
      </c>
      <c r="E538" t="s">
        <v>2592</v>
      </c>
      <c r="F538" s="3">
        <v>45934</v>
      </c>
      <c r="G538" s="3">
        <v>45764</v>
      </c>
      <c r="H538" s="5" t="str">
        <f t="shared" si="144"/>
        <v>October</v>
      </c>
      <c r="I538" s="5">
        <f t="shared" si="145"/>
        <v>2025</v>
      </c>
      <c r="J538" t="str">
        <f>IF(F538="","Missing Date",
IF(ISNUMBER(F538),"Valid","Invalid Date"))</f>
        <v>Valid</v>
      </c>
      <c r="K538" t="str">
        <f t="shared" si="146"/>
        <v>Valid</v>
      </c>
      <c r="L538">
        <f>G538-F538</f>
        <v>-170</v>
      </c>
      <c r="M538" t="s">
        <v>2593</v>
      </c>
      <c r="N538" t="s">
        <v>72</v>
      </c>
      <c r="O538" t="str">
        <f t="shared" si="147"/>
        <v>Ananya Rao</v>
      </c>
      <c r="P538" t="s">
        <v>41</v>
      </c>
      <c r="Q538" t="str">
        <f t="shared" si="148"/>
        <v>Small Business</v>
      </c>
      <c r="R538" t="s">
        <v>73</v>
      </c>
      <c r="S538" t="str">
        <f t="shared" si="149"/>
        <v>West</v>
      </c>
      <c r="T538" t="s">
        <v>28</v>
      </c>
      <c r="U538" t="str">
        <f t="shared" si="150"/>
        <v>Rajasthan</v>
      </c>
      <c r="V538" t="s">
        <v>135</v>
      </c>
      <c r="W538" t="str">
        <f t="shared" si="151"/>
        <v>Udaipur</v>
      </c>
      <c r="X538" t="s">
        <v>45</v>
      </c>
      <c r="Y538" t="str">
        <f t="shared" si="152"/>
        <v>Furniture</v>
      </c>
      <c r="Z538" t="s">
        <v>76</v>
      </c>
      <c r="AA538" t="str">
        <f t="shared" si="153"/>
        <v>Chairs</v>
      </c>
      <c r="AB538" t="s">
        <v>2594</v>
      </c>
      <c r="AC538" t="s">
        <v>56</v>
      </c>
      <c r="AD538" t="str">
        <f t="shared" si="154"/>
        <v>First Class</v>
      </c>
      <c r="AE538">
        <v>7</v>
      </c>
      <c r="AF538">
        <v>3788.9</v>
      </c>
      <c r="AG538">
        <v>0.25</v>
      </c>
      <c r="AH538">
        <v>0.25</v>
      </c>
      <c r="AI538" t="str">
        <f t="shared" si="155"/>
        <v>Valid</v>
      </c>
      <c r="AJ538">
        <v>19891.72</v>
      </c>
      <c r="AK538">
        <f t="shared" si="156"/>
        <v>19891.724999999999</v>
      </c>
      <c r="AL538">
        <v>12295.76</v>
      </c>
      <c r="AM538">
        <v>7595.96</v>
      </c>
      <c r="AN538">
        <f t="shared" si="157"/>
        <v>7595.9649999999983</v>
      </c>
      <c r="AO538">
        <f t="shared" si="158"/>
        <v>-12295.76</v>
      </c>
      <c r="AP538" t="s">
        <v>200</v>
      </c>
      <c r="AQ538" t="str">
        <f t="shared" si="159"/>
        <v>Failed</v>
      </c>
      <c r="AR538" t="s">
        <v>78</v>
      </c>
      <c r="AS538" t="str">
        <f t="shared" si="160"/>
        <v>Cancelled</v>
      </c>
      <c r="AT538" t="str">
        <f t="shared" si="161"/>
        <v>Clean</v>
      </c>
    </row>
    <row r="539" spans="1:46">
      <c r="A539" t="s">
        <v>2595</v>
      </c>
      <c r="B539">
        <f>COUNTIF($D$2:D539,D539)</f>
        <v>5</v>
      </c>
      <c r="C539" t="str">
        <f>IF(COUNTIF($A:$A,A539)=1,
"Unique",
IF(COUNTIFS($A:$A,A539,$N:$N,N539,$AF:$AF,AF539,$AJ:$AJ,AJ539)&gt;1,
"Exact Duplicate",
"Conflicting Duplicate"))</f>
        <v>Unique</v>
      </c>
      <c r="D539" t="s">
        <v>2038</v>
      </c>
      <c r="E539" t="s">
        <v>2596</v>
      </c>
      <c r="F539" s="3">
        <v>45313</v>
      </c>
      <c r="G539" s="3">
        <v>45321</v>
      </c>
      <c r="H539" s="5" t="str">
        <f t="shared" si="144"/>
        <v>January</v>
      </c>
      <c r="I539" s="5">
        <f t="shared" si="145"/>
        <v>2024</v>
      </c>
      <c r="J539" t="str">
        <f>IF(F539="","Missing Date",
IF(ISNUMBER(F539),"Valid","Invalid Date"))</f>
        <v>Valid</v>
      </c>
      <c r="K539" t="str">
        <f t="shared" si="146"/>
        <v>Valid</v>
      </c>
      <c r="L539">
        <f>G539-F539</f>
        <v>8</v>
      </c>
      <c r="M539" t="s">
        <v>2597</v>
      </c>
      <c r="N539" t="s">
        <v>72</v>
      </c>
      <c r="O539" t="str">
        <f t="shared" si="147"/>
        <v>Ananya Rao</v>
      </c>
      <c r="P539" t="s">
        <v>41</v>
      </c>
      <c r="Q539" t="str">
        <f t="shared" si="148"/>
        <v>Small Business</v>
      </c>
      <c r="R539" t="s">
        <v>27</v>
      </c>
      <c r="S539" t="str">
        <f t="shared" si="149"/>
        <v>North</v>
      </c>
      <c r="T539" t="s">
        <v>323</v>
      </c>
      <c r="U539" t="str">
        <f t="shared" si="150"/>
        <v>Haryana</v>
      </c>
      <c r="V539" t="s">
        <v>324</v>
      </c>
      <c r="W539" t="str">
        <f t="shared" si="151"/>
        <v>Gurugram</v>
      </c>
      <c r="X539" t="s">
        <v>30</v>
      </c>
      <c r="Y539" t="str">
        <f t="shared" si="152"/>
        <v>Office Supplies</v>
      </c>
      <c r="Z539" t="s">
        <v>54</v>
      </c>
      <c r="AA539" t="str">
        <f t="shared" si="153"/>
        <v>Art</v>
      </c>
      <c r="AB539" t="s">
        <v>2598</v>
      </c>
      <c r="AC539" t="s">
        <v>48</v>
      </c>
      <c r="AD539" t="str">
        <f t="shared" si="154"/>
        <v>Same Day</v>
      </c>
      <c r="AE539">
        <v>3</v>
      </c>
      <c r="AF539">
        <v>676.37</v>
      </c>
      <c r="AG539">
        <v>0.05</v>
      </c>
      <c r="AH539">
        <v>0.05</v>
      </c>
      <c r="AI539" t="str">
        <f t="shared" si="155"/>
        <v>Valid</v>
      </c>
      <c r="AJ539">
        <v>1927.65</v>
      </c>
      <c r="AK539">
        <f t="shared" si="156"/>
        <v>1927.6545000000001</v>
      </c>
      <c r="AL539">
        <v>1460.6</v>
      </c>
      <c r="AM539">
        <v>467.05</v>
      </c>
      <c r="AN539">
        <f t="shared" si="157"/>
        <v>467.05450000000019</v>
      </c>
      <c r="AO539">
        <f t="shared" si="158"/>
        <v>-1460.6</v>
      </c>
      <c r="AP539" t="s">
        <v>200</v>
      </c>
      <c r="AQ539" t="str">
        <f t="shared" si="159"/>
        <v>Failed</v>
      </c>
      <c r="AR539" t="s">
        <v>78</v>
      </c>
      <c r="AS539" t="str">
        <f t="shared" si="160"/>
        <v>Cancelled</v>
      </c>
      <c r="AT539" t="str">
        <f t="shared" si="161"/>
        <v>Clean</v>
      </c>
    </row>
    <row r="540" spans="1:46">
      <c r="A540" t="s">
        <v>2599</v>
      </c>
      <c r="B540">
        <f>COUNTIF($D$2:D540,D540)</f>
        <v>2</v>
      </c>
      <c r="C540" t="str">
        <f>IF(COUNTIF($A:$A,A540)=1,
"Unique",
IF(COUNTIFS($A:$A,A540,$N:$N,N540,$AF:$AF,AF540,$AJ:$AJ,AJ540)&gt;1,
"Exact Duplicate",
"Conflicting Duplicate"))</f>
        <v>Unique</v>
      </c>
      <c r="D540" t="s">
        <v>2266</v>
      </c>
      <c r="E540" t="s">
        <v>2600</v>
      </c>
      <c r="F540" s="3">
        <v>45560</v>
      </c>
      <c r="G540" s="3">
        <v>45301</v>
      </c>
      <c r="H540" s="5" t="str">
        <f t="shared" si="144"/>
        <v>September</v>
      </c>
      <c r="I540" s="5">
        <f t="shared" si="145"/>
        <v>2024</v>
      </c>
      <c r="J540" t="str">
        <f>IF(F540="","Missing Date",
IF(ISNUMBER(F540),"Valid","Invalid Date"))</f>
        <v>Valid</v>
      </c>
      <c r="K540" t="str">
        <f t="shared" si="146"/>
        <v>Valid</v>
      </c>
      <c r="L540">
        <f>G540-F540</f>
        <v>-259</v>
      </c>
      <c r="M540" t="s">
        <v>2601</v>
      </c>
      <c r="N540" t="s">
        <v>210</v>
      </c>
      <c r="O540" t="str">
        <f t="shared" si="147"/>
        <v>Diya Patel</v>
      </c>
      <c r="P540" t="s">
        <v>41</v>
      </c>
      <c r="Q540" t="str">
        <f t="shared" si="148"/>
        <v>Small Business</v>
      </c>
      <c r="R540" t="s">
        <v>42</v>
      </c>
      <c r="S540" t="str">
        <f t="shared" si="149"/>
        <v>East</v>
      </c>
      <c r="T540" t="s">
        <v>311</v>
      </c>
      <c r="U540" t="str">
        <f t="shared" si="150"/>
        <v>Jharkhand</v>
      </c>
      <c r="V540" t="s">
        <v>312</v>
      </c>
      <c r="W540" t="str">
        <f t="shared" si="151"/>
        <v>Ranchi</v>
      </c>
      <c r="X540" t="s">
        <v>45</v>
      </c>
      <c r="Y540" t="str">
        <f t="shared" si="152"/>
        <v>Furniture</v>
      </c>
      <c r="Z540" t="s">
        <v>46</v>
      </c>
      <c r="AA540" t="str">
        <f t="shared" si="153"/>
        <v>Tables</v>
      </c>
      <c r="AB540" t="s">
        <v>2602</v>
      </c>
      <c r="AC540" t="s">
        <v>33</v>
      </c>
      <c r="AD540" t="str">
        <f t="shared" si="154"/>
        <v>Second Class</v>
      </c>
      <c r="AE540">
        <v>9</v>
      </c>
      <c r="AF540">
        <v>3908.6</v>
      </c>
      <c r="AG540">
        <v>0.15</v>
      </c>
      <c r="AH540">
        <v>0.15</v>
      </c>
      <c r="AI540" t="str">
        <f t="shared" si="155"/>
        <v>Valid</v>
      </c>
      <c r="AJ540">
        <v>29900.79</v>
      </c>
      <c r="AK540">
        <f t="shared" si="156"/>
        <v>29900.79</v>
      </c>
      <c r="AL540">
        <v>24650.67</v>
      </c>
      <c r="AM540">
        <v>5250.12</v>
      </c>
      <c r="AN540">
        <f t="shared" si="157"/>
        <v>5250.1200000000026</v>
      </c>
      <c r="AO540">
        <f t="shared" si="158"/>
        <v>-24650.67</v>
      </c>
      <c r="AP540" t="s">
        <v>34</v>
      </c>
      <c r="AQ540" t="str">
        <f t="shared" si="159"/>
        <v>Paid</v>
      </c>
      <c r="AR540" t="s">
        <v>35</v>
      </c>
      <c r="AS540" t="str">
        <f t="shared" si="160"/>
        <v>Completed</v>
      </c>
      <c r="AT540" t="str">
        <f t="shared" si="161"/>
        <v>Clean</v>
      </c>
    </row>
    <row r="541" spans="1:46">
      <c r="A541" t="s">
        <v>2603</v>
      </c>
      <c r="B541">
        <f>COUNTIF($D$2:D541,D541)</f>
        <v>1</v>
      </c>
      <c r="C541" t="str">
        <f>IF(COUNTIF($A:$A,A541)=1,
"Unique",
IF(COUNTIFS($A:$A,A541,$N:$N,N541,$AF:$AF,AF541,$AJ:$AJ,AJ541)&gt;1,
"Exact Duplicate",
"Conflicting Duplicate"))</f>
        <v>Unique</v>
      </c>
      <c r="D541" t="s">
        <v>1216</v>
      </c>
      <c r="E541" t="s">
        <v>2415</v>
      </c>
      <c r="F541" s="3">
        <v>45842</v>
      </c>
      <c r="G541" s="3">
        <v>45754</v>
      </c>
      <c r="H541" s="5" t="str">
        <f t="shared" si="144"/>
        <v>July</v>
      </c>
      <c r="I541" s="5">
        <f t="shared" si="145"/>
        <v>2025</v>
      </c>
      <c r="J541" t="str">
        <f>IF(F541="","Missing Date",
IF(ISNUMBER(F541),"Valid","Invalid Date"))</f>
        <v>Valid</v>
      </c>
      <c r="K541" t="str">
        <f t="shared" si="146"/>
        <v>Valid</v>
      </c>
      <c r="L541">
        <f>G541-F541</f>
        <v>-88</v>
      </c>
      <c r="M541" t="s">
        <v>2604</v>
      </c>
      <c r="N541" t="s">
        <v>2605</v>
      </c>
      <c r="O541" t="str">
        <f t="shared" si="147"/>
        <v>Mira Das</v>
      </c>
      <c r="P541" t="s">
        <v>41</v>
      </c>
      <c r="Q541" t="str">
        <f t="shared" si="148"/>
        <v>Small Business</v>
      </c>
      <c r="R541" t="s">
        <v>62</v>
      </c>
      <c r="S541" t="str">
        <f t="shared" si="149"/>
        <v>South</v>
      </c>
      <c r="T541" t="s">
        <v>339</v>
      </c>
      <c r="U541" t="str">
        <f t="shared" si="150"/>
        <v>Tamil Nadu</v>
      </c>
      <c r="V541" t="s">
        <v>340</v>
      </c>
      <c r="W541" t="str">
        <f t="shared" si="151"/>
        <v>Chennai</v>
      </c>
      <c r="X541" t="s">
        <v>45</v>
      </c>
      <c r="Y541" t="str">
        <f t="shared" si="152"/>
        <v>Furniture</v>
      </c>
      <c r="Z541" t="s">
        <v>76</v>
      </c>
      <c r="AA541" t="str">
        <f t="shared" si="153"/>
        <v>Chairs</v>
      </c>
      <c r="AB541" t="s">
        <v>2606</v>
      </c>
      <c r="AC541" t="s">
        <v>67</v>
      </c>
      <c r="AD541" t="str">
        <f t="shared" si="154"/>
        <v>Standard Class</v>
      </c>
      <c r="AE541">
        <v>3</v>
      </c>
      <c r="AF541">
        <v>705.35</v>
      </c>
      <c r="AG541">
        <v>0.1</v>
      </c>
      <c r="AH541">
        <v>0.1</v>
      </c>
      <c r="AI541" t="str">
        <f t="shared" si="155"/>
        <v>Valid</v>
      </c>
      <c r="AJ541">
        <v>1904.45</v>
      </c>
      <c r="AK541">
        <f t="shared" si="156"/>
        <v>1904.4450000000002</v>
      </c>
      <c r="AL541">
        <v>1316.54</v>
      </c>
      <c r="AM541">
        <v>587.91</v>
      </c>
      <c r="AN541">
        <f t="shared" si="157"/>
        <v>587.9050000000002</v>
      </c>
      <c r="AO541">
        <f t="shared" si="158"/>
        <v>-1316.54</v>
      </c>
      <c r="AP541" t="s">
        <v>34</v>
      </c>
      <c r="AQ541" t="str">
        <f t="shared" si="159"/>
        <v>Paid</v>
      </c>
      <c r="AR541" t="s">
        <v>78</v>
      </c>
      <c r="AS541" t="str">
        <f t="shared" si="160"/>
        <v>Cancelled</v>
      </c>
      <c r="AT541" t="str">
        <f t="shared" si="161"/>
        <v>Clean</v>
      </c>
    </row>
    <row r="542" spans="1:46">
      <c r="A542" t="s">
        <v>2607</v>
      </c>
      <c r="B542">
        <f>COUNTIF($D$2:D542,D542)</f>
        <v>1</v>
      </c>
      <c r="C542" t="str">
        <f>IF(COUNTIF($A:$A,A542)=1,
"Unique",
IF(COUNTIFS($A:$A,A542,$N:$N,N542,$AF:$AF,AF542,$AJ:$AJ,AJ542)&gt;1,
"Exact Duplicate",
"Conflicting Duplicate"))</f>
        <v>Unique</v>
      </c>
      <c r="D542" t="s">
        <v>2608</v>
      </c>
      <c r="E542" t="s">
        <v>2343</v>
      </c>
      <c r="F542" s="3">
        <v>45348</v>
      </c>
      <c r="G542" s="2">
        <v>45345</v>
      </c>
      <c r="H542" s="5" t="str">
        <f t="shared" si="144"/>
        <v>February</v>
      </c>
      <c r="I542" s="5">
        <f t="shared" si="145"/>
        <v>2024</v>
      </c>
      <c r="J542" t="str">
        <f>IF(F542="","Missing Date",
IF(ISNUMBER(F542),"Valid","Invalid Date"))</f>
        <v>Valid</v>
      </c>
      <c r="K542" t="str">
        <f t="shared" si="146"/>
        <v>Valid</v>
      </c>
      <c r="L542">
        <f>G542-F542</f>
        <v>-3</v>
      </c>
      <c r="M542" t="s">
        <v>2609</v>
      </c>
      <c r="N542" t="s">
        <v>366</v>
      </c>
      <c r="O542" t="str">
        <f t="shared" si="147"/>
        <v>Kabir Singh</v>
      </c>
      <c r="P542" t="s">
        <v>26</v>
      </c>
      <c r="Q542" t="str">
        <f t="shared" si="148"/>
        <v>Consumer</v>
      </c>
      <c r="R542" t="s">
        <v>73</v>
      </c>
      <c r="S542" t="str">
        <f t="shared" si="149"/>
        <v>West</v>
      </c>
      <c r="T542" t="s">
        <v>235</v>
      </c>
      <c r="U542" t="str">
        <f t="shared" si="150"/>
        <v>Gujarat</v>
      </c>
      <c r="V542" t="s">
        <v>236</v>
      </c>
      <c r="W542" t="str">
        <f t="shared" si="151"/>
        <v>Ahmedabad</v>
      </c>
      <c r="X542" t="s">
        <v>45</v>
      </c>
      <c r="Y542" t="str">
        <f t="shared" si="152"/>
        <v>Furniture</v>
      </c>
      <c r="Z542" t="s">
        <v>65</v>
      </c>
      <c r="AA542" t="str">
        <f t="shared" si="153"/>
        <v>Furnishings</v>
      </c>
      <c r="AB542" t="s">
        <v>2610</v>
      </c>
      <c r="AC542" t="s">
        <v>67</v>
      </c>
      <c r="AD542" t="str">
        <f t="shared" si="154"/>
        <v>Standard Class</v>
      </c>
      <c r="AE542">
        <v>7</v>
      </c>
      <c r="AF542">
        <v>3852.07</v>
      </c>
      <c r="AG542">
        <v>0.2</v>
      </c>
      <c r="AH542">
        <v>0.2</v>
      </c>
      <c r="AI542" t="str">
        <f t="shared" si="155"/>
        <v>Valid</v>
      </c>
      <c r="AJ542">
        <v>21571.59</v>
      </c>
      <c r="AK542">
        <f t="shared" si="156"/>
        <v>21571.592000000004</v>
      </c>
      <c r="AL542">
        <v>17118.07</v>
      </c>
      <c r="AM542">
        <v>4453.5200000000004</v>
      </c>
      <c r="AN542">
        <f t="shared" si="157"/>
        <v>4453.5220000000045</v>
      </c>
      <c r="AO542">
        <f t="shared" si="158"/>
        <v>-17118.07</v>
      </c>
      <c r="AP542" t="s">
        <v>34</v>
      </c>
      <c r="AQ542" t="str">
        <f t="shared" si="159"/>
        <v>Paid</v>
      </c>
      <c r="AR542" t="s">
        <v>35</v>
      </c>
      <c r="AS542" t="str">
        <f t="shared" si="160"/>
        <v>Completed</v>
      </c>
      <c r="AT542" t="str">
        <f t="shared" si="161"/>
        <v>Clean</v>
      </c>
    </row>
    <row r="543" spans="1:46">
      <c r="A543" t="s">
        <v>2611</v>
      </c>
      <c r="B543">
        <f>COUNTIF($D$2:D543,D543)</f>
        <v>1</v>
      </c>
      <c r="C543" t="str">
        <f>IF(COUNTIF($A:$A,A543)=1,
"Unique",
IF(COUNTIFS($A:$A,A543,$N:$N,N543,$AF:$AF,AF543,$AJ:$AJ,AJ543)&gt;1,
"Exact Duplicate",
"Conflicting Duplicate"))</f>
        <v>Unique</v>
      </c>
      <c r="D543" t="s">
        <v>2612</v>
      </c>
      <c r="E543" t="s">
        <v>2613</v>
      </c>
      <c r="F543" s="3">
        <v>45876</v>
      </c>
      <c r="G543" s="3">
        <v>45907</v>
      </c>
      <c r="H543" s="5" t="str">
        <f t="shared" si="144"/>
        <v>August</v>
      </c>
      <c r="I543" s="5">
        <f t="shared" si="145"/>
        <v>2025</v>
      </c>
      <c r="J543" t="str">
        <f>IF(F543="","Missing Date",
IF(ISNUMBER(F543),"Valid","Invalid Date"))</f>
        <v>Valid</v>
      </c>
      <c r="K543" t="str">
        <f t="shared" si="146"/>
        <v>Valid</v>
      </c>
      <c r="L543">
        <f>G543-F543</f>
        <v>31</v>
      </c>
      <c r="M543" t="s">
        <v>2614</v>
      </c>
      <c r="N543" t="s">
        <v>168</v>
      </c>
      <c r="O543" t="str">
        <f t="shared" si="147"/>
        <v>Sneha Kapoor</v>
      </c>
      <c r="P543" t="s">
        <v>26</v>
      </c>
      <c r="Q543" t="str">
        <f t="shared" si="148"/>
        <v>Consumer</v>
      </c>
      <c r="R543" t="s">
        <v>73</v>
      </c>
      <c r="S543" t="str">
        <f t="shared" si="149"/>
        <v>West</v>
      </c>
      <c r="T543" t="s">
        <v>74</v>
      </c>
      <c r="U543" t="str">
        <f t="shared" si="150"/>
        <v>Maharashtra</v>
      </c>
      <c r="V543" t="s">
        <v>75</v>
      </c>
      <c r="W543" t="str">
        <f t="shared" si="151"/>
        <v>Mumbai</v>
      </c>
      <c r="X543" t="s">
        <v>86</v>
      </c>
      <c r="Y543" t="str">
        <f t="shared" si="152"/>
        <v>Technology</v>
      </c>
      <c r="Z543" t="s">
        <v>94</v>
      </c>
      <c r="AA543" t="str">
        <f t="shared" si="153"/>
        <v>Copiers</v>
      </c>
      <c r="AB543" t="s">
        <v>2615</v>
      </c>
      <c r="AC543" t="s">
        <v>48</v>
      </c>
      <c r="AD543" t="str">
        <f t="shared" si="154"/>
        <v>Same Day</v>
      </c>
      <c r="AE543">
        <v>3</v>
      </c>
      <c r="AF543">
        <v>2880.56</v>
      </c>
      <c r="AG543">
        <v>0</v>
      </c>
      <c r="AH543">
        <v>0</v>
      </c>
      <c r="AI543" t="str">
        <f t="shared" si="155"/>
        <v>Valid</v>
      </c>
      <c r="AJ543">
        <v>8641.68</v>
      </c>
      <c r="AK543">
        <f t="shared" si="156"/>
        <v>8641.68</v>
      </c>
      <c r="AL543">
        <v>5747.09</v>
      </c>
      <c r="AM543">
        <v>2894.59</v>
      </c>
      <c r="AN543">
        <f t="shared" si="157"/>
        <v>2894.59</v>
      </c>
      <c r="AO543">
        <f t="shared" si="158"/>
        <v>-5747.09</v>
      </c>
      <c r="AP543" t="s">
        <v>34</v>
      </c>
      <c r="AQ543" t="str">
        <f t="shared" si="159"/>
        <v>Paid</v>
      </c>
      <c r="AR543" t="s">
        <v>125</v>
      </c>
      <c r="AS543" t="str">
        <f t="shared" si="160"/>
        <v>Returned</v>
      </c>
      <c r="AT543" t="str">
        <f t="shared" si="161"/>
        <v>Clean</v>
      </c>
    </row>
    <row r="544" spans="1:46">
      <c r="A544" t="s">
        <v>2616</v>
      </c>
      <c r="B544">
        <f>COUNTIF($D$2:D544,D544)</f>
        <v>1</v>
      </c>
      <c r="C544" t="str">
        <f>IF(COUNTIF($A:$A,A544)=1,
"Unique",
IF(COUNTIFS($A:$A,A544,$N:$N,N544,$AF:$AF,AF544,$AJ:$AJ,AJ544)&gt;1,
"Exact Duplicate",
"Conflicting Duplicate"))</f>
        <v>Unique</v>
      </c>
      <c r="D544" t="s">
        <v>2617</v>
      </c>
      <c r="E544" t="s">
        <v>2618</v>
      </c>
      <c r="F544" s="3">
        <v>45552</v>
      </c>
      <c r="G544" s="3">
        <v>45558</v>
      </c>
      <c r="H544" s="5" t="str">
        <f t="shared" si="144"/>
        <v>September</v>
      </c>
      <c r="I544" s="5">
        <f t="shared" si="145"/>
        <v>2024</v>
      </c>
      <c r="J544" t="str">
        <f>IF(F544="","Missing Date",
IF(ISNUMBER(F544),"Valid","Invalid Date"))</f>
        <v>Valid</v>
      </c>
      <c r="K544" t="str">
        <f t="shared" si="146"/>
        <v>Valid</v>
      </c>
      <c r="L544">
        <f>G544-F544</f>
        <v>6</v>
      </c>
      <c r="M544" t="s">
        <v>2619</v>
      </c>
      <c r="N544" t="s">
        <v>148</v>
      </c>
      <c r="O544" t="str">
        <f t="shared" si="147"/>
        <v>Rahul Verma</v>
      </c>
      <c r="P544" t="s">
        <v>115</v>
      </c>
      <c r="Q544" t="str">
        <f t="shared" si="148"/>
        <v>Home Office</v>
      </c>
      <c r="R544" t="s">
        <v>62</v>
      </c>
      <c r="S544" t="str">
        <f t="shared" si="149"/>
        <v>South</v>
      </c>
      <c r="T544" t="s">
        <v>242</v>
      </c>
      <c r="U544" t="str">
        <f t="shared" si="150"/>
        <v>Kerala</v>
      </c>
      <c r="V544" t="s">
        <v>243</v>
      </c>
      <c r="W544" t="str">
        <f t="shared" si="151"/>
        <v>Kochi</v>
      </c>
      <c r="X544" t="s">
        <v>45</v>
      </c>
      <c r="Y544" t="str">
        <f t="shared" si="152"/>
        <v>Furniture</v>
      </c>
      <c r="Z544" t="s">
        <v>204</v>
      </c>
      <c r="AA544" t="str">
        <f t="shared" si="153"/>
        <v>Bookcases</v>
      </c>
      <c r="AB544" t="s">
        <v>2620</v>
      </c>
      <c r="AC544" t="s">
        <v>33</v>
      </c>
      <c r="AD544" t="str">
        <f t="shared" si="154"/>
        <v>Second Class</v>
      </c>
      <c r="AE544">
        <v>3</v>
      </c>
      <c r="AF544">
        <v>4067.62</v>
      </c>
      <c r="AG544">
        <v>0.2</v>
      </c>
      <c r="AH544">
        <v>0.2</v>
      </c>
      <c r="AI544" t="str">
        <f t="shared" si="155"/>
        <v>Valid</v>
      </c>
      <c r="AJ544">
        <v>9988.5300000000007</v>
      </c>
      <c r="AK544">
        <f t="shared" si="156"/>
        <v>9762.2880000000005</v>
      </c>
      <c r="AL544">
        <v>8368.24</v>
      </c>
      <c r="AM544">
        <v>1394.05</v>
      </c>
      <c r="AN544">
        <f t="shared" si="157"/>
        <v>1394.0480000000007</v>
      </c>
      <c r="AO544">
        <f t="shared" si="158"/>
        <v>-8368.24</v>
      </c>
      <c r="AP544" t="s">
        <v>34</v>
      </c>
      <c r="AQ544" t="str">
        <f t="shared" si="159"/>
        <v>Paid</v>
      </c>
      <c r="AR544" t="s">
        <v>2621</v>
      </c>
      <c r="AS544" t="str">
        <f t="shared" si="160"/>
        <v>Cancelled</v>
      </c>
      <c r="AT544" t="str">
        <f t="shared" si="161"/>
        <v>Clean</v>
      </c>
    </row>
    <row r="545" spans="1:46">
      <c r="A545" t="s">
        <v>2622</v>
      </c>
      <c r="B545">
        <f>COUNTIF($D$2:D545,D545)</f>
        <v>1</v>
      </c>
      <c r="C545" t="str">
        <f>IF(COUNTIF($A:$A,A545)=1,
"Unique",
IF(COUNTIFS($A:$A,A545,$N:$N,N545,$AF:$AF,AF545,$AJ:$AJ,AJ545)&gt;1,
"Exact Duplicate",
"Conflicting Duplicate"))</f>
        <v>Unique</v>
      </c>
      <c r="D545" t="s">
        <v>2623</v>
      </c>
      <c r="E545" t="s">
        <v>400</v>
      </c>
      <c r="F545" s="3">
        <v>45487</v>
      </c>
      <c r="G545" s="3">
        <v>45493</v>
      </c>
      <c r="H545" s="5" t="str">
        <f t="shared" si="144"/>
        <v>July</v>
      </c>
      <c r="I545" s="5">
        <f t="shared" si="145"/>
        <v>2024</v>
      </c>
      <c r="J545" t="str">
        <f>IF(F545="","Missing Date",
IF(ISNUMBER(F545),"Valid","Invalid Date"))</f>
        <v>Valid</v>
      </c>
      <c r="K545" t="str">
        <f t="shared" si="146"/>
        <v>Valid</v>
      </c>
      <c r="L545">
        <f>G545-F545</f>
        <v>6</v>
      </c>
      <c r="M545" t="s">
        <v>2624</v>
      </c>
      <c r="N545" t="s">
        <v>40</v>
      </c>
      <c r="O545" t="str">
        <f t="shared" si="147"/>
        <v>Mira Das</v>
      </c>
      <c r="P545" t="s">
        <v>26</v>
      </c>
      <c r="Q545" t="str">
        <f t="shared" si="148"/>
        <v>Consumer</v>
      </c>
      <c r="R545" t="s">
        <v>42</v>
      </c>
      <c r="S545" t="str">
        <f t="shared" si="149"/>
        <v>East</v>
      </c>
      <c r="T545" t="s">
        <v>186</v>
      </c>
      <c r="U545" t="str">
        <f t="shared" si="150"/>
        <v>Bihar</v>
      </c>
      <c r="V545" t="s">
        <v>187</v>
      </c>
      <c r="W545" t="str">
        <f t="shared" si="151"/>
        <v>Patna</v>
      </c>
      <c r="X545" t="s">
        <v>86</v>
      </c>
      <c r="Y545" t="str">
        <f t="shared" si="152"/>
        <v>Technology</v>
      </c>
      <c r="Z545" t="s">
        <v>94</v>
      </c>
      <c r="AA545" t="str">
        <f t="shared" si="153"/>
        <v>Copiers</v>
      </c>
      <c r="AB545" t="s">
        <v>2625</v>
      </c>
      <c r="AC545" t="s">
        <v>48</v>
      </c>
      <c r="AD545" t="str">
        <f t="shared" si="154"/>
        <v>Same Day</v>
      </c>
      <c r="AE545">
        <v>1</v>
      </c>
      <c r="AF545">
        <v>492.67</v>
      </c>
      <c r="AG545">
        <v>0.15</v>
      </c>
      <c r="AH545">
        <v>0.15</v>
      </c>
      <c r="AI545" t="str">
        <f t="shared" si="155"/>
        <v>Valid</v>
      </c>
      <c r="AJ545">
        <v>418.77</v>
      </c>
      <c r="AK545">
        <f t="shared" si="156"/>
        <v>418.76949999999999</v>
      </c>
      <c r="AL545">
        <v>313.72000000000003</v>
      </c>
      <c r="AM545">
        <v>105.05</v>
      </c>
      <c r="AN545">
        <f t="shared" si="157"/>
        <v>105.04949999999997</v>
      </c>
      <c r="AO545">
        <f t="shared" si="158"/>
        <v>-313.72000000000003</v>
      </c>
      <c r="AP545" t="s">
        <v>34</v>
      </c>
      <c r="AQ545" t="str">
        <f t="shared" si="159"/>
        <v>Paid</v>
      </c>
      <c r="AR545" t="s">
        <v>35</v>
      </c>
      <c r="AS545" t="str">
        <f t="shared" si="160"/>
        <v>Completed</v>
      </c>
      <c r="AT545" t="str">
        <f t="shared" si="161"/>
        <v>Clean</v>
      </c>
    </row>
    <row r="546" spans="1:46">
      <c r="A546" t="s">
        <v>2626</v>
      </c>
      <c r="B546">
        <f>COUNTIF($D$2:D546,D546)</f>
        <v>1</v>
      </c>
      <c r="C546" t="str">
        <f>IF(COUNTIF($A:$A,A546)=1,
"Unique",
IF(COUNTIFS($A:$A,A546,$N:$N,N546,$AF:$AF,AF546,$AJ:$AJ,AJ546)&gt;1,
"Exact Duplicate",
"Conflicting Duplicate"))</f>
        <v>Unique</v>
      </c>
      <c r="D546" t="s">
        <v>2627</v>
      </c>
      <c r="E546" t="s">
        <v>2060</v>
      </c>
      <c r="F546" s="3">
        <v>45686</v>
      </c>
      <c r="G546" s="3">
        <v>45693</v>
      </c>
      <c r="H546" s="5" t="str">
        <f t="shared" si="144"/>
        <v>January</v>
      </c>
      <c r="I546" s="5">
        <f t="shared" si="145"/>
        <v>2025</v>
      </c>
      <c r="J546" t="str">
        <f>IF(F546="","Missing Date",
IF(ISNUMBER(F546),"Valid","Invalid Date"))</f>
        <v>Valid</v>
      </c>
      <c r="K546" t="str">
        <f t="shared" si="146"/>
        <v>Valid</v>
      </c>
      <c r="L546">
        <f>G546-F546</f>
        <v>7</v>
      </c>
      <c r="M546" t="s">
        <v>2628</v>
      </c>
      <c r="N546" t="s">
        <v>72</v>
      </c>
      <c r="O546" t="str">
        <f t="shared" si="147"/>
        <v>Ananya Rao</v>
      </c>
      <c r="P546" t="s">
        <v>26</v>
      </c>
      <c r="Q546" t="str">
        <f t="shared" si="148"/>
        <v>Consumer</v>
      </c>
      <c r="R546" t="s">
        <v>62</v>
      </c>
      <c r="S546" t="str">
        <f t="shared" si="149"/>
        <v>South</v>
      </c>
      <c r="T546" t="s">
        <v>242</v>
      </c>
      <c r="U546" t="str">
        <f t="shared" si="150"/>
        <v>Kerala</v>
      </c>
      <c r="V546" t="s">
        <v>243</v>
      </c>
      <c r="W546" t="str">
        <f t="shared" si="151"/>
        <v>Kochi</v>
      </c>
      <c r="X546" t="s">
        <v>30</v>
      </c>
      <c r="Y546" t="str">
        <f t="shared" si="152"/>
        <v>Office Supplies</v>
      </c>
      <c r="Z546" t="s">
        <v>54</v>
      </c>
      <c r="AA546" t="str">
        <f t="shared" si="153"/>
        <v>Art</v>
      </c>
      <c r="AB546" t="s">
        <v>2629</v>
      </c>
      <c r="AC546" t="s">
        <v>48</v>
      </c>
      <c r="AD546" t="str">
        <f t="shared" si="154"/>
        <v>Same Day</v>
      </c>
      <c r="AE546">
        <v>8</v>
      </c>
      <c r="AF546">
        <v>3643.62</v>
      </c>
      <c r="AG546">
        <v>0.25</v>
      </c>
      <c r="AH546">
        <v>0.25</v>
      </c>
      <c r="AI546" t="str">
        <f t="shared" si="155"/>
        <v>Valid</v>
      </c>
      <c r="AJ546">
        <v>21861.72</v>
      </c>
      <c r="AK546">
        <f t="shared" si="156"/>
        <v>21861.72</v>
      </c>
      <c r="AL546">
        <v>18464.34</v>
      </c>
      <c r="AM546">
        <v>3397.38</v>
      </c>
      <c r="AN546">
        <f t="shared" si="157"/>
        <v>3397.380000000001</v>
      </c>
      <c r="AO546">
        <f t="shared" si="158"/>
        <v>-18464.34</v>
      </c>
      <c r="AP546" t="s">
        <v>34</v>
      </c>
      <c r="AQ546" t="str">
        <f t="shared" si="159"/>
        <v>Paid</v>
      </c>
      <c r="AR546" t="s">
        <v>78</v>
      </c>
      <c r="AS546" t="str">
        <f t="shared" si="160"/>
        <v>Cancelled</v>
      </c>
      <c r="AT546" t="str">
        <f t="shared" si="161"/>
        <v>Clean</v>
      </c>
    </row>
    <row r="547" spans="1:46">
      <c r="A547" t="s">
        <v>2630</v>
      </c>
      <c r="B547">
        <f>COUNTIF($D$2:D547,D547)</f>
        <v>1</v>
      </c>
      <c r="C547" t="str">
        <f>IF(COUNTIF($A:$A,A547)=1,
"Unique",
IF(COUNTIFS($A:$A,A547,$N:$N,N547,$AF:$AF,AF547,$AJ:$AJ,AJ547)&gt;1,
"Exact Duplicate",
"Conflicting Duplicate"))</f>
        <v>Unique</v>
      </c>
      <c r="D547" t="s">
        <v>2631</v>
      </c>
      <c r="E547" t="s">
        <v>2632</v>
      </c>
      <c r="F547" s="3">
        <v>45439</v>
      </c>
      <c r="G547" s="2">
        <v>45442</v>
      </c>
      <c r="H547" s="5" t="str">
        <f t="shared" si="144"/>
        <v>May</v>
      </c>
      <c r="I547" s="5">
        <f t="shared" si="145"/>
        <v>2024</v>
      </c>
      <c r="J547" t="str">
        <f>IF(F547="","Missing Date",
IF(ISNUMBER(F547),"Valid","Invalid Date"))</f>
        <v>Valid</v>
      </c>
      <c r="K547" t="str">
        <f t="shared" si="146"/>
        <v>Valid</v>
      </c>
      <c r="L547">
        <f>G547-F547</f>
        <v>3</v>
      </c>
      <c r="M547" t="s">
        <v>2633</v>
      </c>
      <c r="N547" t="s">
        <v>366</v>
      </c>
      <c r="O547" t="str">
        <f t="shared" si="147"/>
        <v>Kabir Singh</v>
      </c>
      <c r="P547" t="s">
        <v>41</v>
      </c>
      <c r="Q547" t="str">
        <f t="shared" si="148"/>
        <v>Small Business</v>
      </c>
      <c r="R547" t="s">
        <v>42</v>
      </c>
      <c r="S547" t="str">
        <f t="shared" si="149"/>
        <v>East</v>
      </c>
      <c r="T547" t="s">
        <v>311</v>
      </c>
      <c r="U547" t="str">
        <f t="shared" si="150"/>
        <v>Jharkhand</v>
      </c>
      <c r="V547" t="s">
        <v>312</v>
      </c>
      <c r="W547" t="str">
        <f t="shared" si="151"/>
        <v>Ranchi</v>
      </c>
      <c r="X547" t="s">
        <v>30</v>
      </c>
      <c r="Y547" t="str">
        <f t="shared" si="152"/>
        <v>Office Supplies</v>
      </c>
      <c r="Z547" t="s">
        <v>156</v>
      </c>
      <c r="AA547" t="str">
        <f t="shared" si="153"/>
        <v>Storage</v>
      </c>
      <c r="AB547" t="s">
        <v>2634</v>
      </c>
      <c r="AC547" t="s">
        <v>48</v>
      </c>
      <c r="AD547" t="str">
        <f t="shared" si="154"/>
        <v>Same Day</v>
      </c>
      <c r="AE547">
        <v>7</v>
      </c>
      <c r="AF547">
        <v>2900.86</v>
      </c>
      <c r="AG547">
        <v>0.15</v>
      </c>
      <c r="AH547">
        <v>0.15</v>
      </c>
      <c r="AI547" t="str">
        <f t="shared" si="155"/>
        <v>Valid</v>
      </c>
      <c r="AJ547">
        <v>17260.12</v>
      </c>
      <c r="AK547">
        <f t="shared" si="156"/>
        <v>17260.116999999998</v>
      </c>
      <c r="AL547">
        <v>13513.51</v>
      </c>
      <c r="AM547">
        <v>3746.61</v>
      </c>
      <c r="AN547">
        <f t="shared" si="157"/>
        <v>3746.6069999999982</v>
      </c>
      <c r="AO547">
        <f t="shared" si="158"/>
        <v>-13513.51</v>
      </c>
      <c r="AP547" t="s">
        <v>34</v>
      </c>
      <c r="AQ547" t="str">
        <f t="shared" si="159"/>
        <v>Paid</v>
      </c>
      <c r="AR547" t="s">
        <v>35</v>
      </c>
      <c r="AS547" t="str">
        <f t="shared" si="160"/>
        <v>Completed</v>
      </c>
      <c r="AT547" t="str">
        <f t="shared" si="161"/>
        <v>Clean</v>
      </c>
    </row>
    <row r="548" spans="1:46">
      <c r="A548" t="s">
        <v>2635</v>
      </c>
      <c r="B548">
        <f>COUNTIF($D$2:D548,D548)</f>
        <v>1</v>
      </c>
      <c r="C548" t="str">
        <f>IF(COUNTIF($A:$A,A548)=1,
"Unique",
IF(COUNTIFS($A:$A,A548,$N:$N,N548,$AF:$AF,AF548,$AJ:$AJ,AJ548)&gt;1,
"Exact Duplicate",
"Conflicting Duplicate"))</f>
        <v>Unique</v>
      </c>
      <c r="D548" t="s">
        <v>2636</v>
      </c>
      <c r="E548" t="s">
        <v>1491</v>
      </c>
      <c r="F548" s="3">
        <v>45883</v>
      </c>
      <c r="G548" s="2">
        <v>45891</v>
      </c>
      <c r="H548" s="5" t="str">
        <f t="shared" si="144"/>
        <v>August</v>
      </c>
      <c r="I548" s="5">
        <f t="shared" si="145"/>
        <v>2025</v>
      </c>
      <c r="J548" t="str">
        <f>IF(F548="","Missing Date",
IF(ISNUMBER(F548),"Valid","Invalid Date"))</f>
        <v>Valid</v>
      </c>
      <c r="K548" t="str">
        <f t="shared" si="146"/>
        <v>Valid</v>
      </c>
      <c r="L548">
        <f>G548-F548</f>
        <v>8</v>
      </c>
      <c r="M548" t="s">
        <v>2637</v>
      </c>
      <c r="N548" t="s">
        <v>61</v>
      </c>
      <c r="O548" t="str">
        <f t="shared" si="147"/>
        <v>Arjun Bose</v>
      </c>
      <c r="P548" t="s">
        <v>108</v>
      </c>
      <c r="Q548" t="str">
        <f t="shared" si="148"/>
        <v>Corporate</v>
      </c>
      <c r="R548" t="s">
        <v>73</v>
      </c>
      <c r="S548" t="str">
        <f t="shared" si="149"/>
        <v>West</v>
      </c>
      <c r="T548" t="s">
        <v>235</v>
      </c>
      <c r="U548" t="str">
        <f t="shared" si="150"/>
        <v>Gujarat</v>
      </c>
      <c r="V548" t="s">
        <v>236</v>
      </c>
      <c r="W548" t="str">
        <f t="shared" si="151"/>
        <v>Ahmedabad</v>
      </c>
      <c r="X548" t="s">
        <v>2638</v>
      </c>
      <c r="Y548" t="str">
        <f t="shared" si="152"/>
        <v>Office Supplies</v>
      </c>
      <c r="Z548" t="s">
        <v>31</v>
      </c>
      <c r="AA548" t="str">
        <f t="shared" si="153"/>
        <v>Paper</v>
      </c>
      <c r="AB548" t="s">
        <v>2639</v>
      </c>
      <c r="AC548" t="s">
        <v>56</v>
      </c>
      <c r="AD548" t="str">
        <f t="shared" si="154"/>
        <v>First Class</v>
      </c>
      <c r="AE548">
        <v>5</v>
      </c>
      <c r="AF548">
        <v>2567.37</v>
      </c>
      <c r="AG548">
        <v>0.15</v>
      </c>
      <c r="AH548">
        <v>0.15</v>
      </c>
      <c r="AI548" t="str">
        <f t="shared" si="155"/>
        <v>Valid</v>
      </c>
      <c r="AJ548">
        <v>10911.32</v>
      </c>
      <c r="AK548">
        <f t="shared" si="156"/>
        <v>10911.322499999998</v>
      </c>
      <c r="AL548">
        <v>6966.44</v>
      </c>
      <c r="AM548">
        <v>4395.17</v>
      </c>
      <c r="AN548">
        <f t="shared" si="157"/>
        <v>3944.8824999999988</v>
      </c>
      <c r="AO548">
        <f t="shared" si="158"/>
        <v>-6966.44</v>
      </c>
      <c r="AP548" t="s">
        <v>34</v>
      </c>
      <c r="AQ548" t="str">
        <f t="shared" si="159"/>
        <v>Paid</v>
      </c>
      <c r="AR548" t="s">
        <v>35</v>
      </c>
      <c r="AS548" t="str">
        <f t="shared" si="160"/>
        <v>Completed</v>
      </c>
      <c r="AT548" t="str">
        <f t="shared" si="161"/>
        <v>Clean</v>
      </c>
    </row>
    <row r="549" spans="1:46">
      <c r="A549" t="s">
        <v>2640</v>
      </c>
      <c r="B549">
        <f>COUNTIF($D$2:D549,D549)</f>
        <v>2</v>
      </c>
      <c r="C549" t="str">
        <f>IF(COUNTIF($A:$A,A549)=1,
"Unique",
IF(COUNTIFS($A:$A,A549,$N:$N,N549,$AF:$AF,AF549,$AJ:$AJ,AJ549)&gt;1,
"Exact Duplicate",
"Conflicting Duplicate"))</f>
        <v>Unique</v>
      </c>
      <c r="D549" t="s">
        <v>2641</v>
      </c>
      <c r="E549" t="s">
        <v>2642</v>
      </c>
      <c r="F549" s="2">
        <v>45428</v>
      </c>
      <c r="G549" s="2">
        <v>45435</v>
      </c>
      <c r="H549" s="5" t="str">
        <f t="shared" si="144"/>
        <v>May</v>
      </c>
      <c r="I549" s="5">
        <f t="shared" si="145"/>
        <v>2024</v>
      </c>
      <c r="J549" t="str">
        <f>IF(F549="","Missing Date",
IF(ISNUMBER(F549),"Valid","Invalid Date"))</f>
        <v>Valid</v>
      </c>
      <c r="K549" t="str">
        <f t="shared" si="146"/>
        <v>Valid</v>
      </c>
      <c r="L549">
        <f>G549-F549</f>
        <v>7</v>
      </c>
      <c r="M549" t="s">
        <v>2643</v>
      </c>
      <c r="N549" t="s">
        <v>93</v>
      </c>
      <c r="O549" t="str">
        <f t="shared" si="147"/>
        <v>Neha Gupta</v>
      </c>
      <c r="P549" t="s">
        <v>41</v>
      </c>
      <c r="Q549" t="str">
        <f t="shared" si="148"/>
        <v>Small Business</v>
      </c>
      <c r="R549" t="s">
        <v>27</v>
      </c>
      <c r="S549" t="str">
        <f t="shared" si="149"/>
        <v>North</v>
      </c>
      <c r="T549" t="s">
        <v>174</v>
      </c>
      <c r="U549" t="str">
        <f t="shared" si="150"/>
        <v>Uttar Pradesh</v>
      </c>
      <c r="V549" t="s">
        <v>175</v>
      </c>
      <c r="W549" t="str">
        <f t="shared" si="151"/>
        <v>Noida</v>
      </c>
      <c r="X549" t="s">
        <v>86</v>
      </c>
      <c r="Y549" t="str">
        <f t="shared" si="152"/>
        <v>Technology</v>
      </c>
      <c r="Z549" t="s">
        <v>94</v>
      </c>
      <c r="AA549" t="str">
        <f t="shared" si="153"/>
        <v>Copiers</v>
      </c>
      <c r="AB549" t="s">
        <v>2644</v>
      </c>
      <c r="AC549" t="s">
        <v>67</v>
      </c>
      <c r="AD549" t="str">
        <f t="shared" si="154"/>
        <v>Standard Class</v>
      </c>
      <c r="AE549">
        <v>9</v>
      </c>
      <c r="AF549">
        <v>3722.09</v>
      </c>
      <c r="AG549">
        <v>0.1</v>
      </c>
      <c r="AH549">
        <v>0.1</v>
      </c>
      <c r="AI549" t="str">
        <f t="shared" si="155"/>
        <v>Valid</v>
      </c>
      <c r="AJ549">
        <v>30148.93</v>
      </c>
      <c r="AK549">
        <f t="shared" si="156"/>
        <v>30148.929</v>
      </c>
      <c r="AL549">
        <v>25155.07</v>
      </c>
      <c r="AM549">
        <v>4993.8599999999997</v>
      </c>
      <c r="AN549">
        <f t="shared" si="157"/>
        <v>4993.8590000000004</v>
      </c>
      <c r="AO549">
        <f t="shared" si="158"/>
        <v>-25155.07</v>
      </c>
      <c r="AP549" t="s">
        <v>34</v>
      </c>
      <c r="AQ549" t="str">
        <f t="shared" si="159"/>
        <v>Paid</v>
      </c>
      <c r="AR549" t="s">
        <v>35</v>
      </c>
      <c r="AS549" t="str">
        <f t="shared" si="160"/>
        <v>Completed</v>
      </c>
      <c r="AT549" t="str">
        <f t="shared" si="161"/>
        <v>Clean</v>
      </c>
    </row>
    <row r="550" spans="1:46">
      <c r="A550" t="s">
        <v>2645</v>
      </c>
      <c r="B550">
        <f>COUNTIF($D$2:D550,D550)</f>
        <v>2</v>
      </c>
      <c r="C550" t="str">
        <f>IF(COUNTIF($A:$A,A550)=1,
"Unique",
IF(COUNTIFS($A:$A,A550,$N:$N,N550,$AF:$AF,AF550,$AJ:$AJ,AJ550)&gt;1,
"Exact Duplicate",
"Conflicting Duplicate"))</f>
        <v>Unique</v>
      </c>
      <c r="D550" t="s">
        <v>274</v>
      </c>
      <c r="E550" t="s">
        <v>273</v>
      </c>
      <c r="F550" s="2">
        <v>45441</v>
      </c>
      <c r="G550" s="3">
        <v>45441</v>
      </c>
      <c r="H550" s="5" t="str">
        <f t="shared" si="144"/>
        <v>May</v>
      </c>
      <c r="I550" s="5">
        <f t="shared" si="145"/>
        <v>2024</v>
      </c>
      <c r="J550" t="str">
        <f>IF(F550="","Missing Date",
IF(ISNUMBER(F550),"Valid","Invalid Date"))</f>
        <v>Valid</v>
      </c>
      <c r="K550" t="str">
        <f t="shared" si="146"/>
        <v>Valid</v>
      </c>
      <c r="L550">
        <f>G550-F550</f>
        <v>0</v>
      </c>
      <c r="M550" t="s">
        <v>2646</v>
      </c>
      <c r="N550" t="s">
        <v>180</v>
      </c>
      <c r="O550" t="str">
        <f t="shared" si="147"/>
        <v>Rohan Mehta</v>
      </c>
      <c r="P550" t="s">
        <v>108</v>
      </c>
      <c r="Q550" t="str">
        <f t="shared" si="148"/>
        <v>Corporate</v>
      </c>
      <c r="R550" t="s">
        <v>42</v>
      </c>
      <c r="S550" t="str">
        <f t="shared" si="149"/>
        <v>East</v>
      </c>
      <c r="T550" t="s">
        <v>186</v>
      </c>
      <c r="U550" t="str">
        <f t="shared" si="150"/>
        <v>Bihar</v>
      </c>
      <c r="V550" t="s">
        <v>187</v>
      </c>
      <c r="W550" t="str">
        <f t="shared" si="151"/>
        <v>Patna</v>
      </c>
      <c r="X550" t="s">
        <v>45</v>
      </c>
      <c r="Y550" t="str">
        <f t="shared" si="152"/>
        <v>Furniture</v>
      </c>
      <c r="Z550" t="s">
        <v>204</v>
      </c>
      <c r="AA550" t="str">
        <f t="shared" si="153"/>
        <v>Bookcases</v>
      </c>
      <c r="AB550" t="s">
        <v>2647</v>
      </c>
      <c r="AC550" t="s">
        <v>48</v>
      </c>
      <c r="AD550" t="str">
        <f t="shared" si="154"/>
        <v>Same Day</v>
      </c>
      <c r="AE550">
        <v>1</v>
      </c>
      <c r="AF550">
        <v>1072.01</v>
      </c>
      <c r="AG550">
        <v>0</v>
      </c>
      <c r="AH550">
        <v>0</v>
      </c>
      <c r="AI550" t="str">
        <f t="shared" si="155"/>
        <v>Valid</v>
      </c>
      <c r="AJ550">
        <v>1072.01</v>
      </c>
      <c r="AK550">
        <f t="shared" si="156"/>
        <v>1072.01</v>
      </c>
      <c r="AL550">
        <v>852.62</v>
      </c>
      <c r="AM550">
        <v>219.39</v>
      </c>
      <c r="AN550">
        <f t="shared" si="157"/>
        <v>219.39</v>
      </c>
      <c r="AO550">
        <f t="shared" si="158"/>
        <v>-852.62</v>
      </c>
      <c r="AP550" t="s">
        <v>137</v>
      </c>
      <c r="AQ550" t="str">
        <f t="shared" si="159"/>
        <v>Pending</v>
      </c>
      <c r="AR550" t="s">
        <v>78</v>
      </c>
      <c r="AS550" t="str">
        <f t="shared" si="160"/>
        <v>Cancelled</v>
      </c>
      <c r="AT550" t="str">
        <f t="shared" si="161"/>
        <v>Clean</v>
      </c>
    </row>
    <row r="551" spans="1:46">
      <c r="A551" t="s">
        <v>2648</v>
      </c>
      <c r="B551">
        <f>COUNTIF($D$2:D551,D551)</f>
        <v>1</v>
      </c>
      <c r="C551" t="str">
        <f>IF(COUNTIF($A:$A,A551)=1,
"Unique",
IF(COUNTIFS($A:$A,A551,$N:$N,N551,$AF:$AF,AF551,$AJ:$AJ,AJ551)&gt;1,
"Exact Duplicate",
"Conflicting Duplicate"))</f>
        <v>Exact Duplicate</v>
      </c>
      <c r="D551" t="s">
        <v>2649</v>
      </c>
      <c r="E551" t="s">
        <v>2650</v>
      </c>
      <c r="F551" s="3">
        <v>45941</v>
      </c>
      <c r="G551" s="2">
        <v>45943</v>
      </c>
      <c r="H551" s="5" t="str">
        <f t="shared" si="144"/>
        <v>October</v>
      </c>
      <c r="I551" s="5">
        <f t="shared" si="145"/>
        <v>2025</v>
      </c>
      <c r="J551" t="str">
        <f>IF(F551="","Missing Date",
IF(ISNUMBER(F551),"Valid","Invalid Date"))</f>
        <v>Valid</v>
      </c>
      <c r="K551" t="str">
        <f t="shared" si="146"/>
        <v>Valid</v>
      </c>
      <c r="L551">
        <f>G551-F551</f>
        <v>2</v>
      </c>
      <c r="M551" t="s">
        <v>2651</v>
      </c>
      <c r="N551" t="s">
        <v>40</v>
      </c>
      <c r="O551" t="str">
        <f t="shared" si="147"/>
        <v>Mira Das</v>
      </c>
      <c r="P551" t="s">
        <v>108</v>
      </c>
      <c r="Q551" t="str">
        <f t="shared" si="148"/>
        <v>Corporate</v>
      </c>
      <c r="R551" t="s">
        <v>62</v>
      </c>
      <c r="S551" t="str">
        <f t="shared" si="149"/>
        <v>South</v>
      </c>
      <c r="T551" t="s">
        <v>63</v>
      </c>
      <c r="U551" t="str">
        <f t="shared" si="150"/>
        <v>Telangana</v>
      </c>
      <c r="V551" t="s">
        <v>64</v>
      </c>
      <c r="W551" t="str">
        <f t="shared" si="151"/>
        <v>Hyderabad</v>
      </c>
      <c r="X551" t="s">
        <v>30</v>
      </c>
      <c r="Y551" t="str">
        <f t="shared" si="152"/>
        <v>Office Supplies</v>
      </c>
      <c r="Z551" t="s">
        <v>54</v>
      </c>
      <c r="AA551" t="str">
        <f t="shared" si="153"/>
        <v>Art</v>
      </c>
      <c r="AB551" t="s">
        <v>2652</v>
      </c>
      <c r="AC551" t="s">
        <v>33</v>
      </c>
      <c r="AD551" t="str">
        <f t="shared" si="154"/>
        <v>Second Class</v>
      </c>
      <c r="AE551">
        <v>3</v>
      </c>
      <c r="AF551">
        <v>3804.27</v>
      </c>
      <c r="AG551">
        <v>0.1</v>
      </c>
      <c r="AH551">
        <v>0.1</v>
      </c>
      <c r="AI551" t="str">
        <f t="shared" si="155"/>
        <v>Valid</v>
      </c>
      <c r="AJ551">
        <v>10271.530000000001</v>
      </c>
      <c r="AK551">
        <f t="shared" si="156"/>
        <v>10271.529</v>
      </c>
      <c r="AL551">
        <v>8272.24</v>
      </c>
      <c r="AM551">
        <v>1999.29</v>
      </c>
      <c r="AN551">
        <f t="shared" si="157"/>
        <v>1999.2890000000007</v>
      </c>
      <c r="AO551">
        <f t="shared" si="158"/>
        <v>-8272.24</v>
      </c>
      <c r="AP551" t="s">
        <v>34</v>
      </c>
      <c r="AQ551" t="str">
        <f t="shared" si="159"/>
        <v>Paid</v>
      </c>
      <c r="AR551" t="s">
        <v>35</v>
      </c>
      <c r="AS551" t="str">
        <f t="shared" si="160"/>
        <v>Completed</v>
      </c>
      <c r="AT551" t="str">
        <f t="shared" si="161"/>
        <v>Clean</v>
      </c>
    </row>
    <row r="552" spans="1:46">
      <c r="A552" t="s">
        <v>2653</v>
      </c>
      <c r="B552">
        <f>COUNTIF($D$2:D552,D552)</f>
        <v>2</v>
      </c>
      <c r="C552" t="str">
        <f>IF(COUNTIF($A:$A,A552)=1,
"Unique",
IF(COUNTIFS($A:$A,A552,$N:$N,N552,$AF:$AF,AF552,$AJ:$AJ,AJ552)&gt;1,
"Exact Duplicate",
"Conflicting Duplicate"))</f>
        <v>Unique</v>
      </c>
      <c r="D552" t="s">
        <v>538</v>
      </c>
      <c r="E552" t="s">
        <v>2654</v>
      </c>
      <c r="F552" s="3">
        <v>45330</v>
      </c>
      <c r="G552" s="3">
        <v>45514</v>
      </c>
      <c r="H552" s="5" t="str">
        <f t="shared" si="144"/>
        <v>February</v>
      </c>
      <c r="I552" s="5">
        <f t="shared" si="145"/>
        <v>2024</v>
      </c>
      <c r="J552" t="str">
        <f>IF(F552="","Missing Date",
IF(ISNUMBER(F552),"Valid","Invalid Date"))</f>
        <v>Valid</v>
      </c>
      <c r="K552" t="str">
        <f t="shared" si="146"/>
        <v>Valid</v>
      </c>
      <c r="L552">
        <f>G552-F552</f>
        <v>184</v>
      </c>
      <c r="M552" t="s">
        <v>2655</v>
      </c>
      <c r="N552" t="s">
        <v>40</v>
      </c>
      <c r="O552" t="str">
        <f t="shared" si="147"/>
        <v>Mira Das</v>
      </c>
      <c r="P552" t="s">
        <v>115</v>
      </c>
      <c r="Q552" t="str">
        <f t="shared" si="148"/>
        <v>Home Office</v>
      </c>
      <c r="R552" t="s">
        <v>42</v>
      </c>
      <c r="S552" t="str">
        <f t="shared" si="149"/>
        <v>East</v>
      </c>
      <c r="T552" t="s">
        <v>43</v>
      </c>
      <c r="U552" t="str">
        <f t="shared" si="150"/>
        <v>Odisha</v>
      </c>
      <c r="V552" t="s">
        <v>44</v>
      </c>
      <c r="W552" t="str">
        <f t="shared" si="151"/>
        <v>Bhubaneswar</v>
      </c>
      <c r="X552" t="s">
        <v>86</v>
      </c>
      <c r="Y552" t="str">
        <f t="shared" si="152"/>
        <v>Technology</v>
      </c>
      <c r="Z552" t="s">
        <v>87</v>
      </c>
      <c r="AA552" t="str">
        <f t="shared" si="153"/>
        <v>Accessories</v>
      </c>
      <c r="AB552" t="s">
        <v>2656</v>
      </c>
      <c r="AC552" t="s">
        <v>67</v>
      </c>
      <c r="AD552" t="str">
        <f t="shared" si="154"/>
        <v>Standard Class</v>
      </c>
      <c r="AE552">
        <v>6</v>
      </c>
      <c r="AF552">
        <v>2126.44</v>
      </c>
      <c r="AG552">
        <v>0.2</v>
      </c>
      <c r="AH552">
        <v>0.2</v>
      </c>
      <c r="AI552" t="str">
        <f t="shared" si="155"/>
        <v>Valid</v>
      </c>
      <c r="AJ552">
        <v>10206.91</v>
      </c>
      <c r="AK552">
        <f t="shared" si="156"/>
        <v>10206.912</v>
      </c>
      <c r="AL552">
        <v>6764.53</v>
      </c>
      <c r="AM552">
        <v>3442.38</v>
      </c>
      <c r="AN552">
        <f t="shared" si="157"/>
        <v>3442.3820000000005</v>
      </c>
      <c r="AO552">
        <f t="shared" si="158"/>
        <v>-6764.53</v>
      </c>
      <c r="AP552" t="s">
        <v>34</v>
      </c>
      <c r="AQ552" t="str">
        <f t="shared" si="159"/>
        <v>Paid</v>
      </c>
      <c r="AR552" t="s">
        <v>35</v>
      </c>
      <c r="AS552" t="str">
        <f t="shared" si="160"/>
        <v>Completed</v>
      </c>
      <c r="AT552" t="str">
        <f t="shared" si="161"/>
        <v>Clean</v>
      </c>
    </row>
    <row r="553" spans="1:46">
      <c r="A553" t="s">
        <v>2657</v>
      </c>
      <c r="B553">
        <f>COUNTIF($D$2:D553,D553)</f>
        <v>1</v>
      </c>
      <c r="C553" t="str">
        <f>IF(COUNTIF($A:$A,A553)=1,
"Unique",
IF(COUNTIFS($A:$A,A553,$N:$N,N553,$AF:$AF,AF553,$AJ:$AJ,AJ553)&gt;1,
"Exact Duplicate",
"Conflicting Duplicate"))</f>
        <v>Unique</v>
      </c>
      <c r="D553" t="s">
        <v>2089</v>
      </c>
      <c r="E553" t="s">
        <v>2658</v>
      </c>
      <c r="F553" s="3">
        <v>45349</v>
      </c>
      <c r="G553" s="3">
        <v>45349</v>
      </c>
      <c r="H553" s="5" t="str">
        <f t="shared" si="144"/>
        <v>February</v>
      </c>
      <c r="I553" s="5">
        <f t="shared" si="145"/>
        <v>2024</v>
      </c>
      <c r="J553" t="str">
        <f>IF(F553="","Missing Date",
IF(ISNUMBER(F553),"Valid","Invalid Date"))</f>
        <v>Valid</v>
      </c>
      <c r="K553" t="str">
        <f t="shared" si="146"/>
        <v>Valid</v>
      </c>
      <c r="L553">
        <f>G553-F553</f>
        <v>0</v>
      </c>
      <c r="M553" t="s">
        <v>2659</v>
      </c>
      <c r="N553" t="s">
        <v>168</v>
      </c>
      <c r="O553" t="str">
        <f t="shared" si="147"/>
        <v>Sneha Kapoor</v>
      </c>
      <c r="P553" t="s">
        <v>26</v>
      </c>
      <c r="Q553" t="str">
        <f t="shared" si="148"/>
        <v>Consumer</v>
      </c>
      <c r="R553" t="s">
        <v>42</v>
      </c>
      <c r="S553" t="str">
        <f t="shared" si="149"/>
        <v>East</v>
      </c>
      <c r="T553" t="s">
        <v>311</v>
      </c>
      <c r="U553" t="str">
        <f t="shared" si="150"/>
        <v>Jharkhand</v>
      </c>
      <c r="V553" t="s">
        <v>312</v>
      </c>
      <c r="W553" t="str">
        <f t="shared" si="151"/>
        <v>Ranchi</v>
      </c>
      <c r="X553" t="s">
        <v>45</v>
      </c>
      <c r="Y553" t="str">
        <f t="shared" si="152"/>
        <v>Furniture</v>
      </c>
      <c r="Z553" t="s">
        <v>76</v>
      </c>
      <c r="AA553" t="str">
        <f t="shared" si="153"/>
        <v>Chairs</v>
      </c>
      <c r="AB553" t="s">
        <v>2660</v>
      </c>
      <c r="AC553" t="s">
        <v>33</v>
      </c>
      <c r="AD553" t="str">
        <f t="shared" si="154"/>
        <v>Second Class</v>
      </c>
      <c r="AE553">
        <v>3</v>
      </c>
      <c r="AF553">
        <v>3148.09</v>
      </c>
      <c r="AG553">
        <v>0.15</v>
      </c>
      <c r="AH553">
        <v>0.15</v>
      </c>
      <c r="AI553" t="str">
        <f t="shared" si="155"/>
        <v>Valid</v>
      </c>
      <c r="AJ553">
        <v>8027.63</v>
      </c>
      <c r="AK553">
        <f t="shared" si="156"/>
        <v>8027.6295</v>
      </c>
      <c r="AL553">
        <v>5496.09</v>
      </c>
      <c r="AM553">
        <v>2531.54</v>
      </c>
      <c r="AN553">
        <f t="shared" si="157"/>
        <v>2531.5394999999999</v>
      </c>
      <c r="AO553">
        <f t="shared" si="158"/>
        <v>-5496.09</v>
      </c>
      <c r="AP553" t="s">
        <v>34</v>
      </c>
      <c r="AQ553" t="str">
        <f t="shared" si="159"/>
        <v>Paid</v>
      </c>
      <c r="AR553" t="s">
        <v>35</v>
      </c>
      <c r="AS553" t="str">
        <f t="shared" si="160"/>
        <v>Completed</v>
      </c>
      <c r="AT553" t="str">
        <f t="shared" si="161"/>
        <v>Clean</v>
      </c>
    </row>
    <row r="554" spans="1:46">
      <c r="A554" t="s">
        <v>2661</v>
      </c>
      <c r="B554">
        <f>COUNTIF($D$2:D554,D554)</f>
        <v>2</v>
      </c>
      <c r="C554" t="str">
        <f>IF(COUNTIF($A:$A,A554)=1,
"Unique",
IF(COUNTIFS($A:$A,A554,$N:$N,N554,$AF:$AF,AF554,$AJ:$AJ,AJ554)&gt;1,
"Exact Duplicate",
"Conflicting Duplicate"))</f>
        <v>Unique</v>
      </c>
      <c r="D554" t="s">
        <v>190</v>
      </c>
      <c r="E554" t="s">
        <v>343</v>
      </c>
      <c r="F554" s="3">
        <v>45681</v>
      </c>
      <c r="G554" s="2">
        <v>45687</v>
      </c>
      <c r="H554" s="5" t="str">
        <f t="shared" si="144"/>
        <v>January</v>
      </c>
      <c r="I554" s="5">
        <f t="shared" si="145"/>
        <v>2025</v>
      </c>
      <c r="J554" t="str">
        <f>IF(F554="","Missing Date",
IF(ISNUMBER(F554),"Valid","Invalid Date"))</f>
        <v>Valid</v>
      </c>
      <c r="K554" t="str">
        <f t="shared" si="146"/>
        <v>Valid</v>
      </c>
      <c r="L554">
        <f>G554-F554</f>
        <v>6</v>
      </c>
      <c r="M554" t="s">
        <v>2662</v>
      </c>
      <c r="N554" t="s">
        <v>72</v>
      </c>
      <c r="O554" t="str">
        <f t="shared" si="147"/>
        <v>Ananya Rao</v>
      </c>
      <c r="P554" t="s">
        <v>108</v>
      </c>
      <c r="Q554" t="str">
        <f t="shared" si="148"/>
        <v>Corporate</v>
      </c>
      <c r="R554" t="s">
        <v>42</v>
      </c>
      <c r="S554" t="str">
        <f t="shared" si="149"/>
        <v>East</v>
      </c>
      <c r="T554" t="s">
        <v>121</v>
      </c>
      <c r="U554" t="str">
        <f t="shared" si="150"/>
        <v>West Bengal</v>
      </c>
      <c r="V554" t="s">
        <v>122</v>
      </c>
      <c r="W554" t="str">
        <f t="shared" si="151"/>
        <v>Kolkata</v>
      </c>
      <c r="X554" t="s">
        <v>86</v>
      </c>
      <c r="Y554" t="str">
        <f t="shared" si="152"/>
        <v>Technology</v>
      </c>
      <c r="Z554" t="s">
        <v>94</v>
      </c>
      <c r="AA554" t="str">
        <f t="shared" si="153"/>
        <v>Copiers</v>
      </c>
      <c r="AB554" t="s">
        <v>2663</v>
      </c>
      <c r="AC554" t="s">
        <v>67</v>
      </c>
      <c r="AD554" t="str">
        <f t="shared" si="154"/>
        <v>Standard Class</v>
      </c>
      <c r="AE554">
        <v>8</v>
      </c>
      <c r="AF554">
        <v>312.52999999999997</v>
      </c>
      <c r="AG554" t="s">
        <v>681</v>
      </c>
      <c r="AH554">
        <v>0.7</v>
      </c>
      <c r="AI554" t="str">
        <f t="shared" si="155"/>
        <v>Invalid - Above Range</v>
      </c>
      <c r="AJ554">
        <v>1875.18</v>
      </c>
      <c r="AK554">
        <f t="shared" si="156"/>
        <v>750.072</v>
      </c>
      <c r="AL554">
        <v>1579.17</v>
      </c>
      <c r="AM554">
        <v>296.01</v>
      </c>
      <c r="AN554">
        <f t="shared" si="157"/>
        <v>-829.09800000000007</v>
      </c>
      <c r="AO554">
        <f t="shared" si="158"/>
        <v>-1579.17</v>
      </c>
      <c r="AP554" t="s">
        <v>34</v>
      </c>
      <c r="AQ554" t="str">
        <f t="shared" si="159"/>
        <v>Paid</v>
      </c>
      <c r="AR554" t="s">
        <v>35</v>
      </c>
      <c r="AS554" t="str">
        <f t="shared" si="160"/>
        <v>Completed</v>
      </c>
      <c r="AT554" t="str">
        <f t="shared" si="161"/>
        <v>Clean</v>
      </c>
    </row>
    <row r="555" spans="1:46">
      <c r="A555" t="s">
        <v>2664</v>
      </c>
      <c r="B555">
        <f>COUNTIF($D$2:D555,D555)</f>
        <v>1</v>
      </c>
      <c r="C555" t="str">
        <f>IF(COUNTIF($A:$A,A555)=1,
"Unique",
IF(COUNTIFS($A:$A,A555,$N:$N,N555,$AF:$AF,AF555,$AJ:$AJ,AJ555)&gt;1,
"Exact Duplicate",
"Conflicting Duplicate"))</f>
        <v>Unique</v>
      </c>
      <c r="D555" t="s">
        <v>2665</v>
      </c>
      <c r="E555" t="s">
        <v>2666</v>
      </c>
      <c r="F555" s="3">
        <v>45772</v>
      </c>
      <c r="G555" s="3">
        <v>45775</v>
      </c>
      <c r="H555" s="5" t="str">
        <f t="shared" si="144"/>
        <v>April</v>
      </c>
      <c r="I555" s="5">
        <f t="shared" si="145"/>
        <v>2025</v>
      </c>
      <c r="J555" t="str">
        <f>IF(F555="","Missing Date",
IF(ISNUMBER(F555),"Valid","Invalid Date"))</f>
        <v>Valid</v>
      </c>
      <c r="K555" t="str">
        <f t="shared" si="146"/>
        <v>Valid</v>
      </c>
      <c r="L555">
        <f>G555-F555</f>
        <v>3</v>
      </c>
      <c r="M555" t="s">
        <v>2667</v>
      </c>
      <c r="N555" t="s">
        <v>162</v>
      </c>
      <c r="O555" t="str">
        <f t="shared" si="147"/>
        <v>Aarav Sharma</v>
      </c>
      <c r="P555" t="s">
        <v>41</v>
      </c>
      <c r="Q555" t="str">
        <f t="shared" si="148"/>
        <v>Small Business</v>
      </c>
      <c r="R555" t="s">
        <v>73</v>
      </c>
      <c r="S555" t="str">
        <f t="shared" si="149"/>
        <v>West</v>
      </c>
      <c r="T555" t="s">
        <v>235</v>
      </c>
      <c r="U555" t="str">
        <f t="shared" si="150"/>
        <v>Gujarat</v>
      </c>
      <c r="V555" t="s">
        <v>236</v>
      </c>
      <c r="W555" t="str">
        <f t="shared" si="151"/>
        <v>Ahmedabad</v>
      </c>
      <c r="X555" t="s">
        <v>30</v>
      </c>
      <c r="Y555" t="str">
        <f t="shared" si="152"/>
        <v>Office Supplies</v>
      </c>
      <c r="Z555" t="s">
        <v>156</v>
      </c>
      <c r="AA555" t="str">
        <f t="shared" si="153"/>
        <v>Storage</v>
      </c>
      <c r="AB555" t="s">
        <v>2668</v>
      </c>
      <c r="AC555" t="s">
        <v>56</v>
      </c>
      <c r="AD555" t="str">
        <f t="shared" si="154"/>
        <v>First Class</v>
      </c>
      <c r="AE555">
        <v>9</v>
      </c>
      <c r="AF555">
        <v>1294.1099999999999</v>
      </c>
      <c r="AG555">
        <v>0.25</v>
      </c>
      <c r="AH555">
        <v>0.25</v>
      </c>
      <c r="AI555" t="str">
        <f t="shared" si="155"/>
        <v>Valid</v>
      </c>
      <c r="AJ555">
        <v>8735.24</v>
      </c>
      <c r="AK555">
        <f t="shared" si="156"/>
        <v>8735.2425000000003</v>
      </c>
      <c r="AL555">
        <v>6620.07</v>
      </c>
      <c r="AM555">
        <v>2115.17</v>
      </c>
      <c r="AN555">
        <f t="shared" si="157"/>
        <v>2115.1725000000006</v>
      </c>
      <c r="AO555">
        <f t="shared" si="158"/>
        <v>-6620.07</v>
      </c>
      <c r="AP555" t="s">
        <v>34</v>
      </c>
      <c r="AQ555" t="str">
        <f t="shared" si="159"/>
        <v>Paid</v>
      </c>
      <c r="AR555" t="s">
        <v>35</v>
      </c>
      <c r="AS555" t="str">
        <f t="shared" si="160"/>
        <v>Completed</v>
      </c>
      <c r="AT555" t="str">
        <f t="shared" si="161"/>
        <v>Clean</v>
      </c>
    </row>
    <row r="556" spans="1:46">
      <c r="A556" t="s">
        <v>2669</v>
      </c>
      <c r="B556">
        <f>COUNTIF($D$2:D556,D556)</f>
        <v>1</v>
      </c>
      <c r="C556" t="str">
        <f>IF(COUNTIF($A:$A,A556)=1,
"Unique",
IF(COUNTIFS($A:$A,A556,$N:$N,N556,$AF:$AF,AF556,$AJ:$AJ,AJ556)&gt;1,
"Exact Duplicate",
"Conflicting Duplicate"))</f>
        <v>Unique</v>
      </c>
      <c r="D556" t="s">
        <v>2670</v>
      </c>
      <c r="E556" t="s">
        <v>2671</v>
      </c>
      <c r="F556" s="3">
        <v>45636</v>
      </c>
      <c r="G556" s="2">
        <v>45582</v>
      </c>
      <c r="H556" s="5" t="str">
        <f t="shared" si="144"/>
        <v>December</v>
      </c>
      <c r="I556" s="5">
        <f t="shared" si="145"/>
        <v>2024</v>
      </c>
      <c r="J556" t="str">
        <f>IF(F556="","Missing Date",
IF(ISNUMBER(F556),"Valid","Invalid Date"))</f>
        <v>Valid</v>
      </c>
      <c r="K556" t="str">
        <f t="shared" si="146"/>
        <v>Valid</v>
      </c>
      <c r="L556">
        <f>G556-F556</f>
        <v>-54</v>
      </c>
      <c r="M556" t="s">
        <v>2672</v>
      </c>
      <c r="N556" t="s">
        <v>61</v>
      </c>
      <c r="O556" t="str">
        <f t="shared" si="147"/>
        <v>Arjun Bose</v>
      </c>
      <c r="P556" t="s">
        <v>26</v>
      </c>
      <c r="Q556" t="str">
        <f t="shared" si="148"/>
        <v>Consumer</v>
      </c>
      <c r="R556" t="s">
        <v>4104</v>
      </c>
      <c r="S556" t="s">
        <v>4104</v>
      </c>
      <c r="T556" t="s">
        <v>311</v>
      </c>
      <c r="U556" t="str">
        <f t="shared" si="150"/>
        <v>Jharkhand</v>
      </c>
      <c r="V556" t="s">
        <v>312</v>
      </c>
      <c r="W556" t="str">
        <f t="shared" si="151"/>
        <v>Ranchi</v>
      </c>
      <c r="X556" t="s">
        <v>45</v>
      </c>
      <c r="Y556" t="str">
        <f t="shared" si="152"/>
        <v>Furniture</v>
      </c>
      <c r="Z556" t="s">
        <v>65</v>
      </c>
      <c r="AA556" t="str">
        <f t="shared" si="153"/>
        <v>Furnishings</v>
      </c>
      <c r="AB556" t="s">
        <v>2673</v>
      </c>
      <c r="AC556" t="s">
        <v>67</v>
      </c>
      <c r="AD556" t="str">
        <f t="shared" si="154"/>
        <v>Standard Class</v>
      </c>
      <c r="AE556">
        <v>4</v>
      </c>
      <c r="AF556">
        <v>1071.22</v>
      </c>
      <c r="AG556">
        <v>0.05</v>
      </c>
      <c r="AH556">
        <v>0.05</v>
      </c>
      <c r="AI556" t="str">
        <f t="shared" si="155"/>
        <v>Valid</v>
      </c>
      <c r="AJ556">
        <v>4070.64</v>
      </c>
      <c r="AK556">
        <f t="shared" si="156"/>
        <v>4070.636</v>
      </c>
      <c r="AL556">
        <v>2831.62</v>
      </c>
      <c r="AM556">
        <v>1239.02</v>
      </c>
      <c r="AN556">
        <f t="shared" si="157"/>
        <v>1239.0160000000001</v>
      </c>
      <c r="AO556">
        <f t="shared" si="158"/>
        <v>-2831.62</v>
      </c>
      <c r="AP556" t="s">
        <v>34</v>
      </c>
      <c r="AQ556" t="str">
        <f t="shared" si="159"/>
        <v>Paid</v>
      </c>
      <c r="AR556" t="s">
        <v>35</v>
      </c>
      <c r="AS556" t="str">
        <f t="shared" si="160"/>
        <v>Completed</v>
      </c>
      <c r="AT556" t="str">
        <f t="shared" si="161"/>
        <v>Clean</v>
      </c>
    </row>
    <row r="557" spans="1:46">
      <c r="A557" t="s">
        <v>2674</v>
      </c>
      <c r="B557">
        <f>COUNTIF($D$2:D557,D557)</f>
        <v>2</v>
      </c>
      <c r="C557" t="str">
        <f>IF(COUNTIF($A:$A,A557)=1,
"Unique",
IF(COUNTIFS($A:$A,A557,$N:$N,N557,$AF:$AF,AF557,$AJ:$AJ,AJ557)&gt;1,
"Exact Duplicate",
"Conflicting Duplicate"))</f>
        <v>Unique</v>
      </c>
      <c r="D557" t="s">
        <v>882</v>
      </c>
      <c r="E557" t="s">
        <v>2675</v>
      </c>
      <c r="F557" s="3">
        <v>45749</v>
      </c>
      <c r="G557" s="2">
        <v>45932</v>
      </c>
      <c r="H557" s="5" t="str">
        <f t="shared" si="144"/>
        <v>April</v>
      </c>
      <c r="I557" s="5">
        <f t="shared" si="145"/>
        <v>2025</v>
      </c>
      <c r="J557" t="str">
        <f>IF(F557="","Missing Date",
IF(ISNUMBER(F557),"Valid","Invalid Date"))</f>
        <v>Valid</v>
      </c>
      <c r="K557" t="str">
        <f t="shared" si="146"/>
        <v>Valid</v>
      </c>
      <c r="L557">
        <f>G557-F557</f>
        <v>183</v>
      </c>
      <c r="M557" t="s">
        <v>2676</v>
      </c>
      <c r="N557" t="s">
        <v>72</v>
      </c>
      <c r="O557" t="str">
        <f t="shared" si="147"/>
        <v>Ananya Rao</v>
      </c>
      <c r="P557" t="s">
        <v>41</v>
      </c>
      <c r="Q557" t="str">
        <f t="shared" si="148"/>
        <v>Small Business</v>
      </c>
      <c r="R557" t="s">
        <v>62</v>
      </c>
      <c r="S557" t="str">
        <f t="shared" si="149"/>
        <v>South</v>
      </c>
      <c r="T557" t="s">
        <v>63</v>
      </c>
      <c r="U557" t="str">
        <f t="shared" si="150"/>
        <v>Telangana</v>
      </c>
      <c r="V557" t="s">
        <v>64</v>
      </c>
      <c r="W557" t="str">
        <f t="shared" si="151"/>
        <v>Hyderabad</v>
      </c>
      <c r="X557" t="s">
        <v>30</v>
      </c>
      <c r="Y557" t="str">
        <f t="shared" si="152"/>
        <v>Office Supplies</v>
      </c>
      <c r="Z557" t="s">
        <v>156</v>
      </c>
      <c r="AA557" t="str">
        <f t="shared" si="153"/>
        <v>Storage</v>
      </c>
      <c r="AB557" t="s">
        <v>2677</v>
      </c>
      <c r="AC557" t="s">
        <v>67</v>
      </c>
      <c r="AD557" t="str">
        <f t="shared" si="154"/>
        <v>Standard Class</v>
      </c>
      <c r="AE557">
        <v>6</v>
      </c>
      <c r="AF557">
        <v>1042.8</v>
      </c>
      <c r="AG557">
        <v>0.05</v>
      </c>
      <c r="AH557">
        <v>0.05</v>
      </c>
      <c r="AI557" t="str">
        <f t="shared" si="155"/>
        <v>Valid</v>
      </c>
      <c r="AJ557">
        <v>5943.96</v>
      </c>
      <c r="AK557">
        <f t="shared" si="156"/>
        <v>5943.9599999999991</v>
      </c>
      <c r="AL557">
        <v>3604.14</v>
      </c>
      <c r="AM557">
        <v>2339.8200000000002</v>
      </c>
      <c r="AN557">
        <f t="shared" si="157"/>
        <v>2339.8199999999993</v>
      </c>
      <c r="AO557">
        <f t="shared" si="158"/>
        <v>-3604.14</v>
      </c>
      <c r="AP557" t="s">
        <v>34</v>
      </c>
      <c r="AQ557" t="str">
        <f t="shared" si="159"/>
        <v>Paid</v>
      </c>
      <c r="AR557" t="s">
        <v>35</v>
      </c>
      <c r="AS557" t="str">
        <f t="shared" si="160"/>
        <v>Completed</v>
      </c>
      <c r="AT557" t="str">
        <f t="shared" si="161"/>
        <v>Clean</v>
      </c>
    </row>
    <row r="558" spans="1:46">
      <c r="A558" t="s">
        <v>2678</v>
      </c>
      <c r="B558">
        <f>COUNTIF($D$2:D558,D558)</f>
        <v>3</v>
      </c>
      <c r="C558" t="str">
        <f>IF(COUNTIF($A:$A,A558)=1,
"Unique",
IF(COUNTIFS($A:$A,A558,$N:$N,N558,$AF:$AF,AF558,$AJ:$AJ,AJ558)&gt;1,
"Exact Duplicate",
"Conflicting Duplicate"))</f>
        <v>Unique</v>
      </c>
      <c r="D558" t="s">
        <v>1553</v>
      </c>
      <c r="E558" t="s">
        <v>2095</v>
      </c>
      <c r="F558" s="2">
        <v>45466</v>
      </c>
      <c r="G558" s="3">
        <v>45472</v>
      </c>
      <c r="H558" s="5" t="str">
        <f t="shared" si="144"/>
        <v>June</v>
      </c>
      <c r="I558" s="5">
        <f t="shared" si="145"/>
        <v>2024</v>
      </c>
      <c r="J558" t="str">
        <f>IF(F558="","Missing Date",
IF(ISNUMBER(F558),"Valid","Invalid Date"))</f>
        <v>Valid</v>
      </c>
      <c r="K558" t="str">
        <f t="shared" si="146"/>
        <v>Valid</v>
      </c>
      <c r="L558">
        <f>G558-F558</f>
        <v>6</v>
      </c>
      <c r="M558" t="s">
        <v>2679</v>
      </c>
      <c r="N558" t="s">
        <v>93</v>
      </c>
      <c r="O558" t="str">
        <f t="shared" si="147"/>
        <v>Neha Gupta</v>
      </c>
      <c r="P558" t="s">
        <v>26</v>
      </c>
      <c r="Q558" t="str">
        <f t="shared" si="148"/>
        <v>Consumer</v>
      </c>
      <c r="R558" t="s">
        <v>27</v>
      </c>
      <c r="S558" t="str">
        <f t="shared" si="149"/>
        <v>North</v>
      </c>
      <c r="T558" t="s">
        <v>323</v>
      </c>
      <c r="U558" t="str">
        <f t="shared" si="150"/>
        <v>Haryana</v>
      </c>
      <c r="V558" t="s">
        <v>324</v>
      </c>
      <c r="W558" t="str">
        <f t="shared" si="151"/>
        <v>Gurugram</v>
      </c>
      <c r="X558" t="s">
        <v>45</v>
      </c>
      <c r="Y558" t="str">
        <f t="shared" si="152"/>
        <v>Furniture</v>
      </c>
      <c r="Z558" t="s">
        <v>46</v>
      </c>
      <c r="AA558" t="str">
        <f t="shared" si="153"/>
        <v>Tables</v>
      </c>
      <c r="AB558" t="s">
        <v>2680</v>
      </c>
      <c r="AC558" t="s">
        <v>56</v>
      </c>
      <c r="AD558" t="str">
        <f t="shared" si="154"/>
        <v>First Class</v>
      </c>
      <c r="AE558">
        <v>1</v>
      </c>
      <c r="AF558">
        <v>4426.66</v>
      </c>
      <c r="AG558">
        <v>0</v>
      </c>
      <c r="AH558">
        <v>0</v>
      </c>
      <c r="AI558" t="str">
        <f t="shared" si="155"/>
        <v>Valid</v>
      </c>
      <c r="AJ558">
        <v>4426.66</v>
      </c>
      <c r="AK558">
        <f t="shared" si="156"/>
        <v>4426.66</v>
      </c>
      <c r="AL558">
        <v>3035.2</v>
      </c>
      <c r="AM558">
        <v>1816.23</v>
      </c>
      <c r="AN558">
        <f t="shared" si="157"/>
        <v>1391.46</v>
      </c>
      <c r="AO558">
        <f t="shared" si="158"/>
        <v>-3035.2</v>
      </c>
      <c r="AP558" t="s">
        <v>34</v>
      </c>
      <c r="AQ558" t="str">
        <f t="shared" si="159"/>
        <v>Paid</v>
      </c>
      <c r="AR558" t="s">
        <v>125</v>
      </c>
      <c r="AS558" t="str">
        <f t="shared" si="160"/>
        <v>Returned</v>
      </c>
      <c r="AT558" t="str">
        <f t="shared" si="161"/>
        <v>Clean</v>
      </c>
    </row>
    <row r="559" spans="1:46">
      <c r="A559" t="s">
        <v>2681</v>
      </c>
      <c r="B559">
        <f>COUNTIF($D$2:D559,D559)</f>
        <v>1</v>
      </c>
      <c r="C559" t="str">
        <f>IF(COUNTIF($A:$A,A559)=1,
"Unique",
IF(COUNTIFS($A:$A,A559,$N:$N,N559,$AF:$AF,AF559,$AJ:$AJ,AJ559)&gt;1,
"Exact Duplicate",
"Conflicting Duplicate"))</f>
        <v>Unique</v>
      </c>
      <c r="D559" t="s">
        <v>2682</v>
      </c>
      <c r="E559" t="s">
        <v>2683</v>
      </c>
      <c r="F559" s="3">
        <v>45509</v>
      </c>
      <c r="G559" s="3">
        <v>45426</v>
      </c>
      <c r="H559" s="5" t="str">
        <f t="shared" si="144"/>
        <v>August</v>
      </c>
      <c r="I559" s="5">
        <f t="shared" si="145"/>
        <v>2024</v>
      </c>
      <c r="J559" t="str">
        <f>IF(F559="","Missing Date",
IF(ISNUMBER(F559),"Valid","Invalid Date"))</f>
        <v>Valid</v>
      </c>
      <c r="K559" t="str">
        <f t="shared" si="146"/>
        <v>Valid</v>
      </c>
      <c r="L559">
        <f>G559-F559</f>
        <v>-83</v>
      </c>
      <c r="M559" t="s">
        <v>2684</v>
      </c>
      <c r="N559" t="s">
        <v>83</v>
      </c>
      <c r="O559" t="str">
        <f t="shared" si="147"/>
        <v>Vikram Iyer</v>
      </c>
      <c r="P559" t="s">
        <v>115</v>
      </c>
      <c r="Q559" t="str">
        <f t="shared" si="148"/>
        <v>Home Office</v>
      </c>
      <c r="R559" t="s">
        <v>27</v>
      </c>
      <c r="S559" t="str">
        <f t="shared" si="149"/>
        <v>North</v>
      </c>
      <c r="T559" t="s">
        <v>323</v>
      </c>
      <c r="U559" t="str">
        <f t="shared" si="150"/>
        <v>Haryana</v>
      </c>
      <c r="V559" t="s">
        <v>324</v>
      </c>
      <c r="W559" t="str">
        <f t="shared" si="151"/>
        <v>Gurugram</v>
      </c>
      <c r="X559" t="s">
        <v>86</v>
      </c>
      <c r="Y559" t="str">
        <f t="shared" si="152"/>
        <v>Technology</v>
      </c>
      <c r="Z559" t="s">
        <v>223</v>
      </c>
      <c r="AA559" t="str">
        <f t="shared" si="153"/>
        <v>Phones</v>
      </c>
      <c r="AB559" t="s">
        <v>2685</v>
      </c>
      <c r="AC559" t="s">
        <v>56</v>
      </c>
      <c r="AD559" t="str">
        <f t="shared" si="154"/>
        <v>First Class</v>
      </c>
      <c r="AE559">
        <v>9</v>
      </c>
      <c r="AF559">
        <v>3769.46</v>
      </c>
      <c r="AG559">
        <v>0.05</v>
      </c>
      <c r="AH559">
        <v>0.05</v>
      </c>
      <c r="AI559" t="str">
        <f t="shared" si="155"/>
        <v>Valid</v>
      </c>
      <c r="AJ559">
        <v>32228.880000000001</v>
      </c>
      <c r="AK559">
        <f t="shared" si="156"/>
        <v>32228.882999999998</v>
      </c>
      <c r="AL559">
        <v>24971.360000000001</v>
      </c>
      <c r="AM559">
        <v>7257.52</v>
      </c>
      <c r="AN559">
        <f t="shared" si="157"/>
        <v>7257.5229999999974</v>
      </c>
      <c r="AO559">
        <f t="shared" si="158"/>
        <v>-24971.360000000001</v>
      </c>
      <c r="AP559" t="s">
        <v>34</v>
      </c>
      <c r="AQ559" t="str">
        <f t="shared" si="159"/>
        <v>Paid</v>
      </c>
      <c r="AR559" t="s">
        <v>78</v>
      </c>
      <c r="AS559" t="str">
        <f t="shared" si="160"/>
        <v>Cancelled</v>
      </c>
      <c r="AT559" t="str">
        <f t="shared" si="161"/>
        <v>Clean</v>
      </c>
    </row>
    <row r="560" spans="1:46">
      <c r="A560" t="s">
        <v>2686</v>
      </c>
      <c r="B560">
        <f>COUNTIF($D$2:D560,D560)</f>
        <v>1</v>
      </c>
      <c r="C560" t="str">
        <f>IF(COUNTIF($A:$A,A560)=1,
"Unique",
IF(COUNTIFS($A:$A,A560,$N:$N,N560,$AF:$AF,AF560,$AJ:$AJ,AJ560)&gt;1,
"Exact Duplicate",
"Conflicting Duplicate"))</f>
        <v>Unique</v>
      </c>
      <c r="D560" t="s">
        <v>2687</v>
      </c>
      <c r="E560" t="s">
        <v>2688</v>
      </c>
      <c r="F560" s="3">
        <v>45756</v>
      </c>
      <c r="G560" s="3">
        <v>45904</v>
      </c>
      <c r="H560" s="5" t="str">
        <f t="shared" si="144"/>
        <v>April</v>
      </c>
      <c r="I560" s="5">
        <f t="shared" si="145"/>
        <v>2025</v>
      </c>
      <c r="J560" t="str">
        <f>IF(F560="","Missing Date",
IF(ISNUMBER(F560),"Valid","Invalid Date"))</f>
        <v>Valid</v>
      </c>
      <c r="K560" t="str">
        <f t="shared" si="146"/>
        <v>Valid</v>
      </c>
      <c r="L560">
        <f>G560-F560</f>
        <v>148</v>
      </c>
      <c r="M560" t="s">
        <v>2689</v>
      </c>
      <c r="N560" t="s">
        <v>107</v>
      </c>
      <c r="O560" t="str">
        <f t="shared" si="147"/>
        <v>Aditi Sen</v>
      </c>
      <c r="P560" t="s">
        <v>108</v>
      </c>
      <c r="Q560" t="str">
        <f t="shared" si="148"/>
        <v>Corporate</v>
      </c>
      <c r="R560" t="s">
        <v>27</v>
      </c>
      <c r="S560" t="str">
        <f t="shared" si="149"/>
        <v>North</v>
      </c>
      <c r="T560" t="s">
        <v>154</v>
      </c>
      <c r="U560" t="str">
        <f t="shared" si="150"/>
        <v>Punjab</v>
      </c>
      <c r="V560" t="s">
        <v>155</v>
      </c>
      <c r="W560" t="str">
        <f t="shared" si="151"/>
        <v>Ludhiana</v>
      </c>
      <c r="X560" t="s">
        <v>86</v>
      </c>
      <c r="Y560" t="str">
        <f t="shared" si="152"/>
        <v>Technology</v>
      </c>
      <c r="Z560" t="s">
        <v>382</v>
      </c>
      <c r="AA560" t="str">
        <f t="shared" si="153"/>
        <v>Machines</v>
      </c>
      <c r="AB560" t="s">
        <v>2690</v>
      </c>
      <c r="AC560" t="s">
        <v>56</v>
      </c>
      <c r="AD560" t="str">
        <f t="shared" si="154"/>
        <v>First Class</v>
      </c>
      <c r="AE560">
        <v>8</v>
      </c>
      <c r="AF560">
        <v>3079.95</v>
      </c>
      <c r="AG560">
        <v>0.2</v>
      </c>
      <c r="AH560">
        <v>0.2</v>
      </c>
      <c r="AI560" t="str">
        <f t="shared" si="155"/>
        <v>Valid</v>
      </c>
      <c r="AJ560">
        <v>19711.68</v>
      </c>
      <c r="AK560">
        <f t="shared" si="156"/>
        <v>19711.68</v>
      </c>
      <c r="AL560">
        <v>14461.8</v>
      </c>
      <c r="AM560">
        <v>5249.88</v>
      </c>
      <c r="AN560">
        <f t="shared" si="157"/>
        <v>5249.880000000001</v>
      </c>
      <c r="AO560">
        <f t="shared" si="158"/>
        <v>-14461.8</v>
      </c>
      <c r="AP560" t="s">
        <v>34</v>
      </c>
      <c r="AQ560" t="str">
        <f t="shared" si="159"/>
        <v>Paid</v>
      </c>
      <c r="AR560" t="s">
        <v>35</v>
      </c>
      <c r="AS560" t="str">
        <f t="shared" si="160"/>
        <v>Completed</v>
      </c>
      <c r="AT560" t="str">
        <f t="shared" si="161"/>
        <v>Clean</v>
      </c>
    </row>
    <row r="561" spans="1:46">
      <c r="A561" t="s">
        <v>2691</v>
      </c>
      <c r="B561">
        <f>COUNTIF($D$2:D561,D561)</f>
        <v>2</v>
      </c>
      <c r="C561" t="str">
        <f>IF(COUNTIF($A:$A,A561)=1,
"Unique",
IF(COUNTIFS($A:$A,A561,$N:$N,N561,$AF:$AF,AF561,$AJ:$AJ,AJ561)&gt;1,
"Exact Duplicate",
"Conflicting Duplicate"))</f>
        <v>Unique</v>
      </c>
      <c r="D561" t="s">
        <v>2257</v>
      </c>
      <c r="E561" t="s">
        <v>2692</v>
      </c>
      <c r="F561" s="2">
        <v>45930</v>
      </c>
      <c r="G561" s="3">
        <v>45848</v>
      </c>
      <c r="H561" s="5" t="str">
        <f t="shared" si="144"/>
        <v>September</v>
      </c>
      <c r="I561" s="5">
        <f t="shared" si="145"/>
        <v>2025</v>
      </c>
      <c r="J561" t="str">
        <f>IF(F561="","Missing Date",
IF(ISNUMBER(F561),"Valid","Invalid Date"))</f>
        <v>Valid</v>
      </c>
      <c r="K561" t="str">
        <f t="shared" si="146"/>
        <v>Valid</v>
      </c>
      <c r="L561">
        <f>G561-F561</f>
        <v>-82</v>
      </c>
      <c r="M561" t="s">
        <v>2693</v>
      </c>
      <c r="N561" t="s">
        <v>210</v>
      </c>
      <c r="O561" t="str">
        <f t="shared" si="147"/>
        <v>Diya Patel</v>
      </c>
      <c r="P561" t="s">
        <v>108</v>
      </c>
      <c r="Q561" t="str">
        <f t="shared" si="148"/>
        <v>Corporate</v>
      </c>
      <c r="R561" t="s">
        <v>42</v>
      </c>
      <c r="S561" t="str">
        <f t="shared" si="149"/>
        <v>East</v>
      </c>
      <c r="T561" t="s">
        <v>186</v>
      </c>
      <c r="U561" t="str">
        <f t="shared" si="150"/>
        <v>Bihar</v>
      </c>
      <c r="V561" t="s">
        <v>187</v>
      </c>
      <c r="W561" t="str">
        <f t="shared" si="151"/>
        <v>Patna</v>
      </c>
      <c r="X561" t="s">
        <v>86</v>
      </c>
      <c r="Y561" t="str">
        <f t="shared" si="152"/>
        <v>Technology</v>
      </c>
      <c r="Z561" t="s">
        <v>94</v>
      </c>
      <c r="AA561" t="str">
        <f t="shared" si="153"/>
        <v>Copiers</v>
      </c>
      <c r="AB561" t="s">
        <v>2694</v>
      </c>
      <c r="AC561" t="s">
        <v>33</v>
      </c>
      <c r="AD561" t="str">
        <f t="shared" si="154"/>
        <v>Second Class</v>
      </c>
      <c r="AE561">
        <v>5</v>
      </c>
      <c r="AF561">
        <v>3277.82</v>
      </c>
      <c r="AG561">
        <v>0.1</v>
      </c>
      <c r="AH561">
        <v>0.1</v>
      </c>
      <c r="AI561" t="str">
        <f t="shared" si="155"/>
        <v>Valid</v>
      </c>
      <c r="AJ561">
        <v>14750.19</v>
      </c>
      <c r="AK561">
        <f t="shared" si="156"/>
        <v>14750.190000000002</v>
      </c>
      <c r="AL561">
        <v>9482.58</v>
      </c>
      <c r="AM561">
        <v>5267.61</v>
      </c>
      <c r="AN561">
        <f t="shared" si="157"/>
        <v>5267.6100000000024</v>
      </c>
      <c r="AO561">
        <f t="shared" si="158"/>
        <v>-9482.58</v>
      </c>
      <c r="AP561" t="s">
        <v>34</v>
      </c>
      <c r="AQ561" t="str">
        <f t="shared" si="159"/>
        <v>Paid</v>
      </c>
      <c r="AR561" t="s">
        <v>125</v>
      </c>
      <c r="AS561" t="str">
        <f t="shared" si="160"/>
        <v>Returned</v>
      </c>
      <c r="AT561" t="str">
        <f t="shared" si="161"/>
        <v>Clean</v>
      </c>
    </row>
    <row r="562" spans="1:46">
      <c r="A562" t="s">
        <v>2695</v>
      </c>
      <c r="B562">
        <f>COUNTIF($D$2:D562,D562)</f>
        <v>1</v>
      </c>
      <c r="C562" t="str">
        <f>IF(COUNTIF($A:$A,A562)=1,
"Unique",
IF(COUNTIFS($A:$A,A562,$N:$N,N562,$AF:$AF,AF562,$AJ:$AJ,AJ562)&gt;1,
"Exact Duplicate",
"Conflicting Duplicate"))</f>
        <v>Unique</v>
      </c>
      <c r="D562" t="s">
        <v>2696</v>
      </c>
      <c r="E562" t="s">
        <v>1058</v>
      </c>
      <c r="F562" s="3">
        <v>45307</v>
      </c>
      <c r="G562" s="3">
        <v>45313</v>
      </c>
      <c r="H562" s="5" t="str">
        <f t="shared" si="144"/>
        <v>January</v>
      </c>
      <c r="I562" s="5">
        <f t="shared" si="145"/>
        <v>2024</v>
      </c>
      <c r="J562" t="str">
        <f>IF(F562="","Missing Date",
IF(ISNUMBER(F562),"Valid","Invalid Date"))</f>
        <v>Valid</v>
      </c>
      <c r="K562" t="str">
        <f t="shared" si="146"/>
        <v>Valid</v>
      </c>
      <c r="L562">
        <f>G562-F562</f>
        <v>6</v>
      </c>
      <c r="M562" t="s">
        <v>2697</v>
      </c>
      <c r="N562" t="s">
        <v>61</v>
      </c>
      <c r="O562" t="str">
        <f t="shared" si="147"/>
        <v>Arjun Bose</v>
      </c>
      <c r="P562" t="s">
        <v>26</v>
      </c>
      <c r="Q562" t="str">
        <f t="shared" si="148"/>
        <v>Consumer</v>
      </c>
      <c r="R562" t="s">
        <v>73</v>
      </c>
      <c r="S562" t="str">
        <f t="shared" si="149"/>
        <v>West</v>
      </c>
      <c r="T562" t="s">
        <v>249</v>
      </c>
      <c r="U562" t="str">
        <f t="shared" si="150"/>
        <v>Goa</v>
      </c>
      <c r="V562" t="s">
        <v>250</v>
      </c>
      <c r="W562" t="str">
        <f t="shared" si="151"/>
        <v>Panaji</v>
      </c>
      <c r="X562" t="s">
        <v>30</v>
      </c>
      <c r="Y562" t="str">
        <f t="shared" si="152"/>
        <v>Office Supplies</v>
      </c>
      <c r="Z562" t="s">
        <v>156</v>
      </c>
      <c r="AA562" t="str">
        <f t="shared" si="153"/>
        <v>Storage</v>
      </c>
      <c r="AB562" t="s">
        <v>2698</v>
      </c>
      <c r="AC562" t="s">
        <v>67</v>
      </c>
      <c r="AD562" t="str">
        <f t="shared" si="154"/>
        <v>Standard Class</v>
      </c>
      <c r="AE562">
        <v>4</v>
      </c>
      <c r="AF562">
        <v>282.52999999999997</v>
      </c>
      <c r="AG562">
        <v>0</v>
      </c>
      <c r="AH562">
        <v>0</v>
      </c>
      <c r="AI562" t="str">
        <f t="shared" si="155"/>
        <v>Valid</v>
      </c>
      <c r="AJ562">
        <v>1130.1199999999999</v>
      </c>
      <c r="AK562">
        <f t="shared" si="156"/>
        <v>1130.1199999999999</v>
      </c>
      <c r="AL562">
        <v>848.62</v>
      </c>
      <c r="AM562">
        <v>281.5</v>
      </c>
      <c r="AN562">
        <f t="shared" si="157"/>
        <v>281.49999999999989</v>
      </c>
      <c r="AO562">
        <f t="shared" si="158"/>
        <v>-848.62</v>
      </c>
      <c r="AP562" t="s">
        <v>34</v>
      </c>
      <c r="AQ562" t="str">
        <f t="shared" si="159"/>
        <v>Paid</v>
      </c>
      <c r="AR562" t="s">
        <v>78</v>
      </c>
      <c r="AS562" t="str">
        <f t="shared" si="160"/>
        <v>Cancelled</v>
      </c>
      <c r="AT562" t="str">
        <f t="shared" si="161"/>
        <v>Clean</v>
      </c>
    </row>
    <row r="563" spans="1:46">
      <c r="A563" t="s">
        <v>2699</v>
      </c>
      <c r="B563">
        <f>COUNTIF($D$2:D563,D563)</f>
        <v>1</v>
      </c>
      <c r="C563" t="str">
        <f>IF(COUNTIF($A:$A,A563)=1,
"Unique",
IF(COUNTIFS($A:$A,A563,$N:$N,N563,$AF:$AF,AF563,$AJ:$AJ,AJ563)&gt;1,
"Exact Duplicate",
"Conflicting Duplicate"))</f>
        <v>Unique</v>
      </c>
      <c r="D563" t="s">
        <v>762</v>
      </c>
      <c r="E563" t="s">
        <v>2700</v>
      </c>
      <c r="F563" s="3">
        <v>45852</v>
      </c>
      <c r="G563" s="2">
        <v>45856</v>
      </c>
      <c r="H563" s="5" t="str">
        <f t="shared" si="144"/>
        <v>July</v>
      </c>
      <c r="I563" s="5">
        <f t="shared" si="145"/>
        <v>2025</v>
      </c>
      <c r="J563" t="str">
        <f>IF(F563="","Missing Date",
IF(ISNUMBER(F563),"Valid","Invalid Date"))</f>
        <v>Valid</v>
      </c>
      <c r="K563" t="str">
        <f t="shared" si="146"/>
        <v>Valid</v>
      </c>
      <c r="L563">
        <f>G563-F563</f>
        <v>4</v>
      </c>
      <c r="M563" t="s">
        <v>2701</v>
      </c>
      <c r="N563" t="s">
        <v>107</v>
      </c>
      <c r="O563" t="str">
        <f t="shared" si="147"/>
        <v>Aditi Sen</v>
      </c>
      <c r="P563" t="s">
        <v>26</v>
      </c>
      <c r="Q563" t="str">
        <f t="shared" si="148"/>
        <v>Consumer</v>
      </c>
      <c r="R563" t="s">
        <v>27</v>
      </c>
      <c r="S563" t="str">
        <f t="shared" si="149"/>
        <v>North</v>
      </c>
      <c r="T563" t="s">
        <v>154</v>
      </c>
      <c r="U563" t="str">
        <f t="shared" si="150"/>
        <v>Punjab</v>
      </c>
      <c r="V563" t="s">
        <v>155</v>
      </c>
      <c r="W563" t="str">
        <f t="shared" si="151"/>
        <v>Ludhiana</v>
      </c>
      <c r="X563" t="s">
        <v>86</v>
      </c>
      <c r="Y563" t="str">
        <f t="shared" si="152"/>
        <v>Technology</v>
      </c>
      <c r="Z563" t="s">
        <v>94</v>
      </c>
      <c r="AA563" t="str">
        <f t="shared" si="153"/>
        <v>Copiers</v>
      </c>
      <c r="AB563" t="s">
        <v>2702</v>
      </c>
      <c r="AC563" t="s">
        <v>56</v>
      </c>
      <c r="AD563" t="str">
        <f t="shared" si="154"/>
        <v>First Class</v>
      </c>
      <c r="AE563">
        <v>4</v>
      </c>
      <c r="AF563">
        <v>725.22</v>
      </c>
      <c r="AG563">
        <v>0</v>
      </c>
      <c r="AH563">
        <v>0</v>
      </c>
      <c r="AI563" t="str">
        <f t="shared" si="155"/>
        <v>Valid</v>
      </c>
      <c r="AJ563">
        <v>2900.88</v>
      </c>
      <c r="AK563">
        <f t="shared" si="156"/>
        <v>2900.88</v>
      </c>
      <c r="AL563">
        <v>2391.85</v>
      </c>
      <c r="AM563">
        <v>509.03</v>
      </c>
      <c r="AN563">
        <f t="shared" si="157"/>
        <v>509.0300000000002</v>
      </c>
      <c r="AO563">
        <f t="shared" si="158"/>
        <v>-2391.85</v>
      </c>
      <c r="AP563" t="s">
        <v>137</v>
      </c>
      <c r="AQ563" t="str">
        <f t="shared" si="159"/>
        <v>Pending</v>
      </c>
      <c r="AR563" t="s">
        <v>125</v>
      </c>
      <c r="AS563" t="str">
        <f t="shared" si="160"/>
        <v>Returned</v>
      </c>
      <c r="AT563" t="str">
        <f t="shared" si="161"/>
        <v>Clean</v>
      </c>
    </row>
    <row r="564" spans="1:46">
      <c r="A564" t="s">
        <v>2703</v>
      </c>
      <c r="B564">
        <f>COUNTIF($D$2:D564,D564)</f>
        <v>2</v>
      </c>
      <c r="C564" t="str">
        <f>IF(COUNTIF($A:$A,A564)=1,
"Unique",
IF(COUNTIFS($A:$A,A564,$N:$N,N564,$AF:$AF,AF564,$AJ:$AJ,AJ564)&gt;1,
"Exact Duplicate",
"Conflicting Duplicate"))</f>
        <v>Unique</v>
      </c>
      <c r="D564" t="s">
        <v>2704</v>
      </c>
      <c r="E564" t="s">
        <v>2641</v>
      </c>
      <c r="F564" s="2">
        <v>45570</v>
      </c>
      <c r="G564" s="2">
        <v>45428</v>
      </c>
      <c r="H564" s="5" t="str">
        <f t="shared" si="144"/>
        <v>October</v>
      </c>
      <c r="I564" s="5">
        <f t="shared" si="145"/>
        <v>2024</v>
      </c>
      <c r="J564" t="str">
        <f>IF(F564="","Missing Date",
IF(ISNUMBER(F564),"Valid","Invalid Date"))</f>
        <v>Valid</v>
      </c>
      <c r="K564" t="str">
        <f t="shared" si="146"/>
        <v>Valid</v>
      </c>
      <c r="L564">
        <f>G564-F564</f>
        <v>-142</v>
      </c>
      <c r="M564" t="s">
        <v>2705</v>
      </c>
      <c r="N564" t="s">
        <v>25</v>
      </c>
      <c r="O564" t="str">
        <f t="shared" si="147"/>
        <v>Karan Malhotra</v>
      </c>
      <c r="P564" t="s">
        <v>26</v>
      </c>
      <c r="Q564" t="str">
        <f t="shared" si="148"/>
        <v>Consumer</v>
      </c>
      <c r="R564" t="s">
        <v>27</v>
      </c>
      <c r="S564" t="str">
        <f t="shared" si="149"/>
        <v>North</v>
      </c>
      <c r="T564" t="s">
        <v>154</v>
      </c>
      <c r="U564" t="str">
        <f t="shared" si="150"/>
        <v>Punjab</v>
      </c>
      <c r="V564" t="s">
        <v>155</v>
      </c>
      <c r="W564" t="str">
        <f t="shared" si="151"/>
        <v>Ludhiana</v>
      </c>
      <c r="X564" t="s">
        <v>30</v>
      </c>
      <c r="Y564" t="str">
        <f t="shared" si="152"/>
        <v>Office Supplies</v>
      </c>
      <c r="Z564" t="s">
        <v>198</v>
      </c>
      <c r="AA564" t="str">
        <f t="shared" si="153"/>
        <v>Binders</v>
      </c>
      <c r="AB564" t="s">
        <v>2706</v>
      </c>
      <c r="AC564" t="s">
        <v>48</v>
      </c>
      <c r="AD564" t="str">
        <f t="shared" si="154"/>
        <v>Same Day</v>
      </c>
      <c r="AE564">
        <v>7</v>
      </c>
      <c r="AF564">
        <v>121.54</v>
      </c>
      <c r="AG564">
        <v>0.2</v>
      </c>
      <c r="AH564">
        <v>0.2</v>
      </c>
      <c r="AI564" t="str">
        <f t="shared" si="155"/>
        <v>Valid</v>
      </c>
      <c r="AJ564">
        <v>680.62</v>
      </c>
      <c r="AK564">
        <f t="shared" si="156"/>
        <v>680.62400000000014</v>
      </c>
      <c r="AL564">
        <v>463.49</v>
      </c>
      <c r="AM564">
        <v>217.13</v>
      </c>
      <c r="AN564">
        <f t="shared" si="157"/>
        <v>217.13400000000013</v>
      </c>
      <c r="AO564">
        <f t="shared" si="158"/>
        <v>-463.49</v>
      </c>
      <c r="AP564" t="s">
        <v>200</v>
      </c>
      <c r="AQ564" t="str">
        <f t="shared" si="159"/>
        <v>Failed</v>
      </c>
      <c r="AR564" t="s">
        <v>125</v>
      </c>
      <c r="AS564" t="str">
        <f t="shared" si="160"/>
        <v>Returned</v>
      </c>
      <c r="AT564" t="str">
        <f t="shared" si="161"/>
        <v>Clean</v>
      </c>
    </row>
    <row r="565" spans="1:46">
      <c r="A565" t="s">
        <v>2707</v>
      </c>
      <c r="B565">
        <f>COUNTIF($D$2:D565,D565)</f>
        <v>3</v>
      </c>
      <c r="C565" t="str">
        <f>IF(COUNTIF($A:$A,A565)=1,
"Unique",
IF(COUNTIFS($A:$A,A565,$N:$N,N565,$AF:$AF,AF565,$AJ:$AJ,AJ565)&gt;1,
"Exact Duplicate",
"Conflicting Duplicate"))</f>
        <v>Unique</v>
      </c>
      <c r="D565" t="s">
        <v>2708</v>
      </c>
      <c r="E565" t="s">
        <v>1784</v>
      </c>
      <c r="F565" s="3">
        <v>45418</v>
      </c>
      <c r="G565" s="3">
        <v>45631</v>
      </c>
      <c r="H565" s="5" t="str">
        <f t="shared" si="144"/>
        <v>May</v>
      </c>
      <c r="I565" s="5">
        <f t="shared" si="145"/>
        <v>2024</v>
      </c>
      <c r="J565" t="str">
        <f>IF(F565="","Missing Date",
IF(ISNUMBER(F565),"Valid","Invalid Date"))</f>
        <v>Valid</v>
      </c>
      <c r="K565" t="str">
        <f t="shared" si="146"/>
        <v>Valid</v>
      </c>
      <c r="L565">
        <f>G565-F565</f>
        <v>213</v>
      </c>
      <c r="M565" t="s">
        <v>2709</v>
      </c>
      <c r="N565" t="s">
        <v>61</v>
      </c>
      <c r="O565" t="str">
        <f t="shared" si="147"/>
        <v>Arjun Bose</v>
      </c>
      <c r="P565" t="s">
        <v>108</v>
      </c>
      <c r="Q565" t="str">
        <f t="shared" si="148"/>
        <v>Corporate</v>
      </c>
      <c r="R565" t="s">
        <v>73</v>
      </c>
      <c r="S565" t="str">
        <f t="shared" si="149"/>
        <v>West</v>
      </c>
      <c r="T565" t="s">
        <v>249</v>
      </c>
      <c r="U565" t="str">
        <f t="shared" si="150"/>
        <v>Goa</v>
      </c>
      <c r="V565" t="s">
        <v>250</v>
      </c>
      <c r="W565" t="str">
        <f t="shared" si="151"/>
        <v>Panaji</v>
      </c>
      <c r="X565" t="s">
        <v>45</v>
      </c>
      <c r="Y565" t="str">
        <f t="shared" si="152"/>
        <v>Furniture</v>
      </c>
      <c r="Z565" t="s">
        <v>46</v>
      </c>
      <c r="AA565" t="str">
        <f t="shared" si="153"/>
        <v>Tables</v>
      </c>
      <c r="AB565" t="s">
        <v>2710</v>
      </c>
      <c r="AC565" t="s">
        <v>67</v>
      </c>
      <c r="AD565" t="str">
        <f t="shared" si="154"/>
        <v>Standard Class</v>
      </c>
      <c r="AE565">
        <v>9</v>
      </c>
      <c r="AF565">
        <v>790.97</v>
      </c>
      <c r="AG565">
        <v>0.2</v>
      </c>
      <c r="AH565">
        <v>0.2</v>
      </c>
      <c r="AI565" t="str">
        <f t="shared" si="155"/>
        <v>Valid</v>
      </c>
      <c r="AJ565">
        <v>5694.98</v>
      </c>
      <c r="AK565">
        <f t="shared" si="156"/>
        <v>5694.9840000000004</v>
      </c>
      <c r="AL565">
        <v>4618.33</v>
      </c>
      <c r="AM565">
        <v>1076.6500000000001</v>
      </c>
      <c r="AN565">
        <f t="shared" si="157"/>
        <v>1076.6540000000005</v>
      </c>
      <c r="AO565">
        <f t="shared" si="158"/>
        <v>-4618.33</v>
      </c>
      <c r="AP565" t="s">
        <v>137</v>
      </c>
      <c r="AQ565" t="str">
        <f t="shared" si="159"/>
        <v>Pending</v>
      </c>
      <c r="AR565" t="s">
        <v>78</v>
      </c>
      <c r="AS565" t="str">
        <f t="shared" si="160"/>
        <v>Cancelled</v>
      </c>
      <c r="AT565" t="str">
        <f t="shared" si="161"/>
        <v>Clean</v>
      </c>
    </row>
    <row r="566" spans="1:46">
      <c r="A566" t="s">
        <v>2711</v>
      </c>
      <c r="B566">
        <f>COUNTIF($D$2:D566,D566)</f>
        <v>4</v>
      </c>
      <c r="C566" t="str">
        <f>IF(COUNTIF($A:$A,A566)=1,
"Unique",
IF(COUNTIFS($A:$A,A566,$N:$N,N566,$AF:$AF,AF566,$AJ:$AJ,AJ566)&gt;1,
"Exact Duplicate",
"Conflicting Duplicate"))</f>
        <v>Unique</v>
      </c>
      <c r="D566" t="s">
        <v>105</v>
      </c>
      <c r="E566" t="s">
        <v>2712</v>
      </c>
      <c r="F566" s="3">
        <v>45606</v>
      </c>
      <c r="G566" s="3">
        <v>45610</v>
      </c>
      <c r="H566" s="5" t="str">
        <f t="shared" si="144"/>
        <v>November</v>
      </c>
      <c r="I566" s="5">
        <f t="shared" si="145"/>
        <v>2024</v>
      </c>
      <c r="J566" t="str">
        <f>IF(F566="","Missing Date",
IF(ISNUMBER(F566),"Valid","Invalid Date"))</f>
        <v>Valid</v>
      </c>
      <c r="K566" t="str">
        <f t="shared" si="146"/>
        <v>Valid</v>
      </c>
      <c r="L566">
        <f>G566-F566</f>
        <v>4</v>
      </c>
      <c r="M566" t="s">
        <v>2713</v>
      </c>
      <c r="N566" t="s">
        <v>168</v>
      </c>
      <c r="O566" t="str">
        <f t="shared" si="147"/>
        <v>Sneha Kapoor</v>
      </c>
      <c r="P566" t="s">
        <v>108</v>
      </c>
      <c r="Q566" t="str">
        <f t="shared" si="148"/>
        <v>Corporate</v>
      </c>
      <c r="R566" t="s">
        <v>62</v>
      </c>
      <c r="S566" t="str">
        <f t="shared" si="149"/>
        <v>South</v>
      </c>
      <c r="T566" t="s">
        <v>100</v>
      </c>
      <c r="U566" t="str">
        <f t="shared" si="150"/>
        <v>Andhra Pradesh</v>
      </c>
      <c r="V566" t="s">
        <v>101</v>
      </c>
      <c r="W566" t="str">
        <f t="shared" si="151"/>
        <v>Vijayawada</v>
      </c>
      <c r="X566" t="s">
        <v>45</v>
      </c>
      <c r="Y566" t="str">
        <f t="shared" si="152"/>
        <v>Furniture</v>
      </c>
      <c r="Z566" t="s">
        <v>46</v>
      </c>
      <c r="AA566" t="str">
        <f t="shared" si="153"/>
        <v>Tables</v>
      </c>
      <c r="AB566" t="s">
        <v>2714</v>
      </c>
      <c r="AC566" t="s">
        <v>56</v>
      </c>
      <c r="AD566" t="str">
        <f t="shared" si="154"/>
        <v>First Class</v>
      </c>
      <c r="AE566">
        <v>2</v>
      </c>
      <c r="AF566">
        <v>921.34</v>
      </c>
      <c r="AG566">
        <v>0.2</v>
      </c>
      <c r="AH566">
        <v>0.2</v>
      </c>
      <c r="AI566" t="str">
        <f t="shared" si="155"/>
        <v>Valid</v>
      </c>
      <c r="AJ566">
        <v>1474.14</v>
      </c>
      <c r="AK566">
        <f t="shared" si="156"/>
        <v>1474.1440000000002</v>
      </c>
      <c r="AL566">
        <v>968.46</v>
      </c>
      <c r="AM566">
        <v>505.68</v>
      </c>
      <c r="AN566">
        <f t="shared" si="157"/>
        <v>505.6840000000002</v>
      </c>
      <c r="AO566">
        <f t="shared" si="158"/>
        <v>-968.46</v>
      </c>
      <c r="AP566" t="s">
        <v>34</v>
      </c>
      <c r="AQ566" t="str">
        <f t="shared" si="159"/>
        <v>Paid</v>
      </c>
      <c r="AR566" t="s">
        <v>35</v>
      </c>
      <c r="AS566" t="str">
        <f t="shared" si="160"/>
        <v>Completed</v>
      </c>
      <c r="AT566" t="str">
        <f t="shared" si="161"/>
        <v>Clean</v>
      </c>
    </row>
    <row r="567" spans="1:46">
      <c r="A567" t="s">
        <v>2715</v>
      </c>
      <c r="B567">
        <f>COUNTIF($D$2:D567,D567)</f>
        <v>2</v>
      </c>
      <c r="C567" t="str">
        <f>IF(COUNTIF($A:$A,A567)=1,
"Unique",
IF(COUNTIFS($A:$A,A567,$N:$N,N567,$AF:$AF,AF567,$AJ:$AJ,AJ567)&gt;1,
"Exact Duplicate",
"Conflicting Duplicate"))</f>
        <v>Unique</v>
      </c>
      <c r="D567" t="s">
        <v>2716</v>
      </c>
      <c r="E567" t="s">
        <v>240</v>
      </c>
      <c r="F567" s="2">
        <v>45846</v>
      </c>
      <c r="G567" s="3">
        <v>45882</v>
      </c>
      <c r="H567" s="5" t="str">
        <f t="shared" si="144"/>
        <v>July</v>
      </c>
      <c r="I567" s="5">
        <f t="shared" si="145"/>
        <v>2025</v>
      </c>
      <c r="J567" t="str">
        <f>IF(F567="","Missing Date",
IF(ISNUMBER(F567),"Valid","Invalid Date"))</f>
        <v>Valid</v>
      </c>
      <c r="K567" t="str">
        <f t="shared" si="146"/>
        <v>Valid</v>
      </c>
      <c r="L567">
        <f>G567-F567</f>
        <v>36</v>
      </c>
      <c r="M567" t="s">
        <v>2717</v>
      </c>
      <c r="N567" t="s">
        <v>40</v>
      </c>
      <c r="O567" t="str">
        <f t="shared" si="147"/>
        <v>Mira Das</v>
      </c>
      <c r="P567" t="s">
        <v>108</v>
      </c>
      <c r="Q567" t="str">
        <f t="shared" si="148"/>
        <v>Corporate</v>
      </c>
      <c r="R567" t="s">
        <v>27</v>
      </c>
      <c r="S567" t="str">
        <f t="shared" si="149"/>
        <v>North</v>
      </c>
      <c r="T567" t="s">
        <v>506</v>
      </c>
      <c r="U567" t="str">
        <f t="shared" si="150"/>
        <v>Delhi</v>
      </c>
      <c r="V567" t="s">
        <v>507</v>
      </c>
      <c r="W567" t="str">
        <f t="shared" si="151"/>
        <v>New Delhi</v>
      </c>
      <c r="X567" t="s">
        <v>86</v>
      </c>
      <c r="Y567" t="str">
        <f t="shared" si="152"/>
        <v>Technology</v>
      </c>
      <c r="Z567" t="s">
        <v>223</v>
      </c>
      <c r="AA567" t="str">
        <f t="shared" si="153"/>
        <v>Phones</v>
      </c>
      <c r="AB567" t="s">
        <v>2718</v>
      </c>
      <c r="AC567" t="s">
        <v>67</v>
      </c>
      <c r="AD567" t="str">
        <f t="shared" si="154"/>
        <v>Standard Class</v>
      </c>
      <c r="AE567">
        <v>6</v>
      </c>
      <c r="AF567">
        <v>1921.86</v>
      </c>
      <c r="AG567">
        <v>0.2</v>
      </c>
      <c r="AH567">
        <v>0.2</v>
      </c>
      <c r="AI567" t="str">
        <f t="shared" si="155"/>
        <v>Valid</v>
      </c>
      <c r="AJ567">
        <v>9224.93</v>
      </c>
      <c r="AK567">
        <f t="shared" si="156"/>
        <v>9224.9279999999999</v>
      </c>
      <c r="AL567">
        <v>7005.2</v>
      </c>
      <c r="AM567">
        <v>2219.73</v>
      </c>
      <c r="AN567">
        <f t="shared" si="157"/>
        <v>2219.7280000000001</v>
      </c>
      <c r="AO567">
        <f t="shared" si="158"/>
        <v>-7005.2</v>
      </c>
      <c r="AP567" t="s">
        <v>124</v>
      </c>
      <c r="AQ567" t="str">
        <f t="shared" si="159"/>
        <v>Refunded</v>
      </c>
      <c r="AR567" t="s">
        <v>78</v>
      </c>
      <c r="AS567" t="str">
        <f t="shared" si="160"/>
        <v>Cancelled</v>
      </c>
      <c r="AT567" t="str">
        <f t="shared" si="161"/>
        <v>Clean</v>
      </c>
    </row>
    <row r="568" spans="1:46">
      <c r="A568" t="s">
        <v>2719</v>
      </c>
      <c r="B568">
        <f>COUNTIF($D$2:D568,D568)</f>
        <v>2</v>
      </c>
      <c r="C568" t="str">
        <f>IF(COUNTIF($A:$A,A568)=1,
"Unique",
IF(COUNTIFS($A:$A,A568,$N:$N,N568,$AF:$AF,AF568,$AJ:$AJ,AJ568)&gt;1,
"Exact Duplicate",
"Conflicting Duplicate"))</f>
        <v>Unique</v>
      </c>
      <c r="D568" t="s">
        <v>2438</v>
      </c>
      <c r="E568" t="s">
        <v>2720</v>
      </c>
      <c r="F568" s="2">
        <v>45604</v>
      </c>
      <c r="G568" s="3">
        <v>45523</v>
      </c>
      <c r="H568" s="5" t="str">
        <f t="shared" si="144"/>
        <v>November</v>
      </c>
      <c r="I568" s="5">
        <f t="shared" si="145"/>
        <v>2024</v>
      </c>
      <c r="J568" t="str">
        <f>IF(F568="","Missing Date",
IF(ISNUMBER(F568),"Valid","Invalid Date"))</f>
        <v>Valid</v>
      </c>
      <c r="K568" t="str">
        <f t="shared" si="146"/>
        <v>Valid</v>
      </c>
      <c r="L568">
        <f>G568-F568</f>
        <v>-81</v>
      </c>
      <c r="M568" t="s">
        <v>2721</v>
      </c>
      <c r="N568" t="s">
        <v>168</v>
      </c>
      <c r="O568" t="str">
        <f t="shared" si="147"/>
        <v>Sneha Kapoor</v>
      </c>
      <c r="P568" t="s">
        <v>41</v>
      </c>
      <c r="Q568" t="str">
        <f t="shared" si="148"/>
        <v>Small Business</v>
      </c>
      <c r="R568" t="s">
        <v>73</v>
      </c>
      <c r="S568" t="str">
        <f t="shared" si="149"/>
        <v>West</v>
      </c>
      <c r="T568" t="s">
        <v>74</v>
      </c>
      <c r="U568" t="str">
        <f t="shared" si="150"/>
        <v>Maharashtra</v>
      </c>
      <c r="V568" t="s">
        <v>75</v>
      </c>
      <c r="W568" t="str">
        <f t="shared" si="151"/>
        <v>Mumbai</v>
      </c>
      <c r="X568" t="s">
        <v>30</v>
      </c>
      <c r="Y568" t="str">
        <f t="shared" si="152"/>
        <v>Office Supplies</v>
      </c>
      <c r="Z568" t="s">
        <v>31</v>
      </c>
      <c r="AA568" t="str">
        <f t="shared" si="153"/>
        <v>Paper</v>
      </c>
      <c r="AB568" t="s">
        <v>2722</v>
      </c>
      <c r="AC568" t="s">
        <v>48</v>
      </c>
      <c r="AD568" t="str">
        <f t="shared" si="154"/>
        <v>Same Day</v>
      </c>
      <c r="AE568">
        <v>2</v>
      </c>
      <c r="AF568">
        <v>2617.89</v>
      </c>
      <c r="AG568">
        <v>0.1</v>
      </c>
      <c r="AH568">
        <v>0.1</v>
      </c>
      <c r="AI568" t="str">
        <f t="shared" si="155"/>
        <v>Valid</v>
      </c>
      <c r="AJ568">
        <v>4712.2</v>
      </c>
      <c r="AK568">
        <f t="shared" si="156"/>
        <v>4712.2020000000002</v>
      </c>
      <c r="AL568">
        <v>3851.91</v>
      </c>
      <c r="AM568">
        <v>860.29</v>
      </c>
      <c r="AN568">
        <f t="shared" si="157"/>
        <v>860.29200000000037</v>
      </c>
      <c r="AO568">
        <f t="shared" si="158"/>
        <v>-3851.91</v>
      </c>
      <c r="AP568" t="s">
        <v>200</v>
      </c>
      <c r="AQ568" t="str">
        <f t="shared" si="159"/>
        <v>Failed</v>
      </c>
      <c r="AR568" t="s">
        <v>125</v>
      </c>
      <c r="AS568" t="str">
        <f t="shared" si="160"/>
        <v>Returned</v>
      </c>
      <c r="AT568" t="str">
        <f t="shared" si="161"/>
        <v>Clean</v>
      </c>
    </row>
    <row r="569" spans="1:46">
      <c r="A569" t="s">
        <v>2723</v>
      </c>
      <c r="B569">
        <f>COUNTIF($D$2:D569,D569)</f>
        <v>4</v>
      </c>
      <c r="C569" t="str">
        <f>IF(COUNTIF($A:$A,A569)=1,
"Unique",
IF(COUNTIFS($A:$A,A569,$N:$N,N569,$AF:$AF,AF569,$AJ:$AJ,AJ569)&gt;1,
"Exact Duplicate",
"Conflicting Duplicate"))</f>
        <v>Unique</v>
      </c>
      <c r="D569" t="s">
        <v>2724</v>
      </c>
      <c r="E569" t="s">
        <v>2725</v>
      </c>
      <c r="F569" s="2">
        <v>45445</v>
      </c>
      <c r="G569" s="3">
        <v>45567</v>
      </c>
      <c r="H569" s="5" t="str">
        <f t="shared" si="144"/>
        <v>June</v>
      </c>
      <c r="I569" s="5">
        <f t="shared" si="145"/>
        <v>2024</v>
      </c>
      <c r="J569" t="str">
        <f>IF(F569="","Missing Date",
IF(ISNUMBER(F569),"Valid","Invalid Date"))</f>
        <v>Valid</v>
      </c>
      <c r="K569" t="str">
        <f t="shared" si="146"/>
        <v>Valid</v>
      </c>
      <c r="L569">
        <f>G569-F569</f>
        <v>122</v>
      </c>
      <c r="M569" t="s">
        <v>2726</v>
      </c>
      <c r="N569" t="s">
        <v>61</v>
      </c>
      <c r="O569" t="str">
        <f t="shared" si="147"/>
        <v>Arjun Bose</v>
      </c>
      <c r="P569" t="s">
        <v>115</v>
      </c>
      <c r="Q569" t="str">
        <f t="shared" si="148"/>
        <v>Home Office</v>
      </c>
      <c r="R569" t="s">
        <v>27</v>
      </c>
      <c r="S569" t="str">
        <f t="shared" si="149"/>
        <v>North</v>
      </c>
      <c r="T569" t="s">
        <v>174</v>
      </c>
      <c r="U569" t="str">
        <f t="shared" si="150"/>
        <v>Uttar Pradesh</v>
      </c>
      <c r="V569" t="s">
        <v>175</v>
      </c>
      <c r="W569" t="str">
        <f t="shared" si="151"/>
        <v>Noida</v>
      </c>
      <c r="X569" t="s">
        <v>45</v>
      </c>
      <c r="Y569" t="str">
        <f t="shared" si="152"/>
        <v>Furniture</v>
      </c>
      <c r="Z569" t="s">
        <v>65</v>
      </c>
      <c r="AA569" t="str">
        <f t="shared" si="153"/>
        <v>Furnishings</v>
      </c>
      <c r="AB569" t="s">
        <v>900</v>
      </c>
      <c r="AC569" t="s">
        <v>48</v>
      </c>
      <c r="AD569" t="str">
        <f t="shared" si="154"/>
        <v>Same Day</v>
      </c>
      <c r="AE569">
        <v>1</v>
      </c>
      <c r="AF569">
        <v>1374.06</v>
      </c>
      <c r="AG569">
        <v>0.05</v>
      </c>
      <c r="AH569">
        <v>0.05</v>
      </c>
      <c r="AI569" t="str">
        <f t="shared" si="155"/>
        <v>Valid</v>
      </c>
      <c r="AJ569">
        <v>1305.3599999999999</v>
      </c>
      <c r="AK569">
        <f t="shared" si="156"/>
        <v>1305.357</v>
      </c>
      <c r="AL569">
        <v>731.89</v>
      </c>
      <c r="AM569">
        <v>573.47</v>
      </c>
      <c r="AN569">
        <f t="shared" si="157"/>
        <v>573.46699999999998</v>
      </c>
      <c r="AO569">
        <f t="shared" si="158"/>
        <v>-731.89</v>
      </c>
      <c r="AP569" t="s">
        <v>34</v>
      </c>
      <c r="AQ569" t="str">
        <f t="shared" si="159"/>
        <v>Paid</v>
      </c>
      <c r="AR569" t="s">
        <v>35</v>
      </c>
      <c r="AS569" t="str">
        <f t="shared" si="160"/>
        <v>Completed</v>
      </c>
      <c r="AT569" t="str">
        <f t="shared" si="161"/>
        <v>Clean</v>
      </c>
    </row>
    <row r="570" spans="1:46">
      <c r="A570" t="s">
        <v>2727</v>
      </c>
      <c r="B570">
        <f>COUNTIF($D$2:D570,D570)</f>
        <v>2</v>
      </c>
      <c r="C570" t="str">
        <f>IF(COUNTIF($A:$A,A570)=1,
"Unique",
IF(COUNTIFS($A:$A,A570,$N:$N,N570,$AF:$AF,AF570,$AJ:$AJ,AJ570)&gt;1,
"Exact Duplicate",
"Conflicting Duplicate"))</f>
        <v>Unique</v>
      </c>
      <c r="D570" t="s">
        <v>1719</v>
      </c>
      <c r="E570" t="s">
        <v>2728</v>
      </c>
      <c r="F570" s="2">
        <v>45312</v>
      </c>
      <c r="G570" s="2">
        <v>45315</v>
      </c>
      <c r="H570" s="5" t="str">
        <f t="shared" si="144"/>
        <v>January</v>
      </c>
      <c r="I570" s="5">
        <f t="shared" si="145"/>
        <v>2024</v>
      </c>
      <c r="J570" t="str">
        <f>IF(F570="","Missing Date",
IF(ISNUMBER(F570),"Valid","Invalid Date"))</f>
        <v>Valid</v>
      </c>
      <c r="K570" t="str">
        <f t="shared" si="146"/>
        <v>Valid</v>
      </c>
      <c r="L570">
        <f>G570-F570</f>
        <v>3</v>
      </c>
      <c r="M570" t="s">
        <v>2729</v>
      </c>
      <c r="N570" t="s">
        <v>366</v>
      </c>
      <c r="O570" t="str">
        <f t="shared" si="147"/>
        <v>Kabir Singh</v>
      </c>
      <c r="P570" t="s">
        <v>108</v>
      </c>
      <c r="Q570" t="str">
        <f t="shared" si="148"/>
        <v>Corporate</v>
      </c>
      <c r="R570" t="s">
        <v>27</v>
      </c>
      <c r="S570" t="str">
        <f t="shared" si="149"/>
        <v>North</v>
      </c>
      <c r="T570" t="s">
        <v>154</v>
      </c>
      <c r="U570" t="str">
        <f t="shared" si="150"/>
        <v>Punjab</v>
      </c>
      <c r="V570" t="s">
        <v>155</v>
      </c>
      <c r="W570" t="str">
        <f t="shared" si="151"/>
        <v>Ludhiana</v>
      </c>
      <c r="X570" t="s">
        <v>86</v>
      </c>
      <c r="Y570" t="str">
        <f t="shared" si="152"/>
        <v>Technology</v>
      </c>
      <c r="Z570" t="s">
        <v>382</v>
      </c>
      <c r="AA570" t="str">
        <f t="shared" si="153"/>
        <v>Machines</v>
      </c>
      <c r="AB570" t="s">
        <v>2730</v>
      </c>
      <c r="AC570" t="s">
        <v>48</v>
      </c>
      <c r="AD570" t="str">
        <f t="shared" si="154"/>
        <v>Same Day</v>
      </c>
      <c r="AE570">
        <v>1</v>
      </c>
      <c r="AF570">
        <v>3806.3</v>
      </c>
      <c r="AG570">
        <v>0.25</v>
      </c>
      <c r="AH570">
        <v>0.25</v>
      </c>
      <c r="AI570" t="str">
        <f t="shared" si="155"/>
        <v>Valid</v>
      </c>
      <c r="AJ570">
        <v>2854.73</v>
      </c>
      <c r="AK570">
        <f t="shared" si="156"/>
        <v>2854.7250000000004</v>
      </c>
      <c r="AL570">
        <v>1968.12</v>
      </c>
      <c r="AM570">
        <v>886.61</v>
      </c>
      <c r="AN570">
        <f t="shared" si="157"/>
        <v>886.60500000000047</v>
      </c>
      <c r="AO570">
        <f t="shared" si="158"/>
        <v>-1968.12</v>
      </c>
      <c r="AP570" t="s">
        <v>34</v>
      </c>
      <c r="AQ570" t="str">
        <f t="shared" si="159"/>
        <v>Paid</v>
      </c>
      <c r="AR570" t="s">
        <v>35</v>
      </c>
      <c r="AS570" t="str">
        <f t="shared" si="160"/>
        <v>Completed</v>
      </c>
      <c r="AT570" t="str">
        <f t="shared" si="161"/>
        <v>Clean</v>
      </c>
    </row>
    <row r="571" spans="1:46">
      <c r="A571" t="s">
        <v>2731</v>
      </c>
      <c r="B571">
        <f>COUNTIF($D$2:D571,D571)</f>
        <v>2</v>
      </c>
      <c r="C571" t="str">
        <f>IF(COUNTIF($A:$A,A571)=1,
"Unique",
IF(COUNTIFS($A:$A,A571,$N:$N,N571,$AF:$AF,AF571,$AJ:$AJ,AJ571)&gt;1,
"Exact Duplicate",
"Conflicting Duplicate"))</f>
        <v>Unique</v>
      </c>
      <c r="D571" t="s">
        <v>2732</v>
      </c>
      <c r="E571" t="s">
        <v>2733</v>
      </c>
      <c r="F571" s="3">
        <v>45908</v>
      </c>
      <c r="G571" s="3">
        <v>45939</v>
      </c>
      <c r="H571" s="5" t="str">
        <f t="shared" si="144"/>
        <v>September</v>
      </c>
      <c r="I571" s="5">
        <f t="shared" si="145"/>
        <v>2025</v>
      </c>
      <c r="J571" t="str">
        <f>IF(F571="","Missing Date",
IF(ISNUMBER(F571),"Valid","Invalid Date"))</f>
        <v>Valid</v>
      </c>
      <c r="K571" t="str">
        <f t="shared" si="146"/>
        <v>Valid</v>
      </c>
      <c r="L571">
        <f>G571-F571</f>
        <v>31</v>
      </c>
      <c r="M571" t="s">
        <v>2734</v>
      </c>
      <c r="N571" t="s">
        <v>148</v>
      </c>
      <c r="O571" t="str">
        <f t="shared" si="147"/>
        <v>Rahul Verma</v>
      </c>
      <c r="P571" t="s">
        <v>115</v>
      </c>
      <c r="Q571" t="str">
        <f t="shared" si="148"/>
        <v>Home Office</v>
      </c>
      <c r="R571" t="s">
        <v>73</v>
      </c>
      <c r="S571" t="str">
        <f t="shared" si="149"/>
        <v>West</v>
      </c>
      <c r="T571" t="s">
        <v>74</v>
      </c>
      <c r="U571" t="str">
        <f t="shared" si="150"/>
        <v>Maharashtra</v>
      </c>
      <c r="V571" t="s">
        <v>75</v>
      </c>
      <c r="W571" t="str">
        <f t="shared" si="151"/>
        <v>Mumbai</v>
      </c>
      <c r="X571" t="s">
        <v>45</v>
      </c>
      <c r="Y571" t="str">
        <f t="shared" si="152"/>
        <v>Furniture</v>
      </c>
      <c r="Z571" t="s">
        <v>65</v>
      </c>
      <c r="AA571" t="str">
        <f t="shared" si="153"/>
        <v>Furnishings</v>
      </c>
      <c r="AB571" t="s">
        <v>2735</v>
      </c>
      <c r="AC571" t="s">
        <v>67</v>
      </c>
      <c r="AD571" t="str">
        <f t="shared" si="154"/>
        <v>Standard Class</v>
      </c>
      <c r="AE571">
        <v>6</v>
      </c>
      <c r="AF571">
        <v>3251.17</v>
      </c>
      <c r="AG571">
        <v>0.25</v>
      </c>
      <c r="AH571">
        <v>0.25</v>
      </c>
      <c r="AI571" t="str">
        <f t="shared" si="155"/>
        <v>Valid</v>
      </c>
      <c r="AJ571">
        <v>14630.26</v>
      </c>
      <c r="AK571">
        <f t="shared" si="156"/>
        <v>14630.264999999999</v>
      </c>
      <c r="AL571">
        <v>11906.36</v>
      </c>
      <c r="AM571">
        <v>2723.9</v>
      </c>
      <c r="AN571">
        <f t="shared" si="157"/>
        <v>2723.9049999999988</v>
      </c>
      <c r="AO571">
        <f t="shared" si="158"/>
        <v>-11906.36</v>
      </c>
      <c r="AP571" t="s">
        <v>124</v>
      </c>
      <c r="AQ571" t="str">
        <f t="shared" si="159"/>
        <v>Refunded</v>
      </c>
      <c r="AR571" t="s">
        <v>125</v>
      </c>
      <c r="AS571" t="str">
        <f t="shared" si="160"/>
        <v>Returned</v>
      </c>
      <c r="AT571" t="str">
        <f t="shared" si="161"/>
        <v>Clean</v>
      </c>
    </row>
    <row r="572" spans="1:46">
      <c r="A572" t="s">
        <v>2736</v>
      </c>
      <c r="B572">
        <f>COUNTIF($D$2:D572,D572)</f>
        <v>2</v>
      </c>
      <c r="C572" t="str">
        <f>IF(COUNTIF($A:$A,A572)=1,
"Unique",
IF(COUNTIFS($A:$A,A572,$N:$N,N572,$AF:$AF,AF572,$AJ:$AJ,AJ572)&gt;1,
"Exact Duplicate",
"Conflicting Duplicate"))</f>
        <v>Unique</v>
      </c>
      <c r="D572" t="s">
        <v>921</v>
      </c>
      <c r="E572" t="s">
        <v>698</v>
      </c>
      <c r="F572" s="3">
        <v>45887</v>
      </c>
      <c r="G572" s="3">
        <v>45891</v>
      </c>
      <c r="H572" s="5" t="str">
        <f t="shared" si="144"/>
        <v>August</v>
      </c>
      <c r="I572" s="5">
        <f t="shared" si="145"/>
        <v>2025</v>
      </c>
      <c r="J572" t="str">
        <f>IF(F572="","Missing Date",
IF(ISNUMBER(F572),"Valid","Invalid Date"))</f>
        <v>Valid</v>
      </c>
      <c r="K572" t="str">
        <f t="shared" si="146"/>
        <v>Valid</v>
      </c>
      <c r="L572">
        <f>G572-F572</f>
        <v>4</v>
      </c>
      <c r="M572" t="s">
        <v>2737</v>
      </c>
      <c r="N572" t="s">
        <v>61</v>
      </c>
      <c r="O572" t="str">
        <f t="shared" si="147"/>
        <v>Arjun Bose</v>
      </c>
      <c r="P572" t="s">
        <v>26</v>
      </c>
      <c r="Q572" t="str">
        <f t="shared" si="148"/>
        <v>Consumer</v>
      </c>
      <c r="R572" t="s">
        <v>42</v>
      </c>
      <c r="S572" t="str">
        <f t="shared" si="149"/>
        <v>East</v>
      </c>
      <c r="T572" t="s">
        <v>311</v>
      </c>
      <c r="U572" t="str">
        <f t="shared" si="150"/>
        <v>Jharkhand</v>
      </c>
      <c r="V572" t="s">
        <v>312</v>
      </c>
      <c r="W572" t="str">
        <f t="shared" si="151"/>
        <v>Ranchi</v>
      </c>
      <c r="X572" t="s">
        <v>45</v>
      </c>
      <c r="Y572" t="str">
        <f t="shared" si="152"/>
        <v>Furniture</v>
      </c>
      <c r="Z572" t="s">
        <v>65</v>
      </c>
      <c r="AA572" t="str">
        <f t="shared" si="153"/>
        <v>Furnishings</v>
      </c>
      <c r="AB572" t="s">
        <v>2738</v>
      </c>
      <c r="AC572" t="s">
        <v>33</v>
      </c>
      <c r="AD572" t="str">
        <f t="shared" si="154"/>
        <v>Second Class</v>
      </c>
      <c r="AE572">
        <v>3</v>
      </c>
      <c r="AF572">
        <v>3946.44</v>
      </c>
      <c r="AG572">
        <v>0.25</v>
      </c>
      <c r="AH572">
        <v>0.25</v>
      </c>
      <c r="AI572" t="str">
        <f t="shared" si="155"/>
        <v>Valid</v>
      </c>
      <c r="AJ572">
        <v>8879.49</v>
      </c>
      <c r="AK572">
        <f t="shared" si="156"/>
        <v>8879.49</v>
      </c>
      <c r="AL572">
        <v>6344.57</v>
      </c>
      <c r="AM572">
        <v>2534.92</v>
      </c>
      <c r="AN572">
        <f t="shared" si="157"/>
        <v>2534.92</v>
      </c>
      <c r="AO572">
        <f t="shared" si="158"/>
        <v>-6344.57</v>
      </c>
      <c r="AP572" t="s">
        <v>200</v>
      </c>
      <c r="AQ572" t="str">
        <f t="shared" si="159"/>
        <v>Failed</v>
      </c>
      <c r="AR572" t="s">
        <v>125</v>
      </c>
      <c r="AS572" t="str">
        <f t="shared" si="160"/>
        <v>Returned</v>
      </c>
      <c r="AT572" t="str">
        <f t="shared" si="161"/>
        <v>Clean</v>
      </c>
    </row>
    <row r="573" spans="1:46">
      <c r="A573" t="s">
        <v>2739</v>
      </c>
      <c r="B573">
        <f>COUNTIF($D$2:D573,D573)</f>
        <v>2</v>
      </c>
      <c r="C573" t="str">
        <f>IF(COUNTIF($A:$A,A573)=1,
"Unique",
IF(COUNTIFS($A:$A,A573,$N:$N,N573,$AF:$AF,AF573,$AJ:$AJ,AJ573)&gt;1,
"Exact Duplicate",
"Conflicting Duplicate"))</f>
        <v>Conflicting Duplicate</v>
      </c>
      <c r="D573" t="s">
        <v>2675</v>
      </c>
      <c r="E573" t="s">
        <v>2740</v>
      </c>
      <c r="F573" s="2">
        <v>45932</v>
      </c>
      <c r="G573" s="3">
        <v>45702</v>
      </c>
      <c r="H573" s="5" t="str">
        <f t="shared" si="144"/>
        <v>October</v>
      </c>
      <c r="I573" s="5">
        <f t="shared" si="145"/>
        <v>2025</v>
      </c>
      <c r="J573" t="str">
        <f>IF(F573="","Missing Date",
IF(ISNUMBER(F573),"Valid","Invalid Date"))</f>
        <v>Valid</v>
      </c>
      <c r="K573" t="str">
        <f t="shared" si="146"/>
        <v>Valid</v>
      </c>
      <c r="L573">
        <f>G573-F573</f>
        <v>-230</v>
      </c>
      <c r="M573" t="s">
        <v>2741</v>
      </c>
      <c r="N573" t="s">
        <v>142</v>
      </c>
      <c r="O573" t="str">
        <f t="shared" si="147"/>
        <v>Priya Menon</v>
      </c>
      <c r="P573" t="s">
        <v>41</v>
      </c>
      <c r="Q573" t="str">
        <f t="shared" si="148"/>
        <v>Small Business</v>
      </c>
      <c r="R573" t="s">
        <v>27</v>
      </c>
      <c r="S573" t="str">
        <f t="shared" si="149"/>
        <v>North</v>
      </c>
      <c r="T573" t="s">
        <v>174</v>
      </c>
      <c r="U573" t="str">
        <f t="shared" si="150"/>
        <v>Uttar Pradesh</v>
      </c>
      <c r="V573" t="s">
        <v>175</v>
      </c>
      <c r="W573" t="str">
        <f t="shared" si="151"/>
        <v>Noida</v>
      </c>
      <c r="X573" t="s">
        <v>86</v>
      </c>
      <c r="Y573" t="str">
        <f t="shared" si="152"/>
        <v>Technology</v>
      </c>
      <c r="Z573" t="s">
        <v>223</v>
      </c>
      <c r="AA573" t="str">
        <f t="shared" si="153"/>
        <v>Phones</v>
      </c>
      <c r="AB573" t="s">
        <v>2742</v>
      </c>
      <c r="AC573" t="s">
        <v>4104</v>
      </c>
      <c r="AD573" t="str">
        <f t="shared" si="154"/>
        <v>Unknown</v>
      </c>
      <c r="AE573">
        <v>5</v>
      </c>
      <c r="AF573">
        <v>4276.29</v>
      </c>
      <c r="AG573">
        <v>0</v>
      </c>
      <c r="AH573">
        <v>0</v>
      </c>
      <c r="AI573" t="str">
        <f t="shared" si="155"/>
        <v>Valid</v>
      </c>
      <c r="AJ573">
        <v>21381.45</v>
      </c>
      <c r="AK573">
        <f t="shared" si="156"/>
        <v>21381.45</v>
      </c>
      <c r="AL573">
        <v>13240.21</v>
      </c>
      <c r="AM573">
        <v>8141.24</v>
      </c>
      <c r="AN573">
        <f t="shared" si="157"/>
        <v>8141.2400000000016</v>
      </c>
      <c r="AO573">
        <f t="shared" si="158"/>
        <v>-13240.21</v>
      </c>
      <c r="AP573" t="s">
        <v>200</v>
      </c>
      <c r="AQ573" t="str">
        <f t="shared" si="159"/>
        <v>Failed</v>
      </c>
      <c r="AR573" t="s">
        <v>125</v>
      </c>
      <c r="AS573" t="str">
        <f t="shared" si="160"/>
        <v>Returned</v>
      </c>
      <c r="AT573" t="str">
        <f t="shared" si="161"/>
        <v>Clean</v>
      </c>
    </row>
    <row r="574" spans="1:46">
      <c r="A574" t="s">
        <v>2743</v>
      </c>
      <c r="B574">
        <f>COUNTIF($D$2:D574,D574)</f>
        <v>1</v>
      </c>
      <c r="C574" t="str">
        <f>IF(COUNTIF($A:$A,A574)=1,
"Unique",
IF(COUNTIFS($A:$A,A574,$N:$N,N574,$AF:$AF,AF574,$AJ:$AJ,AJ574)&gt;1,
"Exact Duplicate",
"Conflicting Duplicate"))</f>
        <v>Unique</v>
      </c>
      <c r="D574" t="s">
        <v>2744</v>
      </c>
      <c r="E574" t="s">
        <v>2745</v>
      </c>
      <c r="F574" s="3">
        <v>45293</v>
      </c>
      <c r="G574" s="3">
        <v>45536</v>
      </c>
      <c r="H574" s="5" t="str">
        <f t="shared" si="144"/>
        <v>January</v>
      </c>
      <c r="I574" s="5">
        <f t="shared" si="145"/>
        <v>2024</v>
      </c>
      <c r="J574" t="str">
        <f>IF(F574="","Missing Date",
IF(ISNUMBER(F574),"Valid","Invalid Date"))</f>
        <v>Valid</v>
      </c>
      <c r="K574" t="str">
        <f t="shared" si="146"/>
        <v>Valid</v>
      </c>
      <c r="L574">
        <f>G574-F574</f>
        <v>243</v>
      </c>
      <c r="M574" t="s">
        <v>2746</v>
      </c>
      <c r="N574" t="s">
        <v>210</v>
      </c>
      <c r="O574" t="str">
        <f t="shared" si="147"/>
        <v>Diya Patel</v>
      </c>
      <c r="P574" t="s">
        <v>108</v>
      </c>
      <c r="Q574" t="str">
        <f t="shared" si="148"/>
        <v>Corporate</v>
      </c>
      <c r="R574" t="s">
        <v>27</v>
      </c>
      <c r="S574" t="str">
        <f t="shared" si="149"/>
        <v>North</v>
      </c>
      <c r="T574" t="s">
        <v>506</v>
      </c>
      <c r="U574" t="str">
        <f t="shared" si="150"/>
        <v>Delhi</v>
      </c>
      <c r="V574" t="s">
        <v>507</v>
      </c>
      <c r="W574" t="str">
        <f t="shared" si="151"/>
        <v>New Delhi</v>
      </c>
      <c r="X574" t="s">
        <v>86</v>
      </c>
      <c r="Y574" t="str">
        <f t="shared" si="152"/>
        <v>Technology</v>
      </c>
      <c r="Z574" t="s">
        <v>223</v>
      </c>
      <c r="AA574" t="str">
        <f t="shared" si="153"/>
        <v>Phones</v>
      </c>
      <c r="AB574" t="s">
        <v>2747</v>
      </c>
      <c r="AC574" t="s">
        <v>67</v>
      </c>
      <c r="AD574" t="str">
        <f t="shared" si="154"/>
        <v>Standard Class</v>
      </c>
      <c r="AE574">
        <v>3</v>
      </c>
      <c r="AF574">
        <v>739.56</v>
      </c>
      <c r="AG574">
        <v>0.2</v>
      </c>
      <c r="AH574">
        <v>0.2</v>
      </c>
      <c r="AI574" t="str">
        <f t="shared" si="155"/>
        <v>Valid</v>
      </c>
      <c r="AJ574">
        <v>1774.94</v>
      </c>
      <c r="AK574">
        <f t="shared" si="156"/>
        <v>1774.944</v>
      </c>
      <c r="AL574">
        <v>1007.4</v>
      </c>
      <c r="AM574">
        <v>767.54</v>
      </c>
      <c r="AN574">
        <f t="shared" si="157"/>
        <v>767.54399999999998</v>
      </c>
      <c r="AO574">
        <f t="shared" si="158"/>
        <v>-1007.4</v>
      </c>
      <c r="AP574" t="s">
        <v>34</v>
      </c>
      <c r="AQ574" t="str">
        <f t="shared" si="159"/>
        <v>Paid</v>
      </c>
      <c r="AR574" t="s">
        <v>35</v>
      </c>
      <c r="AS574" t="str">
        <f t="shared" si="160"/>
        <v>Completed</v>
      </c>
      <c r="AT574" t="str">
        <f t="shared" si="161"/>
        <v>Clean</v>
      </c>
    </row>
    <row r="575" spans="1:46">
      <c r="A575" t="s">
        <v>2748</v>
      </c>
      <c r="B575">
        <f>COUNTIF($D$2:D575,D575)</f>
        <v>1</v>
      </c>
      <c r="C575" t="str">
        <f>IF(COUNTIF($A:$A,A575)=1,
"Unique",
IF(COUNTIFS($A:$A,A575,$N:$N,N575,$AF:$AF,AF575,$AJ:$AJ,AJ575)&gt;1,
"Exact Duplicate",
"Conflicting Duplicate"))</f>
        <v>Unique</v>
      </c>
      <c r="D575" t="s">
        <v>2749</v>
      </c>
      <c r="E575" t="s">
        <v>2750</v>
      </c>
      <c r="F575" s="3">
        <v>45922</v>
      </c>
      <c r="G575" s="3">
        <v>45926</v>
      </c>
      <c r="H575" s="5" t="str">
        <f t="shared" si="144"/>
        <v>September</v>
      </c>
      <c r="I575" s="5">
        <f t="shared" si="145"/>
        <v>2025</v>
      </c>
      <c r="J575" t="str">
        <f>IF(F575="","Missing Date",
IF(ISNUMBER(F575),"Valid","Invalid Date"))</f>
        <v>Valid</v>
      </c>
      <c r="K575" t="str">
        <f t="shared" si="146"/>
        <v>Valid</v>
      </c>
      <c r="L575">
        <f>G575-F575</f>
        <v>4</v>
      </c>
      <c r="M575" t="s">
        <v>2751</v>
      </c>
      <c r="N575" t="s">
        <v>53</v>
      </c>
      <c r="O575" t="str">
        <f t="shared" si="147"/>
        <v>Isha Nair</v>
      </c>
      <c r="P575" t="s">
        <v>26</v>
      </c>
      <c r="Q575" t="str">
        <f t="shared" si="148"/>
        <v>Consumer</v>
      </c>
      <c r="R575" t="s">
        <v>62</v>
      </c>
      <c r="S575" t="str">
        <f t="shared" si="149"/>
        <v>South</v>
      </c>
      <c r="T575" t="s">
        <v>100</v>
      </c>
      <c r="U575" t="str">
        <f t="shared" si="150"/>
        <v>Andhra Pradesh</v>
      </c>
      <c r="V575" t="s">
        <v>101</v>
      </c>
      <c r="W575" t="str">
        <f t="shared" si="151"/>
        <v>Vijayawada</v>
      </c>
      <c r="X575" t="s">
        <v>86</v>
      </c>
      <c r="Y575" t="str">
        <f t="shared" si="152"/>
        <v>Technology</v>
      </c>
      <c r="Z575" t="s">
        <v>223</v>
      </c>
      <c r="AA575" t="str">
        <f t="shared" si="153"/>
        <v>Phones</v>
      </c>
      <c r="AB575" t="s">
        <v>2752</v>
      </c>
      <c r="AC575" t="s">
        <v>67</v>
      </c>
      <c r="AD575" t="str">
        <f t="shared" si="154"/>
        <v>Standard Class</v>
      </c>
      <c r="AE575">
        <v>1</v>
      </c>
      <c r="AF575">
        <v>573.65</v>
      </c>
      <c r="AG575">
        <v>0</v>
      </c>
      <c r="AH575">
        <v>0</v>
      </c>
      <c r="AI575" t="str">
        <f t="shared" si="155"/>
        <v>Valid</v>
      </c>
      <c r="AJ575">
        <v>573.65</v>
      </c>
      <c r="AK575">
        <f t="shared" si="156"/>
        <v>573.65</v>
      </c>
      <c r="AL575">
        <v>322.67</v>
      </c>
      <c r="AM575">
        <v>250.98</v>
      </c>
      <c r="AN575">
        <f t="shared" si="157"/>
        <v>250.97999999999996</v>
      </c>
      <c r="AO575">
        <f t="shared" si="158"/>
        <v>-322.67</v>
      </c>
      <c r="AP575" t="s">
        <v>34</v>
      </c>
      <c r="AQ575" t="str">
        <f t="shared" si="159"/>
        <v>Paid</v>
      </c>
      <c r="AR575" t="s">
        <v>35</v>
      </c>
      <c r="AS575" t="str">
        <f t="shared" si="160"/>
        <v>Completed</v>
      </c>
      <c r="AT575" t="str">
        <f t="shared" si="161"/>
        <v>Clean</v>
      </c>
    </row>
    <row r="576" spans="1:46">
      <c r="A576" t="s">
        <v>2753</v>
      </c>
      <c r="B576">
        <f>COUNTIF($D$2:D576,D576)</f>
        <v>4</v>
      </c>
      <c r="C576" t="str">
        <f>IF(COUNTIF($A:$A,A576)=1,
"Unique",
IF(COUNTIFS($A:$A,A576,$N:$N,N576,$AF:$AF,AF576,$AJ:$AJ,AJ576)&gt;1,
"Exact Duplicate",
"Conflicting Duplicate"))</f>
        <v>Unique</v>
      </c>
      <c r="D576" t="s">
        <v>2754</v>
      </c>
      <c r="E576" t="s">
        <v>1645</v>
      </c>
      <c r="F576" s="2">
        <v>45342</v>
      </c>
      <c r="G576" s="3">
        <v>45347</v>
      </c>
      <c r="H576" s="5" t="str">
        <f t="shared" si="144"/>
        <v>February</v>
      </c>
      <c r="I576" s="5">
        <f t="shared" si="145"/>
        <v>2024</v>
      </c>
      <c r="J576" t="str">
        <f>IF(F576="","Missing Date",
IF(ISNUMBER(F576),"Valid","Invalid Date"))</f>
        <v>Valid</v>
      </c>
      <c r="K576" t="str">
        <f t="shared" si="146"/>
        <v>Valid</v>
      </c>
      <c r="L576">
        <f>G576-F576</f>
        <v>5</v>
      </c>
      <c r="M576" t="s">
        <v>1226</v>
      </c>
      <c r="N576" t="s">
        <v>210</v>
      </c>
      <c r="O576" t="str">
        <f t="shared" si="147"/>
        <v>Diya Patel</v>
      </c>
      <c r="P576" t="s">
        <v>115</v>
      </c>
      <c r="Q576" t="str">
        <f t="shared" si="148"/>
        <v>Home Office</v>
      </c>
      <c r="R576" t="s">
        <v>27</v>
      </c>
      <c r="S576" t="str">
        <f t="shared" si="149"/>
        <v>North</v>
      </c>
      <c r="T576" t="s">
        <v>154</v>
      </c>
      <c r="U576" t="str">
        <f t="shared" si="150"/>
        <v>Punjab</v>
      </c>
      <c r="V576" t="s">
        <v>155</v>
      </c>
      <c r="W576" t="str">
        <f t="shared" si="151"/>
        <v>Ludhiana</v>
      </c>
      <c r="X576" t="s">
        <v>86</v>
      </c>
      <c r="Y576" t="str">
        <f t="shared" si="152"/>
        <v>Technology</v>
      </c>
      <c r="Z576" t="s">
        <v>382</v>
      </c>
      <c r="AA576" t="str">
        <f t="shared" si="153"/>
        <v>Machines</v>
      </c>
      <c r="AB576" t="s">
        <v>2755</v>
      </c>
      <c r="AC576" t="s">
        <v>67</v>
      </c>
      <c r="AD576" t="str">
        <f t="shared" si="154"/>
        <v>Standard Class</v>
      </c>
      <c r="AE576">
        <v>4</v>
      </c>
      <c r="AF576">
        <v>1355.8</v>
      </c>
      <c r="AG576">
        <v>0</v>
      </c>
      <c r="AH576">
        <v>0</v>
      </c>
      <c r="AI576" t="str">
        <f t="shared" si="155"/>
        <v>Valid</v>
      </c>
      <c r="AJ576">
        <v>5423.2</v>
      </c>
      <c r="AK576">
        <f t="shared" si="156"/>
        <v>5423.2</v>
      </c>
      <c r="AL576">
        <v>4072.44</v>
      </c>
      <c r="AM576">
        <v>1350.76</v>
      </c>
      <c r="AN576">
        <f t="shared" si="157"/>
        <v>1350.7599999999998</v>
      </c>
      <c r="AO576">
        <f t="shared" si="158"/>
        <v>-4072.44</v>
      </c>
      <c r="AP576" t="s">
        <v>34</v>
      </c>
      <c r="AQ576" t="str">
        <f t="shared" si="159"/>
        <v>Paid</v>
      </c>
      <c r="AR576" t="s">
        <v>35</v>
      </c>
      <c r="AS576" t="str">
        <f t="shared" si="160"/>
        <v>Completed</v>
      </c>
      <c r="AT576" t="str">
        <f t="shared" si="161"/>
        <v>Clean</v>
      </c>
    </row>
    <row r="577" spans="1:46">
      <c r="A577" t="s">
        <v>2756</v>
      </c>
      <c r="B577">
        <f>COUNTIF($D$2:D577,D577)</f>
        <v>2</v>
      </c>
      <c r="C577" t="str">
        <f>IF(COUNTIF($A:$A,A577)=1,
"Unique",
IF(COUNTIFS($A:$A,A577,$N:$N,N577,$AF:$AF,AF577,$AJ:$AJ,AJ577)&gt;1,
"Exact Duplicate",
"Conflicting Duplicate"))</f>
        <v>Unique</v>
      </c>
      <c r="D577" t="s">
        <v>2757</v>
      </c>
      <c r="E577" t="s">
        <v>2758</v>
      </c>
      <c r="F577" s="2">
        <v>45964</v>
      </c>
      <c r="G577" s="2">
        <v>45730</v>
      </c>
      <c r="H577" s="5" t="str">
        <f t="shared" si="144"/>
        <v>November</v>
      </c>
      <c r="I577" s="5">
        <f t="shared" si="145"/>
        <v>2025</v>
      </c>
      <c r="J577" t="str">
        <f>IF(F577="","Missing Date",
IF(ISNUMBER(F577),"Valid","Invalid Date"))</f>
        <v>Valid</v>
      </c>
      <c r="K577" t="str">
        <f t="shared" si="146"/>
        <v>Valid</v>
      </c>
      <c r="L577">
        <f>G577-F577</f>
        <v>-234</v>
      </c>
      <c r="M577" t="s">
        <v>2759</v>
      </c>
      <c r="N577" t="s">
        <v>168</v>
      </c>
      <c r="O577" t="str">
        <f t="shared" si="147"/>
        <v>Sneha Kapoor</v>
      </c>
      <c r="P577" t="s">
        <v>115</v>
      </c>
      <c r="Q577" t="str">
        <f t="shared" si="148"/>
        <v>Home Office</v>
      </c>
      <c r="R577" t="s">
        <v>62</v>
      </c>
      <c r="S577" t="str">
        <f t="shared" si="149"/>
        <v>South</v>
      </c>
      <c r="T577" t="s">
        <v>242</v>
      </c>
      <c r="U577" t="str">
        <f t="shared" si="150"/>
        <v>Kerala</v>
      </c>
      <c r="V577" t="s">
        <v>243</v>
      </c>
      <c r="W577" t="str">
        <f t="shared" si="151"/>
        <v>Kochi</v>
      </c>
      <c r="X577" t="s">
        <v>45</v>
      </c>
      <c r="Y577" t="str">
        <f t="shared" si="152"/>
        <v>Furniture</v>
      </c>
      <c r="Z577" t="s">
        <v>65</v>
      </c>
      <c r="AA577" t="str">
        <f t="shared" si="153"/>
        <v>Furnishings</v>
      </c>
      <c r="AB577" t="s">
        <v>2760</v>
      </c>
      <c r="AC577" t="s">
        <v>48</v>
      </c>
      <c r="AD577" t="str">
        <f t="shared" si="154"/>
        <v>Same Day</v>
      </c>
      <c r="AE577">
        <v>4</v>
      </c>
      <c r="AF577">
        <v>1244.82</v>
      </c>
      <c r="AG577">
        <v>0.2</v>
      </c>
      <c r="AH577">
        <v>0.2</v>
      </c>
      <c r="AI577" t="str">
        <f t="shared" si="155"/>
        <v>Valid</v>
      </c>
      <c r="AJ577">
        <v>3983.42</v>
      </c>
      <c r="AK577">
        <f t="shared" si="156"/>
        <v>3983.424</v>
      </c>
      <c r="AL577">
        <v>3174.91</v>
      </c>
      <c r="AM577">
        <v>808.51</v>
      </c>
      <c r="AN577">
        <f t="shared" si="157"/>
        <v>808.51400000000012</v>
      </c>
      <c r="AO577">
        <f t="shared" si="158"/>
        <v>-3174.91</v>
      </c>
      <c r="AP577" t="s">
        <v>200</v>
      </c>
      <c r="AQ577" t="str">
        <f t="shared" si="159"/>
        <v>Failed</v>
      </c>
      <c r="AR577" t="s">
        <v>125</v>
      </c>
      <c r="AS577" t="str">
        <f t="shared" si="160"/>
        <v>Returned</v>
      </c>
      <c r="AT577" t="str">
        <f t="shared" si="161"/>
        <v>Clean</v>
      </c>
    </row>
    <row r="578" spans="1:46">
      <c r="A578" t="s">
        <v>2761</v>
      </c>
      <c r="B578">
        <f>COUNTIF($D$2:D578,D578)</f>
        <v>1</v>
      </c>
      <c r="C578" t="str">
        <f>IF(COUNTIF($A:$A,A578)=1,
"Unique",
IF(COUNTIFS($A:$A,A578,$N:$N,N578,$AF:$AF,AF578,$AJ:$AJ,AJ578)&gt;1,
"Exact Duplicate",
"Conflicting Duplicate"))</f>
        <v>Unique</v>
      </c>
      <c r="D578" t="s">
        <v>2762</v>
      </c>
      <c r="E578" t="s">
        <v>2763</v>
      </c>
      <c r="F578" s="3">
        <v>45339</v>
      </c>
      <c r="G578" s="3">
        <v>45345</v>
      </c>
      <c r="H578" s="5" t="str">
        <f t="shared" si="144"/>
        <v>February</v>
      </c>
      <c r="I578" s="5">
        <f t="shared" si="145"/>
        <v>2024</v>
      </c>
      <c r="J578" t="str">
        <f>IF(F578="","Missing Date",
IF(ISNUMBER(F578),"Valid","Invalid Date"))</f>
        <v>Valid</v>
      </c>
      <c r="K578" t="str">
        <f t="shared" si="146"/>
        <v>Valid</v>
      </c>
      <c r="L578">
        <f>G578-F578</f>
        <v>6</v>
      </c>
      <c r="M578" t="s">
        <v>2764</v>
      </c>
      <c r="N578" t="s">
        <v>180</v>
      </c>
      <c r="O578" t="str">
        <f t="shared" si="147"/>
        <v>Rohan Mehta</v>
      </c>
      <c r="P578" t="s">
        <v>115</v>
      </c>
      <c r="Q578" t="str">
        <f t="shared" si="148"/>
        <v>Home Office</v>
      </c>
      <c r="R578" t="s">
        <v>4104</v>
      </c>
      <c r="S578" t="s">
        <v>4104</v>
      </c>
      <c r="T578" t="s">
        <v>186</v>
      </c>
      <c r="U578" t="str">
        <f t="shared" si="150"/>
        <v>Bihar</v>
      </c>
      <c r="V578" t="s">
        <v>187</v>
      </c>
      <c r="W578" t="str">
        <f t="shared" si="151"/>
        <v>Patna</v>
      </c>
      <c r="X578" t="s">
        <v>30</v>
      </c>
      <c r="Y578" t="str">
        <f t="shared" si="152"/>
        <v>Office Supplies</v>
      </c>
      <c r="Z578" t="s">
        <v>198</v>
      </c>
      <c r="AA578" t="str">
        <f t="shared" si="153"/>
        <v>Binders</v>
      </c>
      <c r="AB578" t="s">
        <v>2765</v>
      </c>
      <c r="AC578" t="s">
        <v>67</v>
      </c>
      <c r="AD578" t="str">
        <f t="shared" si="154"/>
        <v>Standard Class</v>
      </c>
      <c r="AE578">
        <v>9</v>
      </c>
      <c r="AF578">
        <v>2614.46</v>
      </c>
      <c r="AG578">
        <v>0</v>
      </c>
      <c r="AH578">
        <v>0</v>
      </c>
      <c r="AI578" t="str">
        <f t="shared" si="155"/>
        <v>Valid</v>
      </c>
      <c r="AJ578">
        <v>23530.14</v>
      </c>
      <c r="AK578">
        <f t="shared" si="156"/>
        <v>23530.14</v>
      </c>
      <c r="AL578">
        <v>19537.79</v>
      </c>
      <c r="AM578">
        <v>3992.35</v>
      </c>
      <c r="AN578">
        <f t="shared" si="157"/>
        <v>3992.3499999999985</v>
      </c>
      <c r="AO578">
        <f t="shared" si="158"/>
        <v>-19537.79</v>
      </c>
      <c r="AP578" t="s">
        <v>124</v>
      </c>
      <c r="AQ578" t="str">
        <f t="shared" si="159"/>
        <v>Refunded</v>
      </c>
      <c r="AR578" t="s">
        <v>125</v>
      </c>
      <c r="AS578" t="str">
        <f t="shared" si="160"/>
        <v>Returned</v>
      </c>
      <c r="AT578" t="str">
        <f t="shared" si="161"/>
        <v>Clean</v>
      </c>
    </row>
    <row r="579" spans="1:46">
      <c r="A579" t="s">
        <v>2766</v>
      </c>
      <c r="B579">
        <f>COUNTIF($D$2:D579,D579)</f>
        <v>2</v>
      </c>
      <c r="C579" t="str">
        <f>IF(COUNTIF($A:$A,A579)=1,
"Unique",
IF(COUNTIFS($A:$A,A579,$N:$N,N579,$AF:$AF,AF579,$AJ:$AJ,AJ579)&gt;1,
"Exact Duplicate",
"Conflicting Duplicate"))</f>
        <v>Unique</v>
      </c>
      <c r="D579" t="s">
        <v>435</v>
      </c>
      <c r="E579" t="s">
        <v>2767</v>
      </c>
      <c r="F579" s="3">
        <v>45897</v>
      </c>
      <c r="G579" s="3">
        <v>45725</v>
      </c>
      <c r="H579" s="5" t="str">
        <f t="shared" ref="H579:H642" si="162">TEXT(DATE(2024,MONTH(F579),1),"MMMM")</f>
        <v>August</v>
      </c>
      <c r="I579" s="5">
        <f t="shared" ref="I579:I642" si="163">YEAR(F579)</f>
        <v>2025</v>
      </c>
      <c r="J579" t="str">
        <f>IF(F579="","Missing Date",
IF(ISNUMBER(F579),"Valid","Invalid Date"))</f>
        <v>Valid</v>
      </c>
      <c r="K579" t="str">
        <f t="shared" ref="K579:K642" si="164">IF(G579="","Missing Date",
IF(ISNUMBER(G579),"Valid","Invalid Date"))</f>
        <v>Valid</v>
      </c>
      <c r="L579">
        <f>G579-F579</f>
        <v>-172</v>
      </c>
      <c r="M579" t="s">
        <v>2768</v>
      </c>
      <c r="N579" t="s">
        <v>142</v>
      </c>
      <c r="O579" t="str">
        <f t="shared" ref="O579:O642" si="165">TRIM(PROPER(CLEAN(N579)))</f>
        <v>Priya Menon</v>
      </c>
      <c r="P579" t="s">
        <v>108</v>
      </c>
      <c r="Q579" t="str">
        <f t="shared" ref="Q579:Q642" si="166">TRIM(PROPER(CLEAN(P579)))</f>
        <v>Corporate</v>
      </c>
      <c r="R579" t="s">
        <v>73</v>
      </c>
      <c r="S579" t="str">
        <f t="shared" ref="S579:S642" si="167">TRIM(PROPER(CLEAN(R579)))</f>
        <v>West</v>
      </c>
      <c r="T579" t="s">
        <v>84</v>
      </c>
      <c r="U579" t="str">
        <f t="shared" ref="U579:U642" si="168">TRIM(PROPER(CLEAN(T579)))</f>
        <v>Madhya Pradesh</v>
      </c>
      <c r="V579" t="s">
        <v>85</v>
      </c>
      <c r="W579" t="str">
        <f t="shared" ref="W579:W642" si="169">TRIM(PROPER(CLEAN(V579)))</f>
        <v>Indore</v>
      </c>
      <c r="X579" t="s">
        <v>45</v>
      </c>
      <c r="Y579" t="str">
        <f t="shared" ref="Y579:Y642" si="170">TRIM(PROPER(CLEAN(X579)))</f>
        <v>Furniture</v>
      </c>
      <c r="Z579" t="s">
        <v>65</v>
      </c>
      <c r="AA579" t="str">
        <f t="shared" ref="AA579:AA642" si="171">TRIM(PROPER(CLEAN(Z579)))</f>
        <v>Furnishings</v>
      </c>
      <c r="AB579" t="s">
        <v>2769</v>
      </c>
      <c r="AC579" t="s">
        <v>67</v>
      </c>
      <c r="AD579" t="str">
        <f t="shared" ref="AD579:AD642" si="172">TRIM(PROPER(CLEAN(AC579)))</f>
        <v>Standard Class</v>
      </c>
      <c r="AE579">
        <v>7</v>
      </c>
      <c r="AF579">
        <v>268.45</v>
      </c>
      <c r="AG579">
        <v>0</v>
      </c>
      <c r="AH579">
        <v>0</v>
      </c>
      <c r="AI579" t="str">
        <f t="shared" ref="AI579:AI642" si="173">IF(AG579="","Missing Discount",IF(AG579&lt;0,"Invalid - Negative Discount",IF(AG579&gt;1,"Invalid - Above Range","Valid")))</f>
        <v>Valid</v>
      </c>
      <c r="AJ579">
        <v>1879.15</v>
      </c>
      <c r="AK579">
        <f t="shared" ref="AK579:AK642" si="174">AE579*AF579*(1-AH579)</f>
        <v>1879.1499999999999</v>
      </c>
      <c r="AL579">
        <v>1134.9000000000001</v>
      </c>
      <c r="AM579">
        <v>744.25</v>
      </c>
      <c r="AN579">
        <f t="shared" ref="AN579:AN642" si="175">AK579-AL579</f>
        <v>744.24999999999977</v>
      </c>
      <c r="AO579">
        <f t="shared" ref="AO579:AO642" si="176">AN579-AK579</f>
        <v>-1134.9000000000001</v>
      </c>
      <c r="AP579" t="s">
        <v>34</v>
      </c>
      <c r="AQ579" t="str">
        <f t="shared" ref="AQ579:AQ642" si="177">TRIM(PROPER(CLEAN(AP579)))</f>
        <v>Paid</v>
      </c>
      <c r="AR579" t="s">
        <v>35</v>
      </c>
      <c r="AS579" t="str">
        <f t="shared" ref="AS579:AS642" si="178">TRIM(PROPER(CLEAN(AR579)))</f>
        <v>Completed</v>
      </c>
      <c r="AT579" t="str">
        <f t="shared" ref="AT579:AT642" si="179">IF(OR(AH579="Unknown",AJ579="Unknown",AM579="Unknown",A579="Unknown"),"Needs Review","Clean")</f>
        <v>Clean</v>
      </c>
    </row>
    <row r="580" spans="1:46">
      <c r="A580" t="s">
        <v>2770</v>
      </c>
      <c r="B580">
        <f>COUNTIF($D$2:D580,D580)</f>
        <v>1</v>
      </c>
      <c r="C580" t="str">
        <f>IF(COUNTIF($A:$A,A580)=1,
"Unique",
IF(COUNTIFS($A:$A,A580,$N:$N,N580,$AF:$AF,AF580,$AJ:$AJ,AJ580)&gt;1,
"Exact Duplicate",
"Conflicting Duplicate"))</f>
        <v>Unique</v>
      </c>
      <c r="D580" t="s">
        <v>2771</v>
      </c>
      <c r="E580" t="s">
        <v>2772</v>
      </c>
      <c r="F580" s="3">
        <v>45343</v>
      </c>
      <c r="G580" s="3">
        <v>45345</v>
      </c>
      <c r="H580" s="5" t="str">
        <f t="shared" si="162"/>
        <v>February</v>
      </c>
      <c r="I580" s="5">
        <f t="shared" si="163"/>
        <v>2024</v>
      </c>
      <c r="J580" t="str">
        <f>IF(F580="","Missing Date",
IF(ISNUMBER(F580),"Valid","Invalid Date"))</f>
        <v>Valid</v>
      </c>
      <c r="K580" t="str">
        <f t="shared" si="164"/>
        <v>Valid</v>
      </c>
      <c r="L580">
        <f>G580-F580</f>
        <v>2</v>
      </c>
      <c r="M580" t="s">
        <v>417</v>
      </c>
      <c r="N580" t="s">
        <v>93</v>
      </c>
      <c r="O580" t="str">
        <f t="shared" si="165"/>
        <v>Neha Gupta</v>
      </c>
      <c r="P580" t="s">
        <v>41</v>
      </c>
      <c r="Q580" t="str">
        <f t="shared" si="166"/>
        <v>Small Business</v>
      </c>
      <c r="R580" t="s">
        <v>73</v>
      </c>
      <c r="S580" t="str">
        <f t="shared" si="167"/>
        <v>West</v>
      </c>
      <c r="T580" t="s">
        <v>235</v>
      </c>
      <c r="U580" t="str">
        <f t="shared" si="168"/>
        <v>Gujarat</v>
      </c>
      <c r="V580" t="s">
        <v>236</v>
      </c>
      <c r="W580" t="str">
        <f t="shared" si="169"/>
        <v>Ahmedabad</v>
      </c>
      <c r="X580" t="s">
        <v>86</v>
      </c>
      <c r="Y580" t="str">
        <f t="shared" si="170"/>
        <v>Technology</v>
      </c>
      <c r="Z580" t="s">
        <v>94</v>
      </c>
      <c r="AA580" t="str">
        <f t="shared" si="171"/>
        <v>Copiers</v>
      </c>
      <c r="AB580" t="s">
        <v>2773</v>
      </c>
      <c r="AC580" t="s">
        <v>56</v>
      </c>
      <c r="AD580" t="str">
        <f t="shared" si="172"/>
        <v>First Class</v>
      </c>
      <c r="AE580">
        <v>6</v>
      </c>
      <c r="AF580">
        <v>2633.65</v>
      </c>
      <c r="AG580">
        <v>0.05</v>
      </c>
      <c r="AH580">
        <v>0.05</v>
      </c>
      <c r="AI580" t="str">
        <f t="shared" si="173"/>
        <v>Valid</v>
      </c>
      <c r="AJ580">
        <v>15011.81</v>
      </c>
      <c r="AK580">
        <f t="shared" si="174"/>
        <v>15011.805</v>
      </c>
      <c r="AL580">
        <v>9660.36</v>
      </c>
      <c r="AM580">
        <v>5351.45</v>
      </c>
      <c r="AN580">
        <f t="shared" si="175"/>
        <v>5351.4449999999997</v>
      </c>
      <c r="AO580">
        <f t="shared" si="176"/>
        <v>-9660.36</v>
      </c>
      <c r="AP580" t="s">
        <v>34</v>
      </c>
      <c r="AQ580" t="str">
        <f t="shared" si="177"/>
        <v>Paid</v>
      </c>
      <c r="AR580" t="s">
        <v>35</v>
      </c>
      <c r="AS580" t="str">
        <f t="shared" si="178"/>
        <v>Completed</v>
      </c>
      <c r="AT580" t="str">
        <f t="shared" si="179"/>
        <v>Clean</v>
      </c>
    </row>
    <row r="581" spans="1:46">
      <c r="A581" t="s">
        <v>2774</v>
      </c>
      <c r="B581">
        <f>COUNTIF($D$2:D581,D581)</f>
        <v>1</v>
      </c>
      <c r="C581" t="str">
        <f>IF(COUNTIF($A:$A,A581)=1,
"Unique",
IF(COUNTIFS($A:$A,A581,$N:$N,N581,$AF:$AF,AF581,$AJ:$AJ,AJ581)&gt;1,
"Exact Duplicate",
"Conflicting Duplicate"))</f>
        <v>Unique</v>
      </c>
      <c r="D581" t="s">
        <v>2775</v>
      </c>
      <c r="E581" t="s">
        <v>2776</v>
      </c>
      <c r="F581" s="3">
        <v>45462</v>
      </c>
      <c r="G581" s="2">
        <v>45467</v>
      </c>
      <c r="H581" s="5" t="str">
        <f t="shared" si="162"/>
        <v>June</v>
      </c>
      <c r="I581" s="5">
        <f t="shared" si="163"/>
        <v>2024</v>
      </c>
      <c r="J581" t="str">
        <f>IF(F581="","Missing Date",
IF(ISNUMBER(F581),"Valid","Invalid Date"))</f>
        <v>Valid</v>
      </c>
      <c r="K581" t="str">
        <f t="shared" si="164"/>
        <v>Valid</v>
      </c>
      <c r="L581">
        <f>G581-F581</f>
        <v>5</v>
      </c>
      <c r="M581" t="s">
        <v>2777</v>
      </c>
      <c r="N581" t="s">
        <v>162</v>
      </c>
      <c r="O581" t="str">
        <f t="shared" si="165"/>
        <v>Aarav Sharma</v>
      </c>
      <c r="P581" t="s">
        <v>41</v>
      </c>
      <c r="Q581" t="str">
        <f t="shared" si="166"/>
        <v>Small Business</v>
      </c>
      <c r="R581" t="s">
        <v>62</v>
      </c>
      <c r="S581" t="str">
        <f t="shared" si="167"/>
        <v>South</v>
      </c>
      <c r="T581" t="s">
        <v>339</v>
      </c>
      <c r="U581" t="str">
        <f t="shared" si="168"/>
        <v>Tamil Nadu</v>
      </c>
      <c r="V581" t="s">
        <v>340</v>
      </c>
      <c r="W581" t="str">
        <f t="shared" si="169"/>
        <v>Chennai</v>
      </c>
      <c r="X581" t="s">
        <v>30</v>
      </c>
      <c r="Y581" t="str">
        <f t="shared" si="170"/>
        <v>Office Supplies</v>
      </c>
      <c r="Z581" t="s">
        <v>156</v>
      </c>
      <c r="AA581" t="str">
        <f t="shared" si="171"/>
        <v>Storage</v>
      </c>
      <c r="AB581" t="s">
        <v>2778</v>
      </c>
      <c r="AC581" t="s">
        <v>48</v>
      </c>
      <c r="AD581" t="str">
        <f t="shared" si="172"/>
        <v>Same Day</v>
      </c>
      <c r="AE581">
        <v>1</v>
      </c>
      <c r="AF581">
        <v>3202.41</v>
      </c>
      <c r="AG581">
        <v>0</v>
      </c>
      <c r="AH581">
        <v>0</v>
      </c>
      <c r="AI581" t="str">
        <f t="shared" si="173"/>
        <v>Valid</v>
      </c>
      <c r="AJ581">
        <v>3202.41</v>
      </c>
      <c r="AK581">
        <f t="shared" si="174"/>
        <v>3202.41</v>
      </c>
      <c r="AL581">
        <v>2608.44</v>
      </c>
      <c r="AM581">
        <v>593.97</v>
      </c>
      <c r="AN581">
        <f t="shared" si="175"/>
        <v>593.9699999999998</v>
      </c>
      <c r="AO581">
        <f t="shared" si="176"/>
        <v>-2608.44</v>
      </c>
      <c r="AP581" t="s">
        <v>34</v>
      </c>
      <c r="AQ581" t="str">
        <f t="shared" si="177"/>
        <v>Paid</v>
      </c>
      <c r="AR581" t="s">
        <v>35</v>
      </c>
      <c r="AS581" t="str">
        <f t="shared" si="178"/>
        <v>Completed</v>
      </c>
      <c r="AT581" t="str">
        <f t="shared" si="179"/>
        <v>Clean</v>
      </c>
    </row>
    <row r="582" spans="1:46">
      <c r="A582" t="s">
        <v>2779</v>
      </c>
      <c r="B582">
        <f>COUNTIF($D$2:D582,D582)</f>
        <v>1</v>
      </c>
      <c r="C582" t="str">
        <f>IF(COUNTIF($A:$A,A582)=1,
"Unique",
IF(COUNTIFS($A:$A,A582,$N:$N,N582,$AF:$AF,AF582,$AJ:$AJ,AJ582)&gt;1,
"Exact Duplicate",
"Conflicting Duplicate"))</f>
        <v>Unique</v>
      </c>
      <c r="D582" t="s">
        <v>2780</v>
      </c>
      <c r="E582" t="s">
        <v>1459</v>
      </c>
      <c r="F582" s="3">
        <v>45811</v>
      </c>
      <c r="G582" s="3">
        <v>45729</v>
      </c>
      <c r="H582" s="5" t="str">
        <f t="shared" si="162"/>
        <v>June</v>
      </c>
      <c r="I582" s="5">
        <f t="shared" si="163"/>
        <v>2025</v>
      </c>
      <c r="J582" t="str">
        <f>IF(F582="","Missing Date",
IF(ISNUMBER(F582),"Valid","Invalid Date"))</f>
        <v>Valid</v>
      </c>
      <c r="K582" t="str">
        <f t="shared" si="164"/>
        <v>Valid</v>
      </c>
      <c r="L582">
        <f>G582-F582</f>
        <v>-82</v>
      </c>
      <c r="M582" t="s">
        <v>2781</v>
      </c>
      <c r="N582" t="s">
        <v>366</v>
      </c>
      <c r="O582" t="str">
        <f t="shared" si="165"/>
        <v>Kabir Singh</v>
      </c>
      <c r="P582" t="s">
        <v>26</v>
      </c>
      <c r="Q582" t="str">
        <f t="shared" si="166"/>
        <v>Consumer</v>
      </c>
      <c r="R582" t="s">
        <v>62</v>
      </c>
      <c r="S582" t="str">
        <f t="shared" si="167"/>
        <v>South</v>
      </c>
      <c r="T582" t="s">
        <v>242</v>
      </c>
      <c r="U582" t="str">
        <f t="shared" si="168"/>
        <v>Kerala</v>
      </c>
      <c r="V582" t="s">
        <v>243</v>
      </c>
      <c r="W582" t="str">
        <f t="shared" si="169"/>
        <v>Kochi</v>
      </c>
      <c r="X582" t="s">
        <v>45</v>
      </c>
      <c r="Y582" t="str">
        <f t="shared" si="170"/>
        <v>Furniture</v>
      </c>
      <c r="Z582" t="s">
        <v>76</v>
      </c>
      <c r="AA582" t="str">
        <f t="shared" si="171"/>
        <v>Chairs</v>
      </c>
      <c r="AB582" t="s">
        <v>2782</v>
      </c>
      <c r="AC582" t="s">
        <v>67</v>
      </c>
      <c r="AD582" t="str">
        <f t="shared" si="172"/>
        <v>Standard Class</v>
      </c>
      <c r="AE582">
        <v>3</v>
      </c>
      <c r="AF582">
        <v>163.72</v>
      </c>
      <c r="AG582">
        <v>0.15</v>
      </c>
      <c r="AH582">
        <v>0.15</v>
      </c>
      <c r="AI582" t="str">
        <f t="shared" si="173"/>
        <v>Valid</v>
      </c>
      <c r="AJ582">
        <v>417.49</v>
      </c>
      <c r="AK582">
        <f t="shared" si="174"/>
        <v>417.48599999999999</v>
      </c>
      <c r="AL582">
        <v>261.67</v>
      </c>
      <c r="AM582">
        <v>155.82</v>
      </c>
      <c r="AN582">
        <f t="shared" si="175"/>
        <v>155.81599999999997</v>
      </c>
      <c r="AO582">
        <f t="shared" si="176"/>
        <v>-261.67</v>
      </c>
      <c r="AP582" t="s">
        <v>200</v>
      </c>
      <c r="AQ582" t="str">
        <f t="shared" si="177"/>
        <v>Failed</v>
      </c>
      <c r="AR582" t="s">
        <v>125</v>
      </c>
      <c r="AS582" t="str">
        <f t="shared" si="178"/>
        <v>Returned</v>
      </c>
      <c r="AT582" t="str">
        <f t="shared" si="179"/>
        <v>Clean</v>
      </c>
    </row>
    <row r="583" spans="1:46">
      <c r="A583" t="s">
        <v>2783</v>
      </c>
      <c r="B583">
        <f>COUNTIF($D$2:D583,D583)</f>
        <v>3</v>
      </c>
      <c r="C583" t="str">
        <f>IF(COUNTIF($A:$A,A583)=1,
"Unique",
IF(COUNTIFS($A:$A,A583,$N:$N,N583,$AF:$AF,AF583,$AJ:$AJ,AJ583)&gt;1,
"Exact Duplicate",
"Conflicting Duplicate"))</f>
        <v>Unique</v>
      </c>
      <c r="D583" t="s">
        <v>1343</v>
      </c>
      <c r="E583" t="s">
        <v>2784</v>
      </c>
      <c r="F583" s="3">
        <v>45908</v>
      </c>
      <c r="G583" s="3">
        <v>45879</v>
      </c>
      <c r="H583" s="5" t="str">
        <f t="shared" si="162"/>
        <v>September</v>
      </c>
      <c r="I583" s="5">
        <f t="shared" si="163"/>
        <v>2025</v>
      </c>
      <c r="J583" t="str">
        <f>IF(F583="","Missing Date",
IF(ISNUMBER(F583),"Valid","Invalid Date"))</f>
        <v>Valid</v>
      </c>
      <c r="K583" t="str">
        <f t="shared" si="164"/>
        <v>Valid</v>
      </c>
      <c r="L583">
        <f>G583-F583</f>
        <v>-29</v>
      </c>
      <c r="M583" t="s">
        <v>2785</v>
      </c>
      <c r="N583" t="s">
        <v>93</v>
      </c>
      <c r="O583" t="str">
        <f t="shared" si="165"/>
        <v>Neha Gupta</v>
      </c>
      <c r="P583" t="s">
        <v>26</v>
      </c>
      <c r="Q583" t="str">
        <f t="shared" si="166"/>
        <v>Consumer</v>
      </c>
      <c r="R583" t="s">
        <v>27</v>
      </c>
      <c r="S583" t="str">
        <f t="shared" si="167"/>
        <v>North</v>
      </c>
      <c r="T583" t="s">
        <v>506</v>
      </c>
      <c r="U583" t="str">
        <f t="shared" si="168"/>
        <v>Delhi</v>
      </c>
      <c r="V583" t="s">
        <v>507</v>
      </c>
      <c r="W583" t="str">
        <f t="shared" si="169"/>
        <v>New Delhi</v>
      </c>
      <c r="X583" t="s">
        <v>30</v>
      </c>
      <c r="Y583" t="str">
        <f t="shared" si="170"/>
        <v>Office Supplies</v>
      </c>
      <c r="Z583" t="s">
        <v>54</v>
      </c>
      <c r="AA583" t="str">
        <f t="shared" si="171"/>
        <v>Art</v>
      </c>
      <c r="AB583" t="s">
        <v>2786</v>
      </c>
      <c r="AC583" t="s">
        <v>33</v>
      </c>
      <c r="AD583" t="str">
        <f t="shared" si="172"/>
        <v>Second Class</v>
      </c>
      <c r="AE583">
        <v>4</v>
      </c>
      <c r="AF583">
        <v>4080.95</v>
      </c>
      <c r="AG583">
        <v>0</v>
      </c>
      <c r="AH583">
        <v>0</v>
      </c>
      <c r="AI583" t="str">
        <f t="shared" si="173"/>
        <v>Valid</v>
      </c>
      <c r="AJ583">
        <v>16323.8</v>
      </c>
      <c r="AK583">
        <f t="shared" si="174"/>
        <v>16323.8</v>
      </c>
      <c r="AL583">
        <v>9965.7900000000009</v>
      </c>
      <c r="AM583">
        <v>6358.01</v>
      </c>
      <c r="AN583">
        <f t="shared" si="175"/>
        <v>6358.0099999999984</v>
      </c>
      <c r="AO583">
        <f t="shared" si="176"/>
        <v>-9965.7900000000009</v>
      </c>
      <c r="AP583" t="s">
        <v>124</v>
      </c>
      <c r="AQ583" t="str">
        <f t="shared" si="177"/>
        <v>Refunded</v>
      </c>
      <c r="AR583" t="s">
        <v>125</v>
      </c>
      <c r="AS583" t="str">
        <f t="shared" si="178"/>
        <v>Returned</v>
      </c>
      <c r="AT583" t="str">
        <f t="shared" si="179"/>
        <v>Clean</v>
      </c>
    </row>
    <row r="584" spans="1:46">
      <c r="A584" t="s">
        <v>2787</v>
      </c>
      <c r="B584">
        <f>COUNTIF($D$2:D584,D584)</f>
        <v>1</v>
      </c>
      <c r="C584" t="str">
        <f>IF(COUNTIF($A:$A,A584)=1,
"Unique",
IF(COUNTIFS($A:$A,A584,$N:$N,N584,$AF:$AF,AF584,$AJ:$AJ,AJ584)&gt;1,
"Exact Duplicate",
"Conflicting Duplicate"))</f>
        <v>Unique</v>
      </c>
      <c r="D584" t="s">
        <v>2788</v>
      </c>
      <c r="E584" t="s">
        <v>2789</v>
      </c>
      <c r="F584" s="3">
        <v>45580</v>
      </c>
      <c r="G584" s="3">
        <v>45585</v>
      </c>
      <c r="H584" s="5" t="str">
        <f t="shared" si="162"/>
        <v>October</v>
      </c>
      <c r="I584" s="5">
        <f t="shared" si="163"/>
        <v>2024</v>
      </c>
      <c r="J584" t="str">
        <f>IF(F584="","Missing Date",
IF(ISNUMBER(F584),"Valid","Invalid Date"))</f>
        <v>Valid</v>
      </c>
      <c r="K584" t="str">
        <f t="shared" si="164"/>
        <v>Valid</v>
      </c>
      <c r="L584">
        <f>G584-F584</f>
        <v>5</v>
      </c>
      <c r="M584" t="s">
        <v>2790</v>
      </c>
      <c r="N584" t="s">
        <v>72</v>
      </c>
      <c r="O584" t="str">
        <f t="shared" si="165"/>
        <v>Ananya Rao</v>
      </c>
      <c r="P584" t="s">
        <v>26</v>
      </c>
      <c r="Q584" t="str">
        <f t="shared" si="166"/>
        <v>Consumer</v>
      </c>
      <c r="R584" t="s">
        <v>42</v>
      </c>
      <c r="S584" t="str">
        <f t="shared" si="167"/>
        <v>East</v>
      </c>
      <c r="T584" t="s">
        <v>43</v>
      </c>
      <c r="U584" t="str">
        <f t="shared" si="168"/>
        <v>Odisha</v>
      </c>
      <c r="V584" t="s">
        <v>44</v>
      </c>
      <c r="W584" t="str">
        <f t="shared" si="169"/>
        <v>Bhubaneswar</v>
      </c>
      <c r="X584" t="s">
        <v>30</v>
      </c>
      <c r="Y584" t="str">
        <f t="shared" si="170"/>
        <v>Office Supplies</v>
      </c>
      <c r="Z584" t="s">
        <v>54</v>
      </c>
      <c r="AA584" t="str">
        <f t="shared" si="171"/>
        <v>Art</v>
      </c>
      <c r="AB584" t="s">
        <v>2791</v>
      </c>
      <c r="AC584" t="s">
        <v>56</v>
      </c>
      <c r="AD584" t="str">
        <f t="shared" si="172"/>
        <v>First Class</v>
      </c>
      <c r="AE584">
        <v>5</v>
      </c>
      <c r="AF584">
        <v>671.24</v>
      </c>
      <c r="AG584">
        <v>0</v>
      </c>
      <c r="AH584">
        <v>0</v>
      </c>
      <c r="AI584" t="str">
        <f t="shared" si="173"/>
        <v>Valid</v>
      </c>
      <c r="AJ584">
        <v>3356.2</v>
      </c>
      <c r="AK584">
        <f t="shared" si="174"/>
        <v>3356.2</v>
      </c>
      <c r="AL584">
        <v>2205.7199999999998</v>
      </c>
      <c r="AM584">
        <v>1150.48</v>
      </c>
      <c r="AN584">
        <f t="shared" si="175"/>
        <v>1150.48</v>
      </c>
      <c r="AO584">
        <f t="shared" si="176"/>
        <v>-2205.7199999999998</v>
      </c>
      <c r="AP584" t="s">
        <v>137</v>
      </c>
      <c r="AQ584" t="str">
        <f t="shared" si="177"/>
        <v>Pending</v>
      </c>
      <c r="AR584" t="s">
        <v>125</v>
      </c>
      <c r="AS584" t="str">
        <f t="shared" si="178"/>
        <v>Returned</v>
      </c>
      <c r="AT584" t="str">
        <f t="shared" si="179"/>
        <v>Clean</v>
      </c>
    </row>
    <row r="585" spans="1:46">
      <c r="A585" t="s">
        <v>2792</v>
      </c>
      <c r="B585">
        <f>COUNTIF($D$2:D585,D585)</f>
        <v>2</v>
      </c>
      <c r="C585" t="str">
        <f>IF(COUNTIF($A:$A,A585)=1,
"Unique",
IF(COUNTIFS($A:$A,A585,$N:$N,N585,$AF:$AF,AF585,$AJ:$AJ,AJ585)&gt;1,
"Exact Duplicate",
"Conflicting Duplicate"))</f>
        <v>Unique</v>
      </c>
      <c r="D585" t="s">
        <v>626</v>
      </c>
      <c r="E585" t="s">
        <v>2793</v>
      </c>
      <c r="F585" s="2">
        <v>45350</v>
      </c>
      <c r="G585" s="3">
        <v>45350</v>
      </c>
      <c r="H585" s="5" t="str">
        <f t="shared" si="162"/>
        <v>February</v>
      </c>
      <c r="I585" s="5">
        <f t="shared" si="163"/>
        <v>2024</v>
      </c>
      <c r="J585" t="str">
        <f>IF(F585="","Missing Date",
IF(ISNUMBER(F585),"Valid","Invalid Date"))</f>
        <v>Valid</v>
      </c>
      <c r="K585" t="str">
        <f t="shared" si="164"/>
        <v>Valid</v>
      </c>
      <c r="L585">
        <f>G585-F585</f>
        <v>0</v>
      </c>
      <c r="M585" t="s">
        <v>2794</v>
      </c>
      <c r="N585" t="s">
        <v>180</v>
      </c>
      <c r="O585" t="str">
        <f t="shared" si="165"/>
        <v>Rohan Mehta</v>
      </c>
      <c r="P585" t="s">
        <v>41</v>
      </c>
      <c r="Q585" t="str">
        <f t="shared" si="166"/>
        <v>Small Business</v>
      </c>
      <c r="R585" t="s">
        <v>42</v>
      </c>
      <c r="S585" t="str">
        <f t="shared" si="167"/>
        <v>East</v>
      </c>
      <c r="T585" t="s">
        <v>121</v>
      </c>
      <c r="U585" t="str">
        <f t="shared" si="168"/>
        <v>West Bengal</v>
      </c>
      <c r="V585" t="s">
        <v>122</v>
      </c>
      <c r="W585" t="str">
        <f t="shared" si="169"/>
        <v>Kolkata</v>
      </c>
      <c r="X585" t="s">
        <v>30</v>
      </c>
      <c r="Y585" t="str">
        <f t="shared" si="170"/>
        <v>Office Supplies</v>
      </c>
      <c r="Z585" t="s">
        <v>156</v>
      </c>
      <c r="AA585" t="str">
        <f t="shared" si="171"/>
        <v>Storage</v>
      </c>
      <c r="AB585" t="s">
        <v>2795</v>
      </c>
      <c r="AC585" t="s">
        <v>56</v>
      </c>
      <c r="AD585" t="str">
        <f t="shared" si="172"/>
        <v>First Class</v>
      </c>
      <c r="AE585">
        <v>1</v>
      </c>
      <c r="AF585">
        <v>2626.84</v>
      </c>
      <c r="AG585">
        <v>0.2</v>
      </c>
      <c r="AH585">
        <v>0.2</v>
      </c>
      <c r="AI585" t="str">
        <f t="shared" si="173"/>
        <v>Valid</v>
      </c>
      <c r="AJ585">
        <v>2101.4699999999998</v>
      </c>
      <c r="AK585">
        <f t="shared" si="174"/>
        <v>2101.4720000000002</v>
      </c>
      <c r="AL585">
        <v>1217.83</v>
      </c>
      <c r="AM585">
        <v>883.64</v>
      </c>
      <c r="AN585">
        <f t="shared" si="175"/>
        <v>883.64200000000028</v>
      </c>
      <c r="AO585">
        <f t="shared" si="176"/>
        <v>-1217.83</v>
      </c>
      <c r="AP585" t="s">
        <v>200</v>
      </c>
      <c r="AQ585" t="str">
        <f t="shared" si="177"/>
        <v>Failed</v>
      </c>
      <c r="AR585" t="s">
        <v>125</v>
      </c>
      <c r="AS585" t="str">
        <f t="shared" si="178"/>
        <v>Returned</v>
      </c>
      <c r="AT585" t="str">
        <f t="shared" si="179"/>
        <v>Clean</v>
      </c>
    </row>
    <row r="586" spans="1:46">
      <c r="A586" t="s">
        <v>2796</v>
      </c>
      <c r="B586">
        <f>COUNTIF($D$2:D586,D586)</f>
        <v>1</v>
      </c>
      <c r="C586" t="str">
        <f>IF(COUNTIF($A:$A,A586)=1,
"Unique",
IF(COUNTIFS($A:$A,A586,$N:$N,N586,$AF:$AF,AF586,$AJ:$AJ,AJ586)&gt;1,
"Exact Duplicate",
"Conflicting Duplicate"))</f>
        <v>Unique</v>
      </c>
      <c r="D586" t="s">
        <v>2797</v>
      </c>
      <c r="E586" t="s">
        <v>2798</v>
      </c>
      <c r="F586" s="3">
        <v>45508</v>
      </c>
      <c r="G586" s="3">
        <v>45573</v>
      </c>
      <c r="H586" s="5" t="str">
        <f t="shared" si="162"/>
        <v>August</v>
      </c>
      <c r="I586" s="5">
        <f t="shared" si="163"/>
        <v>2024</v>
      </c>
      <c r="J586" t="str">
        <f>IF(F586="","Missing Date",
IF(ISNUMBER(F586),"Valid","Invalid Date"))</f>
        <v>Valid</v>
      </c>
      <c r="K586" t="str">
        <f t="shared" si="164"/>
        <v>Valid</v>
      </c>
      <c r="L586">
        <f>G586-F586</f>
        <v>65</v>
      </c>
      <c r="M586" t="s">
        <v>2799</v>
      </c>
      <c r="N586" t="s">
        <v>83</v>
      </c>
      <c r="O586" t="str">
        <f t="shared" si="165"/>
        <v>Vikram Iyer</v>
      </c>
      <c r="P586" t="s">
        <v>26</v>
      </c>
      <c r="Q586" t="str">
        <f t="shared" si="166"/>
        <v>Consumer</v>
      </c>
      <c r="R586" t="s">
        <v>42</v>
      </c>
      <c r="S586" t="str">
        <f t="shared" si="167"/>
        <v>East</v>
      </c>
      <c r="T586" t="s">
        <v>186</v>
      </c>
      <c r="U586" t="str">
        <f t="shared" si="168"/>
        <v>Bihar</v>
      </c>
      <c r="V586" t="s">
        <v>187</v>
      </c>
      <c r="W586" t="str">
        <f t="shared" si="169"/>
        <v>Patna</v>
      </c>
      <c r="X586" t="s">
        <v>30</v>
      </c>
      <c r="Y586" t="str">
        <f t="shared" si="170"/>
        <v>Office Supplies</v>
      </c>
      <c r="Z586" t="s">
        <v>54</v>
      </c>
      <c r="AA586" t="str">
        <f t="shared" si="171"/>
        <v>Art</v>
      </c>
      <c r="AB586" t="s">
        <v>2800</v>
      </c>
      <c r="AC586" t="s">
        <v>48</v>
      </c>
      <c r="AD586" t="str">
        <f t="shared" si="172"/>
        <v>Same Day</v>
      </c>
      <c r="AE586">
        <v>1</v>
      </c>
      <c r="AF586">
        <v>984.93</v>
      </c>
      <c r="AG586">
        <v>0.15</v>
      </c>
      <c r="AH586">
        <v>0.15</v>
      </c>
      <c r="AI586" t="str">
        <f t="shared" si="173"/>
        <v>Valid</v>
      </c>
      <c r="AJ586">
        <v>837.19</v>
      </c>
      <c r="AK586">
        <f t="shared" si="174"/>
        <v>837.19049999999993</v>
      </c>
      <c r="AL586">
        <v>583.79</v>
      </c>
      <c r="AM586">
        <v>253.4</v>
      </c>
      <c r="AN586">
        <f t="shared" si="175"/>
        <v>253.40049999999997</v>
      </c>
      <c r="AO586">
        <f t="shared" si="176"/>
        <v>-583.79</v>
      </c>
      <c r="AP586" t="s">
        <v>137</v>
      </c>
      <c r="AQ586" t="str">
        <f t="shared" si="177"/>
        <v>Pending</v>
      </c>
      <c r="AR586" t="s">
        <v>125</v>
      </c>
      <c r="AS586" t="str">
        <f t="shared" si="178"/>
        <v>Returned</v>
      </c>
      <c r="AT586" t="str">
        <f t="shared" si="179"/>
        <v>Clean</v>
      </c>
    </row>
    <row r="587" spans="1:46">
      <c r="A587" t="s">
        <v>2801</v>
      </c>
      <c r="B587">
        <f>COUNTIF($D$2:D587,D587)</f>
        <v>3</v>
      </c>
      <c r="C587" t="str">
        <f>IF(COUNTIF($A:$A,A587)=1,
"Unique",
IF(COUNTIFS($A:$A,A587,$N:$N,N587,$AF:$AF,AF587,$AJ:$AJ,AJ587)&gt;1,
"Exact Duplicate",
"Conflicting Duplicate"))</f>
        <v>Unique</v>
      </c>
      <c r="D587" t="s">
        <v>1688</v>
      </c>
      <c r="E587" t="s">
        <v>2802</v>
      </c>
      <c r="F587" s="2">
        <v>45830</v>
      </c>
      <c r="G587" s="3">
        <v>45833</v>
      </c>
      <c r="H587" s="5" t="str">
        <f t="shared" si="162"/>
        <v>June</v>
      </c>
      <c r="I587" s="5">
        <f t="shared" si="163"/>
        <v>2025</v>
      </c>
      <c r="J587" t="str">
        <f>IF(F587="","Missing Date",
IF(ISNUMBER(F587),"Valid","Invalid Date"))</f>
        <v>Valid</v>
      </c>
      <c r="K587" t="str">
        <f t="shared" si="164"/>
        <v>Valid</v>
      </c>
      <c r="L587">
        <f>G587-F587</f>
        <v>3</v>
      </c>
      <c r="M587" t="s">
        <v>2803</v>
      </c>
      <c r="N587" t="s">
        <v>210</v>
      </c>
      <c r="O587" t="str">
        <f t="shared" si="165"/>
        <v>Diya Patel</v>
      </c>
      <c r="P587" t="s">
        <v>41</v>
      </c>
      <c r="Q587" t="str">
        <f t="shared" si="166"/>
        <v>Small Business</v>
      </c>
      <c r="R587" t="s">
        <v>1050</v>
      </c>
      <c r="S587" t="str">
        <f t="shared" si="167"/>
        <v>West</v>
      </c>
      <c r="T587" t="s">
        <v>74</v>
      </c>
      <c r="U587" t="str">
        <f t="shared" si="168"/>
        <v>Maharashtra</v>
      </c>
      <c r="V587" t="s">
        <v>75</v>
      </c>
      <c r="W587" t="str">
        <f t="shared" si="169"/>
        <v>Mumbai</v>
      </c>
      <c r="X587" t="s">
        <v>86</v>
      </c>
      <c r="Y587" t="str">
        <f t="shared" si="170"/>
        <v>Technology</v>
      </c>
      <c r="Z587" t="s">
        <v>223</v>
      </c>
      <c r="AA587" t="str">
        <f t="shared" si="171"/>
        <v>Phones</v>
      </c>
      <c r="AB587" t="s">
        <v>2804</v>
      </c>
      <c r="AC587" t="s">
        <v>56</v>
      </c>
      <c r="AD587" t="str">
        <f t="shared" si="172"/>
        <v>First Class</v>
      </c>
      <c r="AE587">
        <v>8</v>
      </c>
      <c r="AF587">
        <v>3453.66</v>
      </c>
      <c r="AG587">
        <v>0</v>
      </c>
      <c r="AH587">
        <v>0</v>
      </c>
      <c r="AI587" t="str">
        <f t="shared" si="173"/>
        <v>Valid</v>
      </c>
      <c r="AJ587">
        <v>27629.279999999999</v>
      </c>
      <c r="AK587">
        <f t="shared" si="174"/>
        <v>27629.279999999999</v>
      </c>
      <c r="AL587">
        <v>22026.48</v>
      </c>
      <c r="AM587">
        <v>5602.8</v>
      </c>
      <c r="AN587">
        <f t="shared" si="175"/>
        <v>5602.7999999999993</v>
      </c>
      <c r="AO587">
        <f t="shared" si="176"/>
        <v>-22026.48</v>
      </c>
      <c r="AP587" t="s">
        <v>34</v>
      </c>
      <c r="AQ587" t="str">
        <f t="shared" si="177"/>
        <v>Paid</v>
      </c>
      <c r="AR587" t="s">
        <v>35</v>
      </c>
      <c r="AS587" t="str">
        <f t="shared" si="178"/>
        <v>Completed</v>
      </c>
      <c r="AT587" t="str">
        <f t="shared" si="179"/>
        <v>Clean</v>
      </c>
    </row>
    <row r="588" spans="1:46">
      <c r="A588" t="s">
        <v>2805</v>
      </c>
      <c r="B588">
        <f>COUNTIF($D$2:D588,D588)</f>
        <v>2</v>
      </c>
      <c r="C588" t="str">
        <f>IF(COUNTIF($A:$A,A588)=1,
"Unique",
IF(COUNTIFS($A:$A,A588,$N:$N,N588,$AF:$AF,AF588,$AJ:$AJ,AJ588)&gt;1,
"Exact Duplicate",
"Conflicting Duplicate"))</f>
        <v>Unique</v>
      </c>
      <c r="D588" t="s">
        <v>2806</v>
      </c>
      <c r="E588" t="s">
        <v>2807</v>
      </c>
      <c r="F588" s="3">
        <v>45995</v>
      </c>
      <c r="G588" s="2">
        <v>45995</v>
      </c>
      <c r="H588" s="5" t="str">
        <f t="shared" si="162"/>
        <v>December</v>
      </c>
      <c r="I588" s="5">
        <f t="shared" si="163"/>
        <v>2025</v>
      </c>
      <c r="J588" t="str">
        <f>IF(F588="","Missing Date",
IF(ISNUMBER(F588),"Valid","Invalid Date"))</f>
        <v>Valid</v>
      </c>
      <c r="K588" t="str">
        <f t="shared" si="164"/>
        <v>Valid</v>
      </c>
      <c r="L588">
        <f>G588-F588</f>
        <v>0</v>
      </c>
      <c r="M588" t="s">
        <v>2808</v>
      </c>
      <c r="N588" t="s">
        <v>40</v>
      </c>
      <c r="O588" t="str">
        <f t="shared" si="165"/>
        <v>Mira Das</v>
      </c>
      <c r="P588" t="s">
        <v>115</v>
      </c>
      <c r="Q588" t="str">
        <f t="shared" si="166"/>
        <v>Home Office</v>
      </c>
      <c r="R588" t="s">
        <v>27</v>
      </c>
      <c r="S588" t="str">
        <f t="shared" si="167"/>
        <v>North</v>
      </c>
      <c r="T588" t="s">
        <v>154</v>
      </c>
      <c r="U588" t="str">
        <f t="shared" si="168"/>
        <v>Punjab</v>
      </c>
      <c r="V588" t="s">
        <v>155</v>
      </c>
      <c r="W588" t="str">
        <f t="shared" si="169"/>
        <v>Ludhiana</v>
      </c>
      <c r="X588" t="s">
        <v>30</v>
      </c>
      <c r="Y588" t="str">
        <f t="shared" si="170"/>
        <v>Office Supplies</v>
      </c>
      <c r="Z588" t="s">
        <v>198</v>
      </c>
      <c r="AA588" t="str">
        <f t="shared" si="171"/>
        <v>Binders</v>
      </c>
      <c r="AB588" t="s">
        <v>2809</v>
      </c>
      <c r="AC588" t="s">
        <v>33</v>
      </c>
      <c r="AD588" t="str">
        <f t="shared" si="172"/>
        <v>Second Class</v>
      </c>
      <c r="AE588">
        <v>7</v>
      </c>
      <c r="AF588">
        <v>1334.2</v>
      </c>
      <c r="AG588">
        <v>0.2</v>
      </c>
      <c r="AH588">
        <v>0.2</v>
      </c>
      <c r="AI588" t="str">
        <f t="shared" si="173"/>
        <v>Valid</v>
      </c>
      <c r="AJ588">
        <v>7471.52</v>
      </c>
      <c r="AK588">
        <f t="shared" si="174"/>
        <v>7471.52</v>
      </c>
      <c r="AL588">
        <v>6184.32</v>
      </c>
      <c r="AM588">
        <v>1287.2</v>
      </c>
      <c r="AN588">
        <f t="shared" si="175"/>
        <v>1287.2000000000007</v>
      </c>
      <c r="AO588">
        <f t="shared" si="176"/>
        <v>-6184.32</v>
      </c>
      <c r="AP588" t="s">
        <v>34</v>
      </c>
      <c r="AQ588" t="str">
        <f t="shared" si="177"/>
        <v>Paid</v>
      </c>
      <c r="AR588" t="s">
        <v>35</v>
      </c>
      <c r="AS588" t="str">
        <f t="shared" si="178"/>
        <v>Completed</v>
      </c>
      <c r="AT588" t="str">
        <f t="shared" si="179"/>
        <v>Clean</v>
      </c>
    </row>
    <row r="589" spans="1:46">
      <c r="A589" t="s">
        <v>2810</v>
      </c>
      <c r="B589">
        <f>COUNTIF($D$2:D589,D589)</f>
        <v>1</v>
      </c>
      <c r="C589" t="str">
        <f>IF(COUNTIF($A:$A,A589)=1,
"Unique",
IF(COUNTIFS($A:$A,A589,$N:$N,N589,$AF:$AF,AF589,$AJ:$AJ,AJ589)&gt;1,
"Exact Duplicate",
"Conflicting Duplicate"))</f>
        <v>Unique</v>
      </c>
      <c r="D589" t="s">
        <v>2811</v>
      </c>
      <c r="E589" t="s">
        <v>2812</v>
      </c>
      <c r="F589" s="3">
        <v>45861</v>
      </c>
      <c r="G589" s="3">
        <v>45869</v>
      </c>
      <c r="H589" s="5" t="str">
        <f t="shared" si="162"/>
        <v>July</v>
      </c>
      <c r="I589" s="5">
        <f t="shared" si="163"/>
        <v>2025</v>
      </c>
      <c r="J589" t="str">
        <f>IF(F589="","Missing Date",
IF(ISNUMBER(F589),"Valid","Invalid Date"))</f>
        <v>Valid</v>
      </c>
      <c r="K589" t="str">
        <f t="shared" si="164"/>
        <v>Valid</v>
      </c>
      <c r="L589">
        <f>G589-F589</f>
        <v>8</v>
      </c>
      <c r="M589" t="s">
        <v>2813</v>
      </c>
      <c r="N589" t="s">
        <v>366</v>
      </c>
      <c r="O589" t="str">
        <f t="shared" si="165"/>
        <v>Kabir Singh</v>
      </c>
      <c r="P589" t="s">
        <v>115</v>
      </c>
      <c r="Q589" t="str">
        <f t="shared" si="166"/>
        <v>Home Office</v>
      </c>
      <c r="R589" t="s">
        <v>73</v>
      </c>
      <c r="S589" t="str">
        <f t="shared" si="167"/>
        <v>West</v>
      </c>
      <c r="T589" t="s">
        <v>84</v>
      </c>
      <c r="U589" t="str">
        <f t="shared" si="168"/>
        <v>Madhya Pradesh</v>
      </c>
      <c r="V589" t="s">
        <v>85</v>
      </c>
      <c r="W589" t="str">
        <f t="shared" si="169"/>
        <v>Indore</v>
      </c>
      <c r="X589" t="s">
        <v>86</v>
      </c>
      <c r="Y589" t="str">
        <f t="shared" si="170"/>
        <v>Technology</v>
      </c>
      <c r="Z589" t="s">
        <v>87</v>
      </c>
      <c r="AA589" t="str">
        <f t="shared" si="171"/>
        <v>Accessories</v>
      </c>
      <c r="AB589" t="s">
        <v>2814</v>
      </c>
      <c r="AC589" t="s">
        <v>56</v>
      </c>
      <c r="AD589" t="str">
        <f t="shared" si="172"/>
        <v>First Class</v>
      </c>
      <c r="AE589">
        <v>1</v>
      </c>
      <c r="AF589">
        <v>4253.84</v>
      </c>
      <c r="AG589">
        <v>0.15</v>
      </c>
      <c r="AH589">
        <v>0.15</v>
      </c>
      <c r="AI589" t="str">
        <f t="shared" si="173"/>
        <v>Valid</v>
      </c>
      <c r="AJ589">
        <v>3615.76</v>
      </c>
      <c r="AK589">
        <f t="shared" si="174"/>
        <v>3615.7640000000001</v>
      </c>
      <c r="AL589">
        <v>2951.52</v>
      </c>
      <c r="AM589">
        <v>664.24</v>
      </c>
      <c r="AN589">
        <f t="shared" si="175"/>
        <v>664.24400000000014</v>
      </c>
      <c r="AO589">
        <f t="shared" si="176"/>
        <v>-2951.52</v>
      </c>
      <c r="AP589" t="s">
        <v>124</v>
      </c>
      <c r="AQ589" t="str">
        <f t="shared" si="177"/>
        <v>Refunded</v>
      </c>
      <c r="AR589" t="s">
        <v>78</v>
      </c>
      <c r="AS589" t="str">
        <f t="shared" si="178"/>
        <v>Cancelled</v>
      </c>
      <c r="AT589" t="str">
        <f t="shared" si="179"/>
        <v>Clean</v>
      </c>
    </row>
    <row r="590" spans="1:46">
      <c r="A590" t="s">
        <v>2815</v>
      </c>
      <c r="B590">
        <f>COUNTIF($D$2:D590,D590)</f>
        <v>3</v>
      </c>
      <c r="C590" t="str">
        <f>IF(COUNTIF($A:$A,A590)=1,
"Unique",
IF(COUNTIFS($A:$A,A590,$N:$N,N590,$AF:$AF,AF590,$AJ:$AJ,AJ590)&gt;1,
"Exact Duplicate",
"Conflicting Duplicate"))</f>
        <v>Unique</v>
      </c>
      <c r="D590" t="s">
        <v>2816</v>
      </c>
      <c r="E590" t="s">
        <v>2817</v>
      </c>
      <c r="F590" s="3">
        <v>45964</v>
      </c>
      <c r="G590" s="2">
        <v>45731</v>
      </c>
      <c r="H590" s="5" t="str">
        <f t="shared" si="162"/>
        <v>November</v>
      </c>
      <c r="I590" s="5">
        <f t="shared" si="163"/>
        <v>2025</v>
      </c>
      <c r="J590" t="str">
        <f>IF(F590="","Missing Date",
IF(ISNUMBER(F590),"Valid","Invalid Date"))</f>
        <v>Valid</v>
      </c>
      <c r="K590" t="str">
        <f t="shared" si="164"/>
        <v>Valid</v>
      </c>
      <c r="L590">
        <f>G590-F590</f>
        <v>-233</v>
      </c>
      <c r="M590" t="s">
        <v>2818</v>
      </c>
      <c r="N590" t="s">
        <v>162</v>
      </c>
      <c r="O590" t="str">
        <f t="shared" si="165"/>
        <v>Aarav Sharma</v>
      </c>
      <c r="P590" t="s">
        <v>115</v>
      </c>
      <c r="Q590" t="str">
        <f t="shared" si="166"/>
        <v>Home Office</v>
      </c>
      <c r="R590" t="s">
        <v>62</v>
      </c>
      <c r="S590" t="str">
        <f t="shared" si="167"/>
        <v>South</v>
      </c>
      <c r="T590" t="s">
        <v>229</v>
      </c>
      <c r="U590" t="str">
        <f t="shared" si="168"/>
        <v>Karnataka</v>
      </c>
      <c r="V590" t="s">
        <v>230</v>
      </c>
      <c r="W590" t="str">
        <f t="shared" si="169"/>
        <v>Bengaluru</v>
      </c>
      <c r="X590" t="s">
        <v>86</v>
      </c>
      <c r="Y590" t="str">
        <f t="shared" si="170"/>
        <v>Technology</v>
      </c>
      <c r="Z590" t="s">
        <v>87</v>
      </c>
      <c r="AA590" t="str">
        <f t="shared" si="171"/>
        <v>Accessories</v>
      </c>
      <c r="AB590" t="s">
        <v>2819</v>
      </c>
      <c r="AC590" t="s">
        <v>33</v>
      </c>
      <c r="AD590" t="str">
        <f t="shared" si="172"/>
        <v>Second Class</v>
      </c>
      <c r="AE590">
        <v>8</v>
      </c>
      <c r="AF590">
        <v>4446.3599999999997</v>
      </c>
      <c r="AG590">
        <v>0.1</v>
      </c>
      <c r="AH590">
        <v>0.1</v>
      </c>
      <c r="AI590" t="str">
        <f t="shared" si="173"/>
        <v>Valid</v>
      </c>
      <c r="AJ590">
        <v>32013.79</v>
      </c>
      <c r="AK590">
        <f t="shared" si="174"/>
        <v>32013.791999999998</v>
      </c>
      <c r="AL590">
        <v>20896.88</v>
      </c>
      <c r="AM590">
        <v>11116.91</v>
      </c>
      <c r="AN590">
        <f t="shared" si="175"/>
        <v>11116.911999999997</v>
      </c>
      <c r="AO590">
        <f t="shared" si="176"/>
        <v>-20896.88</v>
      </c>
      <c r="AP590" t="s">
        <v>124</v>
      </c>
      <c r="AQ590" t="str">
        <f t="shared" si="177"/>
        <v>Refunded</v>
      </c>
      <c r="AR590" t="s">
        <v>78</v>
      </c>
      <c r="AS590" t="str">
        <f t="shared" si="178"/>
        <v>Cancelled</v>
      </c>
      <c r="AT590" t="str">
        <f t="shared" si="179"/>
        <v>Clean</v>
      </c>
    </row>
    <row r="591" spans="1:46">
      <c r="A591" t="s">
        <v>2820</v>
      </c>
      <c r="B591">
        <f>COUNTIF($D$2:D591,D591)</f>
        <v>1</v>
      </c>
      <c r="C591" t="str">
        <f>IF(COUNTIF($A:$A,A591)=1,
"Unique",
IF(COUNTIFS($A:$A,A591,$N:$N,N591,$AF:$AF,AF591,$AJ:$AJ,AJ591)&gt;1,
"Exact Duplicate",
"Conflicting Duplicate"))</f>
        <v>Unique</v>
      </c>
      <c r="D591" t="s">
        <v>2821</v>
      </c>
      <c r="E591" t="s">
        <v>2822</v>
      </c>
      <c r="F591" s="2">
        <v>45455</v>
      </c>
      <c r="G591" s="3">
        <v>45638</v>
      </c>
      <c r="H591" s="5" t="str">
        <f t="shared" si="162"/>
        <v>June</v>
      </c>
      <c r="I591" s="5">
        <f t="shared" si="163"/>
        <v>2024</v>
      </c>
      <c r="J591" t="str">
        <f>IF(F591="","Missing Date",
IF(ISNUMBER(F591),"Valid","Invalid Date"))</f>
        <v>Valid</v>
      </c>
      <c r="K591" t="str">
        <f t="shared" si="164"/>
        <v>Valid</v>
      </c>
      <c r="L591">
        <f>G591-F591</f>
        <v>183</v>
      </c>
      <c r="M591" t="s">
        <v>2823</v>
      </c>
      <c r="N591" t="s">
        <v>180</v>
      </c>
      <c r="O591" t="str">
        <f t="shared" si="165"/>
        <v>Rohan Mehta</v>
      </c>
      <c r="P591" t="s">
        <v>108</v>
      </c>
      <c r="Q591" t="str">
        <f t="shared" si="166"/>
        <v>Corporate</v>
      </c>
      <c r="R591" t="s">
        <v>27</v>
      </c>
      <c r="S591" t="str">
        <f t="shared" si="167"/>
        <v>North</v>
      </c>
      <c r="T591" t="s">
        <v>174</v>
      </c>
      <c r="U591" t="str">
        <f t="shared" si="168"/>
        <v>Uttar Pradesh</v>
      </c>
      <c r="V591" t="s">
        <v>175</v>
      </c>
      <c r="W591" t="str">
        <f t="shared" si="169"/>
        <v>Noida</v>
      </c>
      <c r="X591" t="s">
        <v>86</v>
      </c>
      <c r="Y591" t="str">
        <f t="shared" si="170"/>
        <v>Technology</v>
      </c>
      <c r="Z591" t="s">
        <v>223</v>
      </c>
      <c r="AA591" t="str">
        <f t="shared" si="171"/>
        <v>Phones</v>
      </c>
      <c r="AB591" t="s">
        <v>2824</v>
      </c>
      <c r="AC591" t="s">
        <v>56</v>
      </c>
      <c r="AD591" t="str">
        <f t="shared" si="172"/>
        <v>First Class</v>
      </c>
      <c r="AE591">
        <v>3</v>
      </c>
      <c r="AF591">
        <v>524.75</v>
      </c>
      <c r="AG591">
        <v>0</v>
      </c>
      <c r="AH591">
        <v>0</v>
      </c>
      <c r="AI591" t="str">
        <f t="shared" si="173"/>
        <v>Valid</v>
      </c>
      <c r="AJ591">
        <v>1574.25</v>
      </c>
      <c r="AK591">
        <f t="shared" si="174"/>
        <v>1574.25</v>
      </c>
      <c r="AL591">
        <v>1326.12</v>
      </c>
      <c r="AM591">
        <v>248.13</v>
      </c>
      <c r="AN591">
        <f t="shared" si="175"/>
        <v>248.13000000000011</v>
      </c>
      <c r="AO591">
        <f t="shared" si="176"/>
        <v>-1326.12</v>
      </c>
      <c r="AP591" t="s">
        <v>34</v>
      </c>
      <c r="AQ591" t="str">
        <f t="shared" si="177"/>
        <v>Paid</v>
      </c>
      <c r="AR591" t="s">
        <v>35</v>
      </c>
      <c r="AS591" t="str">
        <f t="shared" si="178"/>
        <v>Completed</v>
      </c>
      <c r="AT591" t="str">
        <f t="shared" si="179"/>
        <v>Clean</v>
      </c>
    </row>
    <row r="592" spans="1:46">
      <c r="A592" t="s">
        <v>2825</v>
      </c>
      <c r="B592">
        <f>COUNTIF($D$2:D592,D592)</f>
        <v>3</v>
      </c>
      <c r="C592" t="str">
        <f>IF(COUNTIF($A:$A,A592)=1,
"Unique",
IF(COUNTIFS($A:$A,A592,$N:$N,N592,$AF:$AF,AF592,$AJ:$AJ,AJ592)&gt;1,
"Exact Duplicate",
"Conflicting Duplicate"))</f>
        <v>Unique</v>
      </c>
      <c r="D592" t="s">
        <v>273</v>
      </c>
      <c r="E592" t="s">
        <v>2826</v>
      </c>
      <c r="F592" s="3">
        <v>45441</v>
      </c>
      <c r="G592" s="3">
        <v>45441</v>
      </c>
      <c r="H592" s="5" t="str">
        <f t="shared" si="162"/>
        <v>May</v>
      </c>
      <c r="I592" s="5">
        <f t="shared" si="163"/>
        <v>2024</v>
      </c>
      <c r="J592" t="str">
        <f>IF(F592="","Missing Date",
IF(ISNUMBER(F592),"Valid","Invalid Date"))</f>
        <v>Valid</v>
      </c>
      <c r="K592" t="str">
        <f t="shared" si="164"/>
        <v>Valid</v>
      </c>
      <c r="L592">
        <f>G592-F592</f>
        <v>0</v>
      </c>
      <c r="M592" t="s">
        <v>2827</v>
      </c>
      <c r="N592" t="s">
        <v>162</v>
      </c>
      <c r="O592" t="str">
        <f t="shared" si="165"/>
        <v>Aarav Sharma</v>
      </c>
      <c r="P592" t="s">
        <v>115</v>
      </c>
      <c r="Q592" t="str">
        <f t="shared" si="166"/>
        <v>Home Office</v>
      </c>
      <c r="R592" t="s">
        <v>27</v>
      </c>
      <c r="S592" t="str">
        <f t="shared" si="167"/>
        <v>North</v>
      </c>
      <c r="T592" t="s">
        <v>506</v>
      </c>
      <c r="U592" t="str">
        <f t="shared" si="168"/>
        <v>Delhi</v>
      </c>
      <c r="V592" t="s">
        <v>507</v>
      </c>
      <c r="W592" t="str">
        <f t="shared" si="169"/>
        <v>New Delhi</v>
      </c>
      <c r="X592" t="s">
        <v>45</v>
      </c>
      <c r="Y592" t="str">
        <f t="shared" si="170"/>
        <v>Furniture</v>
      </c>
      <c r="Z592" t="s">
        <v>76</v>
      </c>
      <c r="AA592" t="str">
        <f t="shared" si="171"/>
        <v>Chairs</v>
      </c>
      <c r="AB592" t="s">
        <v>2828</v>
      </c>
      <c r="AC592" t="s">
        <v>48</v>
      </c>
      <c r="AD592" t="str">
        <f t="shared" si="172"/>
        <v>Same Day</v>
      </c>
      <c r="AE592">
        <v>6</v>
      </c>
      <c r="AF592">
        <v>3430.35</v>
      </c>
      <c r="AG592">
        <v>0</v>
      </c>
      <c r="AH592">
        <v>0</v>
      </c>
      <c r="AI592" t="str">
        <f t="shared" si="173"/>
        <v>Valid</v>
      </c>
      <c r="AJ592">
        <v>20582.099999999999</v>
      </c>
      <c r="AK592">
        <f t="shared" si="174"/>
        <v>20582.099999999999</v>
      </c>
      <c r="AL592">
        <v>15897.65</v>
      </c>
      <c r="AM592">
        <v>4684.45</v>
      </c>
      <c r="AN592">
        <f t="shared" si="175"/>
        <v>4684.4499999999989</v>
      </c>
      <c r="AO592">
        <f t="shared" si="176"/>
        <v>-15897.65</v>
      </c>
      <c r="AP592" t="s">
        <v>137</v>
      </c>
      <c r="AQ592" t="str">
        <f t="shared" si="177"/>
        <v>Pending</v>
      </c>
      <c r="AR592" t="s">
        <v>78</v>
      </c>
      <c r="AS592" t="str">
        <f t="shared" si="178"/>
        <v>Cancelled</v>
      </c>
      <c r="AT592" t="str">
        <f t="shared" si="179"/>
        <v>Clean</v>
      </c>
    </row>
    <row r="593" spans="1:46">
      <c r="A593" t="s">
        <v>2829</v>
      </c>
      <c r="B593">
        <f>COUNTIF($D$2:D593,D593)</f>
        <v>1</v>
      </c>
      <c r="C593" t="str">
        <f>IF(COUNTIF($A:$A,A593)=1,
"Unique",
IF(COUNTIFS($A:$A,A593,$N:$N,N593,$AF:$AF,AF593,$AJ:$AJ,AJ593)&gt;1,
"Exact Duplicate",
"Conflicting Duplicate"))</f>
        <v>Unique</v>
      </c>
      <c r="D593" t="s">
        <v>2830</v>
      </c>
      <c r="E593" t="s">
        <v>2831</v>
      </c>
      <c r="F593" s="3">
        <v>45344</v>
      </c>
      <c r="G593" s="3">
        <v>45346</v>
      </c>
      <c r="H593" s="5" t="str">
        <f t="shared" si="162"/>
        <v>February</v>
      </c>
      <c r="I593" s="5">
        <f t="shared" si="163"/>
        <v>2024</v>
      </c>
      <c r="J593" t="str">
        <f>IF(F593="","Missing Date",
IF(ISNUMBER(F593),"Valid","Invalid Date"))</f>
        <v>Valid</v>
      </c>
      <c r="K593" t="str">
        <f t="shared" si="164"/>
        <v>Valid</v>
      </c>
      <c r="L593">
        <f>G593-F593</f>
        <v>2</v>
      </c>
      <c r="M593" t="s">
        <v>2832</v>
      </c>
      <c r="N593" t="s">
        <v>168</v>
      </c>
      <c r="O593" t="str">
        <f t="shared" si="165"/>
        <v>Sneha Kapoor</v>
      </c>
      <c r="P593" t="s">
        <v>26</v>
      </c>
      <c r="Q593" t="str">
        <f t="shared" si="166"/>
        <v>Consumer</v>
      </c>
      <c r="R593" t="s">
        <v>62</v>
      </c>
      <c r="S593" t="str">
        <f t="shared" si="167"/>
        <v>South</v>
      </c>
      <c r="T593" t="s">
        <v>229</v>
      </c>
      <c r="U593" t="str">
        <f t="shared" si="168"/>
        <v>Karnataka</v>
      </c>
      <c r="V593" t="s">
        <v>230</v>
      </c>
      <c r="W593" t="str">
        <f t="shared" si="169"/>
        <v>Bengaluru</v>
      </c>
      <c r="X593" t="s">
        <v>86</v>
      </c>
      <c r="Y593" t="str">
        <f t="shared" si="170"/>
        <v>Technology</v>
      </c>
      <c r="Z593" t="s">
        <v>94</v>
      </c>
      <c r="AA593" t="str">
        <f t="shared" si="171"/>
        <v>Copiers</v>
      </c>
      <c r="AB593" t="s">
        <v>2833</v>
      </c>
      <c r="AC593" t="s">
        <v>56</v>
      </c>
      <c r="AD593" t="str">
        <f t="shared" si="172"/>
        <v>First Class</v>
      </c>
      <c r="AE593">
        <v>3</v>
      </c>
      <c r="AF593">
        <v>3545.08</v>
      </c>
      <c r="AG593">
        <v>0</v>
      </c>
      <c r="AH593">
        <v>0</v>
      </c>
      <c r="AI593" t="str">
        <f t="shared" si="173"/>
        <v>Valid</v>
      </c>
      <c r="AJ593">
        <v>10635.24</v>
      </c>
      <c r="AK593">
        <f t="shared" si="174"/>
        <v>10635.24</v>
      </c>
      <c r="AL593">
        <v>6031.88</v>
      </c>
      <c r="AM593">
        <v>4603.3599999999997</v>
      </c>
      <c r="AN593">
        <f t="shared" si="175"/>
        <v>4603.3599999999997</v>
      </c>
      <c r="AO593">
        <f t="shared" si="176"/>
        <v>-6031.88</v>
      </c>
      <c r="AP593" t="s">
        <v>200</v>
      </c>
      <c r="AQ593" t="str">
        <f t="shared" si="177"/>
        <v>Failed</v>
      </c>
      <c r="AR593" t="s">
        <v>125</v>
      </c>
      <c r="AS593" t="str">
        <f t="shared" si="178"/>
        <v>Returned</v>
      </c>
      <c r="AT593" t="str">
        <f t="shared" si="179"/>
        <v>Clean</v>
      </c>
    </row>
    <row r="594" spans="1:46">
      <c r="A594" t="s">
        <v>2834</v>
      </c>
      <c r="B594">
        <f>COUNTIF($D$2:D594,D594)</f>
        <v>3</v>
      </c>
      <c r="C594" t="str">
        <f>IF(COUNTIF($A:$A,A594)=1,
"Unique",
IF(COUNTIFS($A:$A,A594,$N:$N,N594,$AF:$AF,AF594,$AJ:$AJ,AJ594)&gt;1,
"Exact Duplicate",
"Conflicting Duplicate"))</f>
        <v>Unique</v>
      </c>
      <c r="D594" t="s">
        <v>839</v>
      </c>
      <c r="E594" t="s">
        <v>897</v>
      </c>
      <c r="F594" s="3">
        <v>45385</v>
      </c>
      <c r="G594" s="3">
        <v>45538</v>
      </c>
      <c r="H594" s="5" t="str">
        <f t="shared" si="162"/>
        <v>April</v>
      </c>
      <c r="I594" s="5">
        <f t="shared" si="163"/>
        <v>2024</v>
      </c>
      <c r="J594" t="str">
        <f>IF(F594="","Missing Date",
IF(ISNUMBER(F594),"Valid","Invalid Date"))</f>
        <v>Valid</v>
      </c>
      <c r="K594" t="str">
        <f t="shared" si="164"/>
        <v>Valid</v>
      </c>
      <c r="L594">
        <f>G594-F594</f>
        <v>153</v>
      </c>
      <c r="M594" t="s">
        <v>2835</v>
      </c>
      <c r="N594" t="s">
        <v>40</v>
      </c>
      <c r="O594" t="str">
        <f t="shared" si="165"/>
        <v>Mira Das</v>
      </c>
      <c r="P594" t="s">
        <v>26</v>
      </c>
      <c r="Q594" t="str">
        <f t="shared" si="166"/>
        <v>Consumer</v>
      </c>
      <c r="R594" t="s">
        <v>42</v>
      </c>
      <c r="S594" t="str">
        <f t="shared" si="167"/>
        <v>East</v>
      </c>
      <c r="T594" t="s">
        <v>121</v>
      </c>
      <c r="U594" t="str">
        <f t="shared" si="168"/>
        <v>West Bengal</v>
      </c>
      <c r="V594" t="s">
        <v>122</v>
      </c>
      <c r="W594" t="str">
        <f t="shared" si="169"/>
        <v>Kolkata</v>
      </c>
      <c r="X594" t="s">
        <v>86</v>
      </c>
      <c r="Y594" t="str">
        <f t="shared" si="170"/>
        <v>Technology</v>
      </c>
      <c r="Z594" t="s">
        <v>87</v>
      </c>
      <c r="AA594" t="str">
        <f t="shared" si="171"/>
        <v>Accessories</v>
      </c>
      <c r="AB594" t="s">
        <v>2836</v>
      </c>
      <c r="AC594" t="s">
        <v>48</v>
      </c>
      <c r="AD594" t="str">
        <f t="shared" si="172"/>
        <v>Same Day</v>
      </c>
      <c r="AE594">
        <v>8</v>
      </c>
      <c r="AF594">
        <v>4401.41</v>
      </c>
      <c r="AG594">
        <v>0.15</v>
      </c>
      <c r="AH594">
        <v>0.15</v>
      </c>
      <c r="AI594" t="str">
        <f t="shared" si="173"/>
        <v>Valid</v>
      </c>
      <c r="AJ594">
        <v>29929.59</v>
      </c>
      <c r="AK594">
        <f t="shared" si="174"/>
        <v>29929.588</v>
      </c>
      <c r="AL594">
        <v>22436.03</v>
      </c>
      <c r="AM594">
        <v>7493.56</v>
      </c>
      <c r="AN594">
        <f t="shared" si="175"/>
        <v>7493.5580000000009</v>
      </c>
      <c r="AO594">
        <f t="shared" si="176"/>
        <v>-22436.03</v>
      </c>
      <c r="AP594" t="s">
        <v>34</v>
      </c>
      <c r="AQ594" t="str">
        <f t="shared" si="177"/>
        <v>Paid</v>
      </c>
      <c r="AR594" t="s">
        <v>35</v>
      </c>
      <c r="AS594" t="str">
        <f t="shared" si="178"/>
        <v>Completed</v>
      </c>
      <c r="AT594" t="str">
        <f t="shared" si="179"/>
        <v>Clean</v>
      </c>
    </row>
    <row r="595" spans="1:46">
      <c r="A595" t="s">
        <v>2837</v>
      </c>
      <c r="B595">
        <f>COUNTIF($D$2:D595,D595)</f>
        <v>1</v>
      </c>
      <c r="C595" t="str">
        <f>IF(COUNTIF($A:$A,A595)=1,
"Unique",
IF(COUNTIFS($A:$A,A595,$N:$N,N595,$AF:$AF,AF595,$AJ:$AJ,AJ595)&gt;1,
"Exact Duplicate",
"Conflicting Duplicate"))</f>
        <v>Unique</v>
      </c>
      <c r="D595" t="s">
        <v>1358</v>
      </c>
      <c r="E595" t="s">
        <v>2838</v>
      </c>
      <c r="F595" s="3">
        <v>45927</v>
      </c>
      <c r="G595" s="3">
        <v>45929</v>
      </c>
      <c r="H595" s="5" t="str">
        <f t="shared" si="162"/>
        <v>September</v>
      </c>
      <c r="I595" s="5">
        <f t="shared" si="163"/>
        <v>2025</v>
      </c>
      <c r="J595" t="str">
        <f>IF(F595="","Missing Date",
IF(ISNUMBER(F595),"Valid","Invalid Date"))</f>
        <v>Valid</v>
      </c>
      <c r="K595" t="str">
        <f t="shared" si="164"/>
        <v>Valid</v>
      </c>
      <c r="L595">
        <f>G595-F595</f>
        <v>2</v>
      </c>
      <c r="M595" t="s">
        <v>2529</v>
      </c>
      <c r="N595" t="s">
        <v>61</v>
      </c>
      <c r="O595" t="str">
        <f t="shared" si="165"/>
        <v>Arjun Bose</v>
      </c>
      <c r="P595" t="s">
        <v>115</v>
      </c>
      <c r="Q595" t="str">
        <f t="shared" si="166"/>
        <v>Home Office</v>
      </c>
      <c r="R595" t="s">
        <v>27</v>
      </c>
      <c r="S595" t="str">
        <f t="shared" si="167"/>
        <v>North</v>
      </c>
      <c r="T595" t="s">
        <v>174</v>
      </c>
      <c r="U595" t="str">
        <f t="shared" si="168"/>
        <v>Uttar Pradesh</v>
      </c>
      <c r="V595" t="s">
        <v>175</v>
      </c>
      <c r="W595" t="str">
        <f t="shared" si="169"/>
        <v>Noida</v>
      </c>
      <c r="X595" t="s">
        <v>45</v>
      </c>
      <c r="Y595" t="str">
        <f t="shared" si="170"/>
        <v>Furniture</v>
      </c>
      <c r="Z595" t="s">
        <v>46</v>
      </c>
      <c r="AA595" t="str">
        <f t="shared" si="171"/>
        <v>Tables</v>
      </c>
      <c r="AB595" t="s">
        <v>2839</v>
      </c>
      <c r="AC595" t="s">
        <v>33</v>
      </c>
      <c r="AD595" t="str">
        <f t="shared" si="172"/>
        <v>Second Class</v>
      </c>
      <c r="AE595">
        <v>9</v>
      </c>
      <c r="AF595">
        <v>4100.1099999999997</v>
      </c>
      <c r="AG595">
        <v>0.25</v>
      </c>
      <c r="AH595">
        <v>0.25</v>
      </c>
      <c r="AI595" t="str">
        <f t="shared" si="173"/>
        <v>Valid</v>
      </c>
      <c r="AJ595">
        <v>27675.74</v>
      </c>
      <c r="AK595">
        <f t="shared" si="174"/>
        <v>27675.7425</v>
      </c>
      <c r="AL595">
        <v>15571.08</v>
      </c>
      <c r="AM595">
        <v>12104.66</v>
      </c>
      <c r="AN595">
        <f t="shared" si="175"/>
        <v>12104.6625</v>
      </c>
      <c r="AO595">
        <f t="shared" si="176"/>
        <v>-15571.08</v>
      </c>
      <c r="AP595" t="s">
        <v>34</v>
      </c>
      <c r="AQ595" t="str">
        <f t="shared" si="177"/>
        <v>Paid</v>
      </c>
      <c r="AR595" t="s">
        <v>35</v>
      </c>
      <c r="AS595" t="str">
        <f t="shared" si="178"/>
        <v>Completed</v>
      </c>
      <c r="AT595" t="str">
        <f t="shared" si="179"/>
        <v>Clean</v>
      </c>
    </row>
    <row r="596" spans="1:46">
      <c r="A596" t="s">
        <v>2840</v>
      </c>
      <c r="B596">
        <f>COUNTIF($D$2:D596,D596)</f>
        <v>1</v>
      </c>
      <c r="C596" t="str">
        <f>IF(COUNTIF($A:$A,A596)=1,
"Unique",
IF(COUNTIFS($A:$A,A596,$N:$N,N596,$AF:$AF,AF596,$AJ:$AJ,AJ596)&gt;1,
"Exact Duplicate",
"Conflicting Duplicate"))</f>
        <v>Unique</v>
      </c>
      <c r="D596" t="s">
        <v>2841</v>
      </c>
      <c r="E596" t="s">
        <v>1135</v>
      </c>
      <c r="F596" s="3">
        <v>45554</v>
      </c>
      <c r="G596" s="3">
        <v>45556</v>
      </c>
      <c r="H596" s="5" t="str">
        <f t="shared" si="162"/>
        <v>September</v>
      </c>
      <c r="I596" s="5">
        <f t="shared" si="163"/>
        <v>2024</v>
      </c>
      <c r="J596" t="str">
        <f>IF(F596="","Missing Date",
IF(ISNUMBER(F596),"Valid","Invalid Date"))</f>
        <v>Valid</v>
      </c>
      <c r="K596" t="str">
        <f t="shared" si="164"/>
        <v>Valid</v>
      </c>
      <c r="L596">
        <f>G596-F596</f>
        <v>2</v>
      </c>
      <c r="M596" t="s">
        <v>2842</v>
      </c>
      <c r="N596" t="s">
        <v>25</v>
      </c>
      <c r="O596" t="str">
        <f t="shared" si="165"/>
        <v>Karan Malhotra</v>
      </c>
      <c r="P596" t="s">
        <v>41</v>
      </c>
      <c r="Q596" t="str">
        <f t="shared" si="166"/>
        <v>Small Business</v>
      </c>
      <c r="R596" t="s">
        <v>42</v>
      </c>
      <c r="S596" t="str">
        <f t="shared" si="167"/>
        <v>East</v>
      </c>
      <c r="T596" t="s">
        <v>121</v>
      </c>
      <c r="U596" t="str">
        <f t="shared" si="168"/>
        <v>West Bengal</v>
      </c>
      <c r="V596" t="s">
        <v>122</v>
      </c>
      <c r="W596" t="str">
        <f t="shared" si="169"/>
        <v>Kolkata</v>
      </c>
      <c r="X596" t="s">
        <v>45</v>
      </c>
      <c r="Y596" t="str">
        <f t="shared" si="170"/>
        <v>Furniture</v>
      </c>
      <c r="Z596" t="s">
        <v>76</v>
      </c>
      <c r="AA596" t="str">
        <f t="shared" si="171"/>
        <v>Chairs</v>
      </c>
      <c r="AB596" t="s">
        <v>2843</v>
      </c>
      <c r="AC596" t="s">
        <v>56</v>
      </c>
      <c r="AD596" t="str">
        <f t="shared" si="172"/>
        <v>First Class</v>
      </c>
      <c r="AE596">
        <v>3</v>
      </c>
      <c r="AF596">
        <v>3981.76</v>
      </c>
      <c r="AG596">
        <v>0</v>
      </c>
      <c r="AH596">
        <v>0</v>
      </c>
      <c r="AI596" t="str">
        <f t="shared" si="173"/>
        <v>Valid</v>
      </c>
      <c r="AJ596">
        <v>11945.28</v>
      </c>
      <c r="AK596">
        <f t="shared" si="174"/>
        <v>11945.28</v>
      </c>
      <c r="AL596">
        <v>9700.31</v>
      </c>
      <c r="AM596">
        <v>2244.9699999999998</v>
      </c>
      <c r="AN596">
        <f t="shared" si="175"/>
        <v>2244.9700000000012</v>
      </c>
      <c r="AO596">
        <f t="shared" si="176"/>
        <v>-9700.31</v>
      </c>
      <c r="AP596" t="s">
        <v>34</v>
      </c>
      <c r="AQ596" t="str">
        <f t="shared" si="177"/>
        <v>Paid</v>
      </c>
      <c r="AR596" t="s">
        <v>35</v>
      </c>
      <c r="AS596" t="str">
        <f t="shared" si="178"/>
        <v>Completed</v>
      </c>
      <c r="AT596" t="str">
        <f t="shared" si="179"/>
        <v>Clean</v>
      </c>
    </row>
    <row r="597" spans="1:46">
      <c r="A597" t="s">
        <v>2844</v>
      </c>
      <c r="B597">
        <f>COUNTIF($D$2:D597,D597)</f>
        <v>1</v>
      </c>
      <c r="C597" t="str">
        <f>IF(COUNTIF($A:$A,A597)=1,
"Unique",
IF(COUNTIFS($A:$A,A597,$N:$N,N597,$AF:$AF,AF597,$AJ:$AJ,AJ597)&gt;1,
"Exact Duplicate",
"Conflicting Duplicate"))</f>
        <v>Unique</v>
      </c>
      <c r="D597" t="s">
        <v>2845</v>
      </c>
      <c r="E597" t="s">
        <v>2846</v>
      </c>
      <c r="F597" s="3">
        <v>45699</v>
      </c>
      <c r="G597" s="3">
        <v>45704</v>
      </c>
      <c r="H597" s="5" t="str">
        <f t="shared" si="162"/>
        <v>February</v>
      </c>
      <c r="I597" s="5">
        <f t="shared" si="163"/>
        <v>2025</v>
      </c>
      <c r="J597" t="str">
        <f>IF(F597="","Missing Date",
IF(ISNUMBER(F597),"Valid","Invalid Date"))</f>
        <v>Valid</v>
      </c>
      <c r="K597" t="str">
        <f t="shared" si="164"/>
        <v>Valid</v>
      </c>
      <c r="L597">
        <f>G597-F597</f>
        <v>5</v>
      </c>
      <c r="M597" t="s">
        <v>2847</v>
      </c>
      <c r="N597" t="s">
        <v>40</v>
      </c>
      <c r="O597" t="str">
        <f t="shared" si="165"/>
        <v>Mira Das</v>
      </c>
      <c r="P597" t="s">
        <v>108</v>
      </c>
      <c r="Q597" t="str">
        <f t="shared" si="166"/>
        <v>Corporate</v>
      </c>
      <c r="R597" t="s">
        <v>27</v>
      </c>
      <c r="S597" t="str">
        <f t="shared" si="167"/>
        <v>North</v>
      </c>
      <c r="T597" t="s">
        <v>174</v>
      </c>
      <c r="U597" t="str">
        <f t="shared" si="168"/>
        <v>Uttar Pradesh</v>
      </c>
      <c r="V597" t="s">
        <v>175</v>
      </c>
      <c r="W597" t="str">
        <f t="shared" si="169"/>
        <v>Noida</v>
      </c>
      <c r="X597" t="s">
        <v>86</v>
      </c>
      <c r="Y597" t="str">
        <f t="shared" si="170"/>
        <v>Technology</v>
      </c>
      <c r="Z597" t="s">
        <v>223</v>
      </c>
      <c r="AA597" t="str">
        <f t="shared" si="171"/>
        <v>Phones</v>
      </c>
      <c r="AB597" t="s">
        <v>2848</v>
      </c>
      <c r="AC597" t="s">
        <v>56</v>
      </c>
      <c r="AD597" t="str">
        <f t="shared" si="172"/>
        <v>First Class</v>
      </c>
      <c r="AE597">
        <v>8</v>
      </c>
      <c r="AF597">
        <v>1825.56</v>
      </c>
      <c r="AG597">
        <v>0.1</v>
      </c>
      <c r="AH597">
        <v>0.1</v>
      </c>
      <c r="AI597" t="str">
        <f t="shared" si="173"/>
        <v>Valid</v>
      </c>
      <c r="AJ597">
        <v>13144.03</v>
      </c>
      <c r="AK597">
        <f t="shared" si="174"/>
        <v>13144.031999999999</v>
      </c>
      <c r="AL597">
        <v>9764</v>
      </c>
      <c r="AM597">
        <v>3380.03</v>
      </c>
      <c r="AN597">
        <f t="shared" si="175"/>
        <v>3380.0319999999992</v>
      </c>
      <c r="AO597">
        <f t="shared" si="176"/>
        <v>-9764</v>
      </c>
      <c r="AP597" t="s">
        <v>34</v>
      </c>
      <c r="AQ597" t="str">
        <f t="shared" si="177"/>
        <v>Paid</v>
      </c>
      <c r="AR597" t="s">
        <v>35</v>
      </c>
      <c r="AS597" t="str">
        <f t="shared" si="178"/>
        <v>Completed</v>
      </c>
      <c r="AT597" t="str">
        <f t="shared" si="179"/>
        <v>Clean</v>
      </c>
    </row>
    <row r="598" spans="1:46">
      <c r="A598" t="s">
        <v>2849</v>
      </c>
      <c r="B598">
        <f>COUNTIF($D$2:D598,D598)</f>
        <v>1</v>
      </c>
      <c r="C598" t="str">
        <f>IF(COUNTIF($A:$A,A598)=1,
"Unique",
IF(COUNTIFS($A:$A,A598,$N:$N,N598,$AF:$AF,AF598,$AJ:$AJ,AJ598)&gt;1,
"Exact Duplicate",
"Conflicting Duplicate"))</f>
        <v>Unique</v>
      </c>
      <c r="D598" t="s">
        <v>1440</v>
      </c>
      <c r="E598" t="s">
        <v>411</v>
      </c>
      <c r="F598" s="2">
        <v>45569</v>
      </c>
      <c r="G598" s="3">
        <v>45398</v>
      </c>
      <c r="H598" s="5" t="str">
        <f t="shared" si="162"/>
        <v>October</v>
      </c>
      <c r="I598" s="5">
        <f t="shared" si="163"/>
        <v>2024</v>
      </c>
      <c r="J598" t="str">
        <f>IF(F598="","Missing Date",
IF(ISNUMBER(F598),"Valid","Invalid Date"))</f>
        <v>Valid</v>
      </c>
      <c r="K598" t="str">
        <f t="shared" si="164"/>
        <v>Valid</v>
      </c>
      <c r="L598">
        <f>G598-F598</f>
        <v>-171</v>
      </c>
      <c r="M598" t="s">
        <v>2850</v>
      </c>
      <c r="N598" t="s">
        <v>107</v>
      </c>
      <c r="O598" t="str">
        <f t="shared" si="165"/>
        <v>Aditi Sen</v>
      </c>
      <c r="P598" t="s">
        <v>26</v>
      </c>
      <c r="Q598" t="str">
        <f t="shared" si="166"/>
        <v>Consumer</v>
      </c>
      <c r="R598" t="s">
        <v>62</v>
      </c>
      <c r="S598" t="str">
        <f t="shared" si="167"/>
        <v>South</v>
      </c>
      <c r="T598" t="s">
        <v>242</v>
      </c>
      <c r="U598" t="str">
        <f t="shared" si="168"/>
        <v>Kerala</v>
      </c>
      <c r="V598" t="s">
        <v>243</v>
      </c>
      <c r="W598" t="str">
        <f t="shared" si="169"/>
        <v>Kochi</v>
      </c>
      <c r="X598" t="s">
        <v>45</v>
      </c>
      <c r="Y598" t="str">
        <f t="shared" si="170"/>
        <v>Furniture</v>
      </c>
      <c r="Z598" t="s">
        <v>76</v>
      </c>
      <c r="AA598" t="str">
        <f t="shared" si="171"/>
        <v>Chairs</v>
      </c>
      <c r="AB598" t="s">
        <v>2851</v>
      </c>
      <c r="AC598" t="s">
        <v>33</v>
      </c>
      <c r="AD598" t="str">
        <f t="shared" si="172"/>
        <v>Second Class</v>
      </c>
      <c r="AE598">
        <v>9</v>
      </c>
      <c r="AF598">
        <v>2723.26</v>
      </c>
      <c r="AG598">
        <v>0.25</v>
      </c>
      <c r="AH598">
        <v>0.25</v>
      </c>
      <c r="AI598" t="str">
        <f t="shared" si="173"/>
        <v>Valid</v>
      </c>
      <c r="AJ598">
        <v>18382.009999999998</v>
      </c>
      <c r="AK598">
        <f t="shared" si="174"/>
        <v>18382.005000000005</v>
      </c>
      <c r="AL598">
        <v>13108.2</v>
      </c>
      <c r="AM598">
        <v>5273.81</v>
      </c>
      <c r="AN598">
        <f t="shared" si="175"/>
        <v>5273.8050000000039</v>
      </c>
      <c r="AO598">
        <f t="shared" si="176"/>
        <v>-13108.2</v>
      </c>
      <c r="AP598" t="s">
        <v>34</v>
      </c>
      <c r="AQ598" t="str">
        <f t="shared" si="177"/>
        <v>Paid</v>
      </c>
      <c r="AR598" t="s">
        <v>35</v>
      </c>
      <c r="AS598" t="str">
        <f t="shared" si="178"/>
        <v>Completed</v>
      </c>
      <c r="AT598" t="str">
        <f t="shared" si="179"/>
        <v>Clean</v>
      </c>
    </row>
    <row r="599" spans="1:46">
      <c r="A599" t="s">
        <v>2852</v>
      </c>
      <c r="B599">
        <f>COUNTIF($D$2:D599,D599)</f>
        <v>2</v>
      </c>
      <c r="C599" t="str">
        <f>IF(COUNTIF($A:$A,A599)=1,
"Unique",
IF(COUNTIFS($A:$A,A599,$N:$N,N599,$AF:$AF,AF599,$AJ:$AJ,AJ599)&gt;1,
"Exact Duplicate",
"Conflicting Duplicate"))</f>
        <v>Unique</v>
      </c>
      <c r="D599" t="s">
        <v>2853</v>
      </c>
      <c r="E599" t="s">
        <v>488</v>
      </c>
      <c r="F599" s="2">
        <v>45876</v>
      </c>
      <c r="G599" s="3">
        <v>45846</v>
      </c>
      <c r="H599" s="5" t="str">
        <f t="shared" si="162"/>
        <v>August</v>
      </c>
      <c r="I599" s="5">
        <f t="shared" si="163"/>
        <v>2025</v>
      </c>
      <c r="J599" t="str">
        <f>IF(F599="","Missing Date",
IF(ISNUMBER(F599),"Valid","Invalid Date"))</f>
        <v>Valid</v>
      </c>
      <c r="K599" t="str">
        <f t="shared" si="164"/>
        <v>Valid</v>
      </c>
      <c r="L599">
        <f>G599-F599</f>
        <v>-30</v>
      </c>
      <c r="M599" t="s">
        <v>2854</v>
      </c>
      <c r="N599" t="s">
        <v>107</v>
      </c>
      <c r="O599" t="str">
        <f t="shared" si="165"/>
        <v>Aditi Sen</v>
      </c>
      <c r="P599" t="s">
        <v>26</v>
      </c>
      <c r="Q599" t="str">
        <f t="shared" si="166"/>
        <v>Consumer</v>
      </c>
      <c r="R599" t="s">
        <v>62</v>
      </c>
      <c r="S599" t="str">
        <f t="shared" si="167"/>
        <v>South</v>
      </c>
      <c r="T599" t="s">
        <v>63</v>
      </c>
      <c r="U599" t="str">
        <f t="shared" si="168"/>
        <v>Telangana</v>
      </c>
      <c r="V599" t="s">
        <v>64</v>
      </c>
      <c r="W599" t="str">
        <f t="shared" si="169"/>
        <v>Hyderabad</v>
      </c>
      <c r="X599" t="s">
        <v>86</v>
      </c>
      <c r="Y599" t="str">
        <f t="shared" si="170"/>
        <v>Technology</v>
      </c>
      <c r="Z599" t="s">
        <v>94</v>
      </c>
      <c r="AA599" t="str">
        <f t="shared" si="171"/>
        <v>Copiers</v>
      </c>
      <c r="AB599" t="s">
        <v>2855</v>
      </c>
      <c r="AC599" t="s">
        <v>48</v>
      </c>
      <c r="AD599" t="str">
        <f t="shared" si="172"/>
        <v>Same Day</v>
      </c>
      <c r="AE599">
        <v>9</v>
      </c>
      <c r="AF599">
        <v>274.88</v>
      </c>
      <c r="AG599">
        <v>0.25</v>
      </c>
      <c r="AH599">
        <v>0.25</v>
      </c>
      <c r="AI599" t="str">
        <f t="shared" si="173"/>
        <v>Valid</v>
      </c>
      <c r="AJ599">
        <v>1855.44</v>
      </c>
      <c r="AK599">
        <f t="shared" si="174"/>
        <v>1855.44</v>
      </c>
      <c r="AL599">
        <v>1262.74</v>
      </c>
      <c r="AM599">
        <v>592.70000000000005</v>
      </c>
      <c r="AN599">
        <f t="shared" si="175"/>
        <v>592.70000000000005</v>
      </c>
      <c r="AO599">
        <f t="shared" si="176"/>
        <v>-1262.74</v>
      </c>
      <c r="AP599" t="s">
        <v>34</v>
      </c>
      <c r="AQ599" t="str">
        <f t="shared" si="177"/>
        <v>Paid</v>
      </c>
      <c r="AR599" t="s">
        <v>35</v>
      </c>
      <c r="AS599" t="str">
        <f t="shared" si="178"/>
        <v>Completed</v>
      </c>
      <c r="AT599" t="str">
        <f t="shared" si="179"/>
        <v>Clean</v>
      </c>
    </row>
    <row r="600" spans="1:46">
      <c r="A600" t="s">
        <v>2856</v>
      </c>
      <c r="B600">
        <f>COUNTIF($D$2:D600,D600)</f>
        <v>1</v>
      </c>
      <c r="C600" t="str">
        <f>IF(COUNTIF($A:$A,A600)=1,
"Unique",
IF(COUNTIFS($A:$A,A600,$N:$N,N600,$AF:$AF,AF600,$AJ:$AJ,AJ600)&gt;1,
"Exact Duplicate",
"Conflicting Duplicate"))</f>
        <v>Exact Duplicate</v>
      </c>
      <c r="D600" t="s">
        <v>2439</v>
      </c>
      <c r="E600" t="s">
        <v>2857</v>
      </c>
      <c r="F600" s="3">
        <v>45521</v>
      </c>
      <c r="G600" s="3">
        <v>45528</v>
      </c>
      <c r="H600" s="5" t="str">
        <f t="shared" si="162"/>
        <v>August</v>
      </c>
      <c r="I600" s="5">
        <f t="shared" si="163"/>
        <v>2024</v>
      </c>
      <c r="J600" t="str">
        <f>IF(F600="","Missing Date",
IF(ISNUMBER(F600),"Valid","Invalid Date"))</f>
        <v>Valid</v>
      </c>
      <c r="K600" t="str">
        <f t="shared" si="164"/>
        <v>Valid</v>
      </c>
      <c r="L600">
        <f>G600-F600</f>
        <v>7</v>
      </c>
      <c r="M600" t="s">
        <v>2858</v>
      </c>
      <c r="N600" t="s">
        <v>72</v>
      </c>
      <c r="O600" t="str">
        <f t="shared" si="165"/>
        <v>Ananya Rao</v>
      </c>
      <c r="P600" t="s">
        <v>108</v>
      </c>
      <c r="Q600" t="str">
        <f t="shared" si="166"/>
        <v>Corporate</v>
      </c>
      <c r="R600" t="s">
        <v>42</v>
      </c>
      <c r="S600" t="str">
        <f t="shared" si="167"/>
        <v>East</v>
      </c>
      <c r="T600" t="s">
        <v>121</v>
      </c>
      <c r="U600" t="str">
        <f t="shared" si="168"/>
        <v>West Bengal</v>
      </c>
      <c r="V600" t="s">
        <v>122</v>
      </c>
      <c r="W600" t="str">
        <f t="shared" si="169"/>
        <v>Kolkata</v>
      </c>
      <c r="X600" t="s">
        <v>86</v>
      </c>
      <c r="Y600" t="str">
        <f t="shared" si="170"/>
        <v>Technology</v>
      </c>
      <c r="Z600" t="s">
        <v>94</v>
      </c>
      <c r="AA600" t="str">
        <f t="shared" si="171"/>
        <v>Copiers</v>
      </c>
      <c r="AB600" t="s">
        <v>2859</v>
      </c>
      <c r="AC600" t="s">
        <v>48</v>
      </c>
      <c r="AD600" t="str">
        <f t="shared" si="172"/>
        <v>Same Day</v>
      </c>
      <c r="AE600">
        <v>3</v>
      </c>
      <c r="AF600">
        <v>1490.69</v>
      </c>
      <c r="AG600">
        <v>0.25</v>
      </c>
      <c r="AH600">
        <v>0.25</v>
      </c>
      <c r="AI600" t="str">
        <f t="shared" si="173"/>
        <v>Valid</v>
      </c>
      <c r="AJ600">
        <v>3354.05</v>
      </c>
      <c r="AK600">
        <f t="shared" si="174"/>
        <v>3354.0524999999998</v>
      </c>
      <c r="AL600">
        <v>2672.67</v>
      </c>
      <c r="AM600">
        <v>681.38</v>
      </c>
      <c r="AN600">
        <f t="shared" si="175"/>
        <v>681.38249999999971</v>
      </c>
      <c r="AO600">
        <f t="shared" si="176"/>
        <v>-2672.67</v>
      </c>
      <c r="AP600" t="s">
        <v>34</v>
      </c>
      <c r="AQ600" t="str">
        <f t="shared" si="177"/>
        <v>Paid</v>
      </c>
      <c r="AR600" t="s">
        <v>35</v>
      </c>
      <c r="AS600" t="str">
        <f t="shared" si="178"/>
        <v>Completed</v>
      </c>
      <c r="AT600" t="str">
        <f t="shared" si="179"/>
        <v>Clean</v>
      </c>
    </row>
    <row r="601" spans="1:46">
      <c r="A601" t="s">
        <v>2860</v>
      </c>
      <c r="B601">
        <f>COUNTIF($D$2:D601,D601)</f>
        <v>1</v>
      </c>
      <c r="C601" t="str">
        <f>IF(COUNTIF($A:$A,A601)=1,
"Unique",
IF(COUNTIFS($A:$A,A601,$N:$N,N601,$AF:$AF,AF601,$AJ:$AJ,AJ601)&gt;1,
"Exact Duplicate",
"Conflicting Duplicate"))</f>
        <v>Unique</v>
      </c>
      <c r="D601" t="s">
        <v>2861</v>
      </c>
      <c r="E601" t="s">
        <v>1626</v>
      </c>
      <c r="F601" s="3">
        <v>45523</v>
      </c>
      <c r="G601" s="2">
        <v>45525</v>
      </c>
      <c r="H601" s="5" t="str">
        <f t="shared" si="162"/>
        <v>August</v>
      </c>
      <c r="I601" s="5">
        <f t="shared" si="163"/>
        <v>2024</v>
      </c>
      <c r="J601" t="str">
        <f>IF(F601="","Missing Date",
IF(ISNUMBER(F601),"Valid","Invalid Date"))</f>
        <v>Valid</v>
      </c>
      <c r="K601" t="str">
        <f t="shared" si="164"/>
        <v>Valid</v>
      </c>
      <c r="L601">
        <f>G601-F601</f>
        <v>2</v>
      </c>
      <c r="M601" t="s">
        <v>2862</v>
      </c>
      <c r="N601" t="s">
        <v>61</v>
      </c>
      <c r="O601" t="str">
        <f t="shared" si="165"/>
        <v>Arjun Bose</v>
      </c>
      <c r="P601" t="s">
        <v>26</v>
      </c>
      <c r="Q601" t="str">
        <f t="shared" si="166"/>
        <v>Consumer</v>
      </c>
      <c r="R601" t="s">
        <v>27</v>
      </c>
      <c r="S601" t="str">
        <f t="shared" si="167"/>
        <v>North</v>
      </c>
      <c r="T601" t="s">
        <v>154</v>
      </c>
      <c r="U601" t="str">
        <f t="shared" si="168"/>
        <v>Punjab</v>
      </c>
      <c r="V601" t="s">
        <v>155</v>
      </c>
      <c r="W601" t="str">
        <f t="shared" si="169"/>
        <v>Ludhiana</v>
      </c>
      <c r="X601" t="s">
        <v>86</v>
      </c>
      <c r="Y601" t="str">
        <f t="shared" si="170"/>
        <v>Technology</v>
      </c>
      <c r="Z601" t="s">
        <v>223</v>
      </c>
      <c r="AA601" t="str">
        <f t="shared" si="171"/>
        <v>Phones</v>
      </c>
      <c r="AB601" t="s">
        <v>2863</v>
      </c>
      <c r="AC601" t="s">
        <v>56</v>
      </c>
      <c r="AD601" t="str">
        <f t="shared" si="172"/>
        <v>First Class</v>
      </c>
      <c r="AE601">
        <v>3</v>
      </c>
      <c r="AF601">
        <v>1103.54</v>
      </c>
      <c r="AG601">
        <v>0.25</v>
      </c>
      <c r="AH601">
        <v>0.25</v>
      </c>
      <c r="AI601" t="str">
        <f t="shared" si="173"/>
        <v>Valid</v>
      </c>
      <c r="AJ601">
        <v>2482.9699999999998</v>
      </c>
      <c r="AK601">
        <f t="shared" si="174"/>
        <v>2482.9650000000001</v>
      </c>
      <c r="AL601">
        <v>1621.72</v>
      </c>
      <c r="AM601">
        <v>861.25</v>
      </c>
      <c r="AN601">
        <f t="shared" si="175"/>
        <v>861.24500000000012</v>
      </c>
      <c r="AO601">
        <f t="shared" si="176"/>
        <v>-1621.72</v>
      </c>
      <c r="AP601" t="s">
        <v>34</v>
      </c>
      <c r="AQ601" t="str">
        <f t="shared" si="177"/>
        <v>Paid</v>
      </c>
      <c r="AR601" t="s">
        <v>35</v>
      </c>
      <c r="AS601" t="str">
        <f t="shared" si="178"/>
        <v>Completed</v>
      </c>
      <c r="AT601" t="str">
        <f t="shared" si="179"/>
        <v>Clean</v>
      </c>
    </row>
    <row r="602" spans="1:46">
      <c r="A602" t="s">
        <v>2864</v>
      </c>
      <c r="B602">
        <f>COUNTIF($D$2:D602,D602)</f>
        <v>2</v>
      </c>
      <c r="C602" t="str">
        <f>IF(COUNTIF($A:$A,A602)=1,
"Unique",
IF(COUNTIFS($A:$A,A602,$N:$N,N602,$AF:$AF,AF602,$AJ:$AJ,AJ602)&gt;1,
"Exact Duplicate",
"Conflicting Duplicate"))</f>
        <v>Unique</v>
      </c>
      <c r="D602" t="s">
        <v>2865</v>
      </c>
      <c r="E602" t="s">
        <v>2866</v>
      </c>
      <c r="F602" s="3">
        <v>45780</v>
      </c>
      <c r="G602" s="3">
        <v>45994</v>
      </c>
      <c r="H602" s="5" t="str">
        <f t="shared" si="162"/>
        <v>May</v>
      </c>
      <c r="I602" s="5">
        <f t="shared" si="163"/>
        <v>2025</v>
      </c>
      <c r="J602" t="str">
        <f>IF(F602="","Missing Date",
IF(ISNUMBER(F602),"Valid","Invalid Date"))</f>
        <v>Valid</v>
      </c>
      <c r="K602" t="str">
        <f t="shared" si="164"/>
        <v>Valid</v>
      </c>
      <c r="L602">
        <f>G602-F602</f>
        <v>214</v>
      </c>
      <c r="M602" t="s">
        <v>2867</v>
      </c>
      <c r="N602" t="s">
        <v>72</v>
      </c>
      <c r="O602" t="str">
        <f t="shared" si="165"/>
        <v>Ananya Rao</v>
      </c>
      <c r="P602" t="s">
        <v>108</v>
      </c>
      <c r="Q602" t="str">
        <f t="shared" si="166"/>
        <v>Corporate</v>
      </c>
      <c r="R602" t="s">
        <v>73</v>
      </c>
      <c r="S602" t="str">
        <f t="shared" si="167"/>
        <v>West</v>
      </c>
      <c r="T602" t="s">
        <v>84</v>
      </c>
      <c r="U602" t="str">
        <f t="shared" si="168"/>
        <v>Madhya Pradesh</v>
      </c>
      <c r="V602" t="s">
        <v>85</v>
      </c>
      <c r="W602" t="str">
        <f t="shared" si="169"/>
        <v>Indore</v>
      </c>
      <c r="X602" t="s">
        <v>30</v>
      </c>
      <c r="Y602" t="str">
        <f t="shared" si="170"/>
        <v>Office Supplies</v>
      </c>
      <c r="Z602" t="s">
        <v>156</v>
      </c>
      <c r="AA602" t="str">
        <f t="shared" si="171"/>
        <v>Storage</v>
      </c>
      <c r="AB602" t="s">
        <v>2868</v>
      </c>
      <c r="AC602" t="s">
        <v>48</v>
      </c>
      <c r="AD602" t="str">
        <f t="shared" si="172"/>
        <v>Same Day</v>
      </c>
      <c r="AE602">
        <v>3</v>
      </c>
      <c r="AF602">
        <v>3682.75</v>
      </c>
      <c r="AG602" t="s">
        <v>4104</v>
      </c>
      <c r="AH602" t="s">
        <v>4104</v>
      </c>
      <c r="AI602" t="str">
        <f t="shared" si="173"/>
        <v>Invalid - Above Range</v>
      </c>
      <c r="AJ602">
        <v>11048.25</v>
      </c>
      <c r="AK602" t="s">
        <v>4104</v>
      </c>
      <c r="AL602">
        <v>9062.7199999999993</v>
      </c>
      <c r="AM602">
        <v>1985.53</v>
      </c>
      <c r="AN602" t="s">
        <v>4104</v>
      </c>
      <c r="AO602" t="s">
        <v>4104</v>
      </c>
      <c r="AP602" t="s">
        <v>34</v>
      </c>
      <c r="AQ602" t="str">
        <f t="shared" si="177"/>
        <v>Paid</v>
      </c>
      <c r="AR602" t="s">
        <v>35</v>
      </c>
      <c r="AS602" t="str">
        <f t="shared" si="178"/>
        <v>Completed</v>
      </c>
      <c r="AT602" t="str">
        <f t="shared" si="179"/>
        <v>Needs Review</v>
      </c>
    </row>
    <row r="603" spans="1:46">
      <c r="A603" t="s">
        <v>2869</v>
      </c>
      <c r="B603">
        <f>COUNTIF($D$2:D603,D603)</f>
        <v>2</v>
      </c>
      <c r="C603" t="str">
        <f>IF(COUNTIF($A:$A,A603)=1,
"Unique",
IF(COUNTIFS($A:$A,A603,$N:$N,N603,$AF:$AF,AF603,$AJ:$AJ,AJ603)&gt;1,
"Exact Duplicate",
"Conflicting Duplicate"))</f>
        <v>Unique</v>
      </c>
      <c r="D603" t="s">
        <v>2870</v>
      </c>
      <c r="E603" t="s">
        <v>2871</v>
      </c>
      <c r="F603" s="2">
        <v>45317</v>
      </c>
      <c r="G603" s="3">
        <v>45322</v>
      </c>
      <c r="H603" s="5" t="str">
        <f t="shared" si="162"/>
        <v>January</v>
      </c>
      <c r="I603" s="5">
        <f t="shared" si="163"/>
        <v>2024</v>
      </c>
      <c r="J603" t="str">
        <f>IF(F603="","Missing Date",
IF(ISNUMBER(F603),"Valid","Invalid Date"))</f>
        <v>Valid</v>
      </c>
      <c r="K603" t="str">
        <f t="shared" si="164"/>
        <v>Valid</v>
      </c>
      <c r="L603">
        <f>G603-F603</f>
        <v>5</v>
      </c>
      <c r="M603" t="s">
        <v>2872</v>
      </c>
      <c r="N603" t="s">
        <v>72</v>
      </c>
      <c r="O603" t="str">
        <f t="shared" si="165"/>
        <v>Ananya Rao</v>
      </c>
      <c r="P603" t="s">
        <v>115</v>
      </c>
      <c r="Q603" t="str">
        <f t="shared" si="166"/>
        <v>Home Office</v>
      </c>
      <c r="R603" t="s">
        <v>42</v>
      </c>
      <c r="S603" t="str">
        <f t="shared" si="167"/>
        <v>East</v>
      </c>
      <c r="T603" t="s">
        <v>121</v>
      </c>
      <c r="U603" t="str">
        <f t="shared" si="168"/>
        <v>West Bengal</v>
      </c>
      <c r="V603" t="s">
        <v>122</v>
      </c>
      <c r="W603" t="str">
        <f t="shared" si="169"/>
        <v>Kolkata</v>
      </c>
      <c r="X603" t="s">
        <v>30</v>
      </c>
      <c r="Y603" t="str">
        <f t="shared" si="170"/>
        <v>Office Supplies</v>
      </c>
      <c r="Z603" t="s">
        <v>31</v>
      </c>
      <c r="AA603" t="str">
        <f t="shared" si="171"/>
        <v>Paper</v>
      </c>
      <c r="AB603" t="s">
        <v>2873</v>
      </c>
      <c r="AC603" t="s">
        <v>33</v>
      </c>
      <c r="AD603" t="str">
        <f t="shared" si="172"/>
        <v>Second Class</v>
      </c>
      <c r="AE603">
        <v>5</v>
      </c>
      <c r="AF603">
        <v>1615.03</v>
      </c>
      <c r="AG603">
        <v>0.2</v>
      </c>
      <c r="AH603">
        <v>0.2</v>
      </c>
      <c r="AI603" t="str">
        <f t="shared" si="173"/>
        <v>Valid</v>
      </c>
      <c r="AJ603">
        <v>6460.12</v>
      </c>
      <c r="AK603">
        <f t="shared" si="174"/>
        <v>6460.12</v>
      </c>
      <c r="AL603">
        <v>3604.03</v>
      </c>
      <c r="AM603">
        <v>2856.09</v>
      </c>
      <c r="AN603">
        <f t="shared" si="175"/>
        <v>2856.0899999999997</v>
      </c>
      <c r="AO603">
        <f t="shared" si="176"/>
        <v>-3604.03</v>
      </c>
      <c r="AP603" t="s">
        <v>34</v>
      </c>
      <c r="AQ603" t="str">
        <f t="shared" si="177"/>
        <v>Paid</v>
      </c>
      <c r="AR603" t="s">
        <v>35</v>
      </c>
      <c r="AS603" t="str">
        <f t="shared" si="178"/>
        <v>Completed</v>
      </c>
      <c r="AT603" t="str">
        <f t="shared" si="179"/>
        <v>Clean</v>
      </c>
    </row>
    <row r="604" spans="1:46">
      <c r="A604" t="s">
        <v>2874</v>
      </c>
      <c r="B604">
        <f>COUNTIF($D$2:D604,D604)</f>
        <v>1</v>
      </c>
      <c r="C604" t="str">
        <f>IF(COUNTIF($A:$A,A604)=1,
"Unique",
IF(COUNTIFS($A:$A,A604,$N:$N,N604,$AF:$AF,AF604,$AJ:$AJ,AJ604)&gt;1,
"Exact Duplicate",
"Conflicting Duplicate"))</f>
        <v>Unique</v>
      </c>
      <c r="D604" t="s">
        <v>2875</v>
      </c>
      <c r="E604" t="s">
        <v>2876</v>
      </c>
      <c r="F604" s="3">
        <v>45588</v>
      </c>
      <c r="G604" s="3">
        <v>45595</v>
      </c>
      <c r="H604" s="5" t="str">
        <f t="shared" si="162"/>
        <v>October</v>
      </c>
      <c r="I604" s="5">
        <f t="shared" si="163"/>
        <v>2024</v>
      </c>
      <c r="J604" t="str">
        <f>IF(F604="","Missing Date",
IF(ISNUMBER(F604),"Valid","Invalid Date"))</f>
        <v>Valid</v>
      </c>
      <c r="K604" t="str">
        <f t="shared" si="164"/>
        <v>Valid</v>
      </c>
      <c r="L604">
        <f>G604-F604</f>
        <v>7</v>
      </c>
      <c r="M604" t="s">
        <v>2877</v>
      </c>
      <c r="N604" t="s">
        <v>162</v>
      </c>
      <c r="O604" t="str">
        <f t="shared" si="165"/>
        <v>Aarav Sharma</v>
      </c>
      <c r="P604" t="s">
        <v>26</v>
      </c>
      <c r="Q604" t="str">
        <f t="shared" si="166"/>
        <v>Consumer</v>
      </c>
      <c r="R604" t="s">
        <v>42</v>
      </c>
      <c r="S604" t="str">
        <f t="shared" si="167"/>
        <v>East</v>
      </c>
      <c r="T604" t="s">
        <v>311</v>
      </c>
      <c r="U604" t="str">
        <f t="shared" si="168"/>
        <v>Jharkhand</v>
      </c>
      <c r="V604" t="s">
        <v>312</v>
      </c>
      <c r="W604" t="str">
        <f t="shared" si="169"/>
        <v>Ranchi</v>
      </c>
      <c r="X604" t="s">
        <v>86</v>
      </c>
      <c r="Y604" t="str">
        <f t="shared" si="170"/>
        <v>Technology</v>
      </c>
      <c r="Z604" t="s">
        <v>94</v>
      </c>
      <c r="AA604" t="str">
        <f t="shared" si="171"/>
        <v>Copiers</v>
      </c>
      <c r="AB604" t="s">
        <v>2878</v>
      </c>
      <c r="AC604" t="s">
        <v>33</v>
      </c>
      <c r="AD604" t="str">
        <f t="shared" si="172"/>
        <v>Second Class</v>
      </c>
      <c r="AE604">
        <v>9</v>
      </c>
      <c r="AF604">
        <v>3423.82</v>
      </c>
      <c r="AG604">
        <v>0.15</v>
      </c>
      <c r="AH604">
        <v>0.15</v>
      </c>
      <c r="AI604" t="str">
        <f t="shared" si="173"/>
        <v>Valid</v>
      </c>
      <c r="AJ604">
        <v>26192.22</v>
      </c>
      <c r="AK604">
        <f t="shared" si="174"/>
        <v>26192.223000000002</v>
      </c>
      <c r="AL604">
        <v>20795.55</v>
      </c>
      <c r="AM604">
        <v>5396.67</v>
      </c>
      <c r="AN604">
        <f t="shared" si="175"/>
        <v>5396.6730000000025</v>
      </c>
      <c r="AO604">
        <f t="shared" si="176"/>
        <v>-20795.55</v>
      </c>
      <c r="AP604" t="s">
        <v>34</v>
      </c>
      <c r="AQ604" t="str">
        <f t="shared" si="177"/>
        <v>Paid</v>
      </c>
      <c r="AR604" t="s">
        <v>35</v>
      </c>
      <c r="AS604" t="str">
        <f t="shared" si="178"/>
        <v>Completed</v>
      </c>
      <c r="AT604" t="str">
        <f t="shared" si="179"/>
        <v>Clean</v>
      </c>
    </row>
    <row r="605" spans="1:46">
      <c r="A605" t="s">
        <v>2879</v>
      </c>
      <c r="B605">
        <f>COUNTIF($D$2:D605,D605)</f>
        <v>2</v>
      </c>
      <c r="C605" t="str">
        <f>IF(COUNTIF($A:$A,A605)=1,
"Unique",
IF(COUNTIFS($A:$A,A605,$N:$N,N605,$AF:$AF,AF605,$AJ:$AJ,AJ605)&gt;1,
"Exact Duplicate",
"Conflicting Duplicate"))</f>
        <v>Unique</v>
      </c>
      <c r="D605" t="s">
        <v>2880</v>
      </c>
      <c r="E605" t="s">
        <v>592</v>
      </c>
      <c r="F605" s="3">
        <v>45660</v>
      </c>
      <c r="G605" s="3">
        <v>45962</v>
      </c>
      <c r="H605" s="5" t="str">
        <f t="shared" si="162"/>
        <v>January</v>
      </c>
      <c r="I605" s="5">
        <f t="shared" si="163"/>
        <v>2025</v>
      </c>
      <c r="J605" t="str">
        <f>IF(F605="","Missing Date",
IF(ISNUMBER(F605),"Valid","Invalid Date"))</f>
        <v>Valid</v>
      </c>
      <c r="K605" t="str">
        <f t="shared" si="164"/>
        <v>Valid</v>
      </c>
      <c r="L605">
        <f>G605-F605</f>
        <v>302</v>
      </c>
      <c r="M605" t="s">
        <v>480</v>
      </c>
      <c r="N605" t="s">
        <v>83</v>
      </c>
      <c r="O605" t="str">
        <f t="shared" si="165"/>
        <v>Vikram Iyer</v>
      </c>
      <c r="P605" t="s">
        <v>108</v>
      </c>
      <c r="Q605" t="str">
        <f t="shared" si="166"/>
        <v>Corporate</v>
      </c>
      <c r="R605" t="s">
        <v>42</v>
      </c>
      <c r="S605" t="str">
        <f t="shared" si="167"/>
        <v>East</v>
      </c>
      <c r="T605" t="s">
        <v>186</v>
      </c>
      <c r="U605" t="str">
        <f t="shared" si="168"/>
        <v>Bihar</v>
      </c>
      <c r="V605" t="s">
        <v>187</v>
      </c>
      <c r="W605" t="str">
        <f t="shared" si="169"/>
        <v>Patna</v>
      </c>
      <c r="X605" t="s">
        <v>86</v>
      </c>
      <c r="Y605" t="str">
        <f t="shared" si="170"/>
        <v>Technology</v>
      </c>
      <c r="Z605" t="s">
        <v>87</v>
      </c>
      <c r="AA605" t="str">
        <f t="shared" si="171"/>
        <v>Accessories</v>
      </c>
      <c r="AB605" t="s">
        <v>2881</v>
      </c>
      <c r="AC605" t="s">
        <v>56</v>
      </c>
      <c r="AD605" t="str">
        <f t="shared" si="172"/>
        <v>First Class</v>
      </c>
      <c r="AE605">
        <v>8</v>
      </c>
      <c r="AF605">
        <v>2574.29</v>
      </c>
      <c r="AG605">
        <v>0.05</v>
      </c>
      <c r="AH605">
        <v>0.05</v>
      </c>
      <c r="AI605" t="str">
        <f t="shared" si="173"/>
        <v>Valid</v>
      </c>
      <c r="AJ605">
        <v>19564.599999999999</v>
      </c>
      <c r="AK605">
        <f t="shared" si="174"/>
        <v>19564.603999999999</v>
      </c>
      <c r="AL605">
        <v>11154.59</v>
      </c>
      <c r="AM605">
        <v>8410.01</v>
      </c>
      <c r="AN605">
        <f t="shared" si="175"/>
        <v>8410.0139999999992</v>
      </c>
      <c r="AO605">
        <f t="shared" si="176"/>
        <v>-11154.59</v>
      </c>
      <c r="AP605" t="s">
        <v>137</v>
      </c>
      <c r="AQ605" t="str">
        <f t="shared" si="177"/>
        <v>Pending</v>
      </c>
      <c r="AR605" t="s">
        <v>78</v>
      </c>
      <c r="AS605" t="str">
        <f t="shared" si="178"/>
        <v>Cancelled</v>
      </c>
      <c r="AT605" t="str">
        <f t="shared" si="179"/>
        <v>Clean</v>
      </c>
    </row>
    <row r="606" spans="1:46">
      <c r="A606" t="s">
        <v>2882</v>
      </c>
      <c r="B606">
        <f>COUNTIF($D$2:D606,D606)</f>
        <v>2</v>
      </c>
      <c r="C606" t="str">
        <f>IF(COUNTIF($A:$A,A606)=1,
"Unique",
IF(COUNTIFS($A:$A,A606,$N:$N,N606,$AF:$AF,AF606,$AJ:$AJ,AJ606)&gt;1,
"Exact Duplicate",
"Conflicting Duplicate"))</f>
        <v>Unique</v>
      </c>
      <c r="D606" t="s">
        <v>2883</v>
      </c>
      <c r="E606" t="s">
        <v>2884</v>
      </c>
      <c r="F606" s="3">
        <v>45779</v>
      </c>
      <c r="G606" s="3">
        <v>45694</v>
      </c>
      <c r="H606" s="5" t="str">
        <f t="shared" si="162"/>
        <v>May</v>
      </c>
      <c r="I606" s="5">
        <f t="shared" si="163"/>
        <v>2025</v>
      </c>
      <c r="J606" t="str">
        <f>IF(F606="","Missing Date",
IF(ISNUMBER(F606),"Valid","Invalid Date"))</f>
        <v>Valid</v>
      </c>
      <c r="K606" t="str">
        <f t="shared" si="164"/>
        <v>Valid</v>
      </c>
      <c r="L606">
        <f>G606-F606</f>
        <v>-85</v>
      </c>
      <c r="M606" t="s">
        <v>2885</v>
      </c>
      <c r="N606" t="s">
        <v>72</v>
      </c>
      <c r="O606" t="str">
        <f t="shared" si="165"/>
        <v>Ananya Rao</v>
      </c>
      <c r="P606" t="s">
        <v>26</v>
      </c>
      <c r="Q606" t="str">
        <f t="shared" si="166"/>
        <v>Consumer</v>
      </c>
      <c r="R606" t="s">
        <v>73</v>
      </c>
      <c r="S606" t="str">
        <f t="shared" si="167"/>
        <v>West</v>
      </c>
      <c r="T606" t="s">
        <v>84</v>
      </c>
      <c r="U606" t="str">
        <f t="shared" si="168"/>
        <v>Madhya Pradesh</v>
      </c>
      <c r="V606" t="s">
        <v>85</v>
      </c>
      <c r="W606" t="str">
        <f t="shared" si="169"/>
        <v>Indore</v>
      </c>
      <c r="X606" t="s">
        <v>30</v>
      </c>
      <c r="Y606" t="str">
        <f t="shared" si="170"/>
        <v>Office Supplies</v>
      </c>
      <c r="Z606" t="s">
        <v>198</v>
      </c>
      <c r="AA606" t="str">
        <f t="shared" si="171"/>
        <v>Binders</v>
      </c>
      <c r="AB606" t="s">
        <v>2886</v>
      </c>
      <c r="AC606" t="s">
        <v>48</v>
      </c>
      <c r="AD606" t="str">
        <f t="shared" si="172"/>
        <v>Same Day</v>
      </c>
      <c r="AE606">
        <v>3</v>
      </c>
      <c r="AF606">
        <v>1076.3</v>
      </c>
      <c r="AG606">
        <v>0</v>
      </c>
      <c r="AH606">
        <v>0</v>
      </c>
      <c r="AI606" t="str">
        <f t="shared" si="173"/>
        <v>Valid</v>
      </c>
      <c r="AJ606">
        <v>3228.9</v>
      </c>
      <c r="AK606">
        <f t="shared" si="174"/>
        <v>3228.8999999999996</v>
      </c>
      <c r="AL606">
        <v>1853.23</v>
      </c>
      <c r="AM606">
        <v>1375.67</v>
      </c>
      <c r="AN606">
        <f t="shared" si="175"/>
        <v>1375.6699999999996</v>
      </c>
      <c r="AO606">
        <f t="shared" si="176"/>
        <v>-1853.23</v>
      </c>
      <c r="AP606" t="s">
        <v>34</v>
      </c>
      <c r="AQ606" t="str">
        <f t="shared" si="177"/>
        <v>Paid</v>
      </c>
      <c r="AR606" t="s">
        <v>35</v>
      </c>
      <c r="AS606" t="str">
        <f t="shared" si="178"/>
        <v>Completed</v>
      </c>
      <c r="AT606" t="str">
        <f t="shared" si="179"/>
        <v>Clean</v>
      </c>
    </row>
    <row r="607" spans="1:46">
      <c r="A607" t="s">
        <v>2887</v>
      </c>
      <c r="B607">
        <f>COUNTIF($D$2:D607,D607)</f>
        <v>1</v>
      </c>
      <c r="C607" t="str">
        <f>IF(COUNTIF($A:$A,A607)=1,
"Unique",
IF(COUNTIFS($A:$A,A607,$N:$N,N607,$AF:$AF,AF607,$AJ:$AJ,AJ607)&gt;1,
"Exact Duplicate",
"Conflicting Duplicate"))</f>
        <v>Unique</v>
      </c>
      <c r="D607" t="s">
        <v>2613</v>
      </c>
      <c r="E607" t="s">
        <v>2888</v>
      </c>
      <c r="F607" s="3">
        <v>45907</v>
      </c>
      <c r="G607" s="2">
        <v>45851</v>
      </c>
      <c r="H607" s="5" t="str">
        <f t="shared" si="162"/>
        <v>September</v>
      </c>
      <c r="I607" s="5">
        <f t="shared" si="163"/>
        <v>2025</v>
      </c>
      <c r="J607" t="str">
        <f>IF(F607="","Missing Date",
IF(ISNUMBER(F607),"Valid","Invalid Date"))</f>
        <v>Valid</v>
      </c>
      <c r="K607" t="str">
        <f t="shared" si="164"/>
        <v>Valid</v>
      </c>
      <c r="L607">
        <f>G607-F607</f>
        <v>-56</v>
      </c>
      <c r="M607" t="s">
        <v>2889</v>
      </c>
      <c r="N607" t="s">
        <v>366</v>
      </c>
      <c r="O607" t="str">
        <f t="shared" si="165"/>
        <v>Kabir Singh</v>
      </c>
      <c r="P607" t="s">
        <v>108</v>
      </c>
      <c r="Q607" t="str">
        <f t="shared" si="166"/>
        <v>Corporate</v>
      </c>
      <c r="R607" t="s">
        <v>73</v>
      </c>
      <c r="S607" t="str">
        <f t="shared" si="167"/>
        <v>West</v>
      </c>
      <c r="T607" t="s">
        <v>249</v>
      </c>
      <c r="U607" t="str">
        <f t="shared" si="168"/>
        <v>Goa</v>
      </c>
      <c r="V607" t="s">
        <v>250</v>
      </c>
      <c r="W607" t="str">
        <f t="shared" si="169"/>
        <v>Panaji</v>
      </c>
      <c r="X607" t="s">
        <v>45</v>
      </c>
      <c r="Y607" t="str">
        <f t="shared" si="170"/>
        <v>Furniture</v>
      </c>
      <c r="Z607" t="s">
        <v>65</v>
      </c>
      <c r="AA607" t="str">
        <f t="shared" si="171"/>
        <v>Furnishings</v>
      </c>
      <c r="AB607" t="s">
        <v>2890</v>
      </c>
      <c r="AC607" t="s">
        <v>33</v>
      </c>
      <c r="AD607" t="str">
        <f t="shared" si="172"/>
        <v>Second Class</v>
      </c>
      <c r="AE607">
        <v>5</v>
      </c>
      <c r="AF607">
        <v>1680.01</v>
      </c>
      <c r="AG607" t="s">
        <v>1170</v>
      </c>
      <c r="AH607">
        <v>0.85</v>
      </c>
      <c r="AI607" t="str">
        <f t="shared" si="173"/>
        <v>Invalid - Above Range</v>
      </c>
      <c r="AJ607">
        <v>7560.04</v>
      </c>
      <c r="AK607">
        <f t="shared" si="174"/>
        <v>1260.0075000000002</v>
      </c>
      <c r="AL607">
        <v>6448.05</v>
      </c>
      <c r="AM607">
        <v>1111.99</v>
      </c>
      <c r="AN607">
        <f t="shared" si="175"/>
        <v>-5188.0424999999996</v>
      </c>
      <c r="AO607">
        <f t="shared" si="176"/>
        <v>-6448.0499999999993</v>
      </c>
      <c r="AP607" t="s">
        <v>34</v>
      </c>
      <c r="AQ607" t="str">
        <f t="shared" si="177"/>
        <v>Paid</v>
      </c>
      <c r="AR607" t="s">
        <v>78</v>
      </c>
      <c r="AS607" t="str">
        <f t="shared" si="178"/>
        <v>Cancelled</v>
      </c>
      <c r="AT607" t="str">
        <f t="shared" si="179"/>
        <v>Clean</v>
      </c>
    </row>
    <row r="608" spans="1:46">
      <c r="A608" t="s">
        <v>2891</v>
      </c>
      <c r="B608">
        <f>COUNTIF($D$2:D608,D608)</f>
        <v>1</v>
      </c>
      <c r="C608" t="str">
        <f>IF(COUNTIF($A:$A,A608)=1,
"Unique",
IF(COUNTIFS($A:$A,A608,$N:$N,N608,$AF:$AF,AF608,$AJ:$AJ,AJ608)&gt;1,
"Exact Duplicate",
"Conflicting Duplicate"))</f>
        <v>Unique</v>
      </c>
      <c r="D608" t="s">
        <v>2892</v>
      </c>
      <c r="E608" t="s">
        <v>2528</v>
      </c>
      <c r="F608" s="2">
        <v>45710</v>
      </c>
      <c r="G608" s="3">
        <v>45716</v>
      </c>
      <c r="H608" s="5" t="str">
        <f t="shared" si="162"/>
        <v>February</v>
      </c>
      <c r="I608" s="5">
        <f t="shared" si="163"/>
        <v>2025</v>
      </c>
      <c r="J608" t="str">
        <f>IF(F608="","Missing Date",
IF(ISNUMBER(F608),"Valid","Invalid Date"))</f>
        <v>Valid</v>
      </c>
      <c r="K608" t="str">
        <f t="shared" si="164"/>
        <v>Valid</v>
      </c>
      <c r="L608">
        <f>G608-F608</f>
        <v>6</v>
      </c>
      <c r="M608" t="s">
        <v>2893</v>
      </c>
      <c r="N608" t="s">
        <v>148</v>
      </c>
      <c r="O608" t="str">
        <f t="shared" si="165"/>
        <v>Rahul Verma</v>
      </c>
      <c r="P608" t="s">
        <v>115</v>
      </c>
      <c r="Q608" t="str">
        <f t="shared" si="166"/>
        <v>Home Office</v>
      </c>
      <c r="R608" t="s">
        <v>73</v>
      </c>
      <c r="S608" t="str">
        <f t="shared" si="167"/>
        <v>West</v>
      </c>
      <c r="T608" t="s">
        <v>84</v>
      </c>
      <c r="U608" t="str">
        <f t="shared" si="168"/>
        <v>Madhya Pradesh</v>
      </c>
      <c r="V608" t="s">
        <v>85</v>
      </c>
      <c r="W608" t="str">
        <f t="shared" si="169"/>
        <v>Indore</v>
      </c>
      <c r="X608" t="s">
        <v>86</v>
      </c>
      <c r="Y608" t="str">
        <f t="shared" si="170"/>
        <v>Technology</v>
      </c>
      <c r="Z608" t="s">
        <v>94</v>
      </c>
      <c r="AA608" t="str">
        <f t="shared" si="171"/>
        <v>Copiers</v>
      </c>
      <c r="AB608" t="s">
        <v>2894</v>
      </c>
      <c r="AC608" t="s">
        <v>48</v>
      </c>
      <c r="AD608" t="str">
        <f t="shared" si="172"/>
        <v>Same Day</v>
      </c>
      <c r="AE608">
        <v>3</v>
      </c>
      <c r="AF608">
        <v>3890.81</v>
      </c>
      <c r="AG608">
        <v>0.25</v>
      </c>
      <c r="AH608">
        <v>0.25</v>
      </c>
      <c r="AI608" t="str">
        <f t="shared" si="173"/>
        <v>Valid</v>
      </c>
      <c r="AJ608">
        <v>8754.32</v>
      </c>
      <c r="AK608">
        <f t="shared" si="174"/>
        <v>8754.3225000000002</v>
      </c>
      <c r="AL608">
        <v>6238.9</v>
      </c>
      <c r="AM608">
        <v>2515.42</v>
      </c>
      <c r="AN608">
        <f t="shared" si="175"/>
        <v>2515.4225000000006</v>
      </c>
      <c r="AO608">
        <f t="shared" si="176"/>
        <v>-6238.9</v>
      </c>
      <c r="AP608" t="s">
        <v>34</v>
      </c>
      <c r="AQ608" t="str">
        <f t="shared" si="177"/>
        <v>Paid</v>
      </c>
      <c r="AR608" t="s">
        <v>35</v>
      </c>
      <c r="AS608" t="str">
        <f t="shared" si="178"/>
        <v>Completed</v>
      </c>
      <c r="AT608" t="str">
        <f t="shared" si="179"/>
        <v>Clean</v>
      </c>
    </row>
    <row r="609" spans="1:46">
      <c r="A609" t="s">
        <v>2895</v>
      </c>
      <c r="B609">
        <f>COUNTIF($D$2:D609,D609)</f>
        <v>1</v>
      </c>
      <c r="C609" t="str">
        <f>IF(COUNTIF($A:$A,A609)=1,
"Unique",
IF(COUNTIFS($A:$A,A609,$N:$N,N609,$AF:$AF,AF609,$AJ:$AJ,AJ609)&gt;1,
"Exact Duplicate",
"Conflicting Duplicate"))</f>
        <v>Unique</v>
      </c>
      <c r="D609" t="s">
        <v>2846</v>
      </c>
      <c r="E609" t="s">
        <v>2892</v>
      </c>
      <c r="F609" s="3">
        <v>45704</v>
      </c>
      <c r="G609" s="2">
        <v>45710</v>
      </c>
      <c r="H609" s="5" t="str">
        <f t="shared" si="162"/>
        <v>February</v>
      </c>
      <c r="I609" s="5">
        <f t="shared" si="163"/>
        <v>2025</v>
      </c>
      <c r="J609" t="str">
        <f>IF(F609="","Missing Date",
IF(ISNUMBER(F609),"Valid","Invalid Date"))</f>
        <v>Valid</v>
      </c>
      <c r="K609" t="str">
        <f t="shared" si="164"/>
        <v>Valid</v>
      </c>
      <c r="L609">
        <f>G609-F609</f>
        <v>6</v>
      </c>
      <c r="M609" t="s">
        <v>2896</v>
      </c>
      <c r="N609" t="s">
        <v>168</v>
      </c>
      <c r="O609" t="str">
        <f t="shared" si="165"/>
        <v>Sneha Kapoor</v>
      </c>
      <c r="P609" t="s">
        <v>115</v>
      </c>
      <c r="Q609" t="str">
        <f t="shared" si="166"/>
        <v>Home Office</v>
      </c>
      <c r="R609" t="s">
        <v>42</v>
      </c>
      <c r="S609" t="str">
        <f t="shared" si="167"/>
        <v>East</v>
      </c>
      <c r="T609" t="s">
        <v>186</v>
      </c>
      <c r="U609" t="str">
        <f t="shared" si="168"/>
        <v>Bihar</v>
      </c>
      <c r="V609" t="s">
        <v>187</v>
      </c>
      <c r="W609" t="str">
        <f t="shared" si="169"/>
        <v>Patna</v>
      </c>
      <c r="X609" t="s">
        <v>30</v>
      </c>
      <c r="Y609" t="str">
        <f t="shared" si="170"/>
        <v>Office Supplies</v>
      </c>
      <c r="Z609" t="s">
        <v>156</v>
      </c>
      <c r="AA609" t="str">
        <f t="shared" si="171"/>
        <v>Storage</v>
      </c>
      <c r="AB609" t="s">
        <v>2897</v>
      </c>
      <c r="AC609" t="s">
        <v>48</v>
      </c>
      <c r="AD609" t="str">
        <f t="shared" si="172"/>
        <v>Same Day</v>
      </c>
      <c r="AE609">
        <v>5</v>
      </c>
      <c r="AF609">
        <v>954.67</v>
      </c>
      <c r="AG609">
        <v>0.15</v>
      </c>
      <c r="AH609">
        <v>0.15</v>
      </c>
      <c r="AI609" t="str">
        <f t="shared" si="173"/>
        <v>Valid</v>
      </c>
      <c r="AJ609">
        <v>4057.35</v>
      </c>
      <c r="AK609">
        <f t="shared" si="174"/>
        <v>4057.3474999999994</v>
      </c>
      <c r="AL609">
        <v>2862.03</v>
      </c>
      <c r="AM609">
        <v>1195.32</v>
      </c>
      <c r="AN609">
        <f t="shared" si="175"/>
        <v>1195.3174999999992</v>
      </c>
      <c r="AO609">
        <f t="shared" si="176"/>
        <v>-2862.03</v>
      </c>
      <c r="AP609" t="s">
        <v>34</v>
      </c>
      <c r="AQ609" t="str">
        <f t="shared" si="177"/>
        <v>Paid</v>
      </c>
      <c r="AR609" t="s">
        <v>35</v>
      </c>
      <c r="AS609" t="str">
        <f t="shared" si="178"/>
        <v>Completed</v>
      </c>
      <c r="AT609" t="str">
        <f t="shared" si="179"/>
        <v>Clean</v>
      </c>
    </row>
    <row r="610" spans="1:46">
      <c r="A610" t="s">
        <v>2898</v>
      </c>
      <c r="B610">
        <f>COUNTIF($D$2:D610,D610)</f>
        <v>1</v>
      </c>
      <c r="C610" t="str">
        <f>IF(COUNTIF($A:$A,A610)=1,
"Unique",
IF(COUNTIFS($A:$A,A610,$N:$N,N610,$AF:$AF,AF610,$AJ:$AJ,AJ610)&gt;1,
"Exact Duplicate",
"Conflicting Duplicate"))</f>
        <v>Unique</v>
      </c>
      <c r="D610" t="s">
        <v>2152</v>
      </c>
      <c r="E610" t="s">
        <v>1553</v>
      </c>
      <c r="F610" s="2">
        <v>45464</v>
      </c>
      <c r="G610" s="2">
        <v>45466</v>
      </c>
      <c r="H610" s="5" t="str">
        <f t="shared" si="162"/>
        <v>June</v>
      </c>
      <c r="I610" s="5">
        <f t="shared" si="163"/>
        <v>2024</v>
      </c>
      <c r="J610" t="str">
        <f>IF(F610="","Missing Date",
IF(ISNUMBER(F610),"Valid","Invalid Date"))</f>
        <v>Valid</v>
      </c>
      <c r="K610" t="str">
        <f t="shared" si="164"/>
        <v>Valid</v>
      </c>
      <c r="L610">
        <f>G610-F610</f>
        <v>2</v>
      </c>
      <c r="M610" t="s">
        <v>2574</v>
      </c>
      <c r="N610" t="s">
        <v>25</v>
      </c>
      <c r="O610" t="str">
        <f t="shared" si="165"/>
        <v>Karan Malhotra</v>
      </c>
      <c r="P610" t="s">
        <v>115</v>
      </c>
      <c r="Q610" t="str">
        <f t="shared" si="166"/>
        <v>Home Office</v>
      </c>
      <c r="R610" t="s">
        <v>73</v>
      </c>
      <c r="S610" t="str">
        <f t="shared" si="167"/>
        <v>West</v>
      </c>
      <c r="T610" t="s">
        <v>249</v>
      </c>
      <c r="U610" t="str">
        <f t="shared" si="168"/>
        <v>Goa</v>
      </c>
      <c r="V610" t="s">
        <v>250</v>
      </c>
      <c r="W610" t="str">
        <f t="shared" si="169"/>
        <v>Panaji</v>
      </c>
      <c r="X610" t="s">
        <v>45</v>
      </c>
      <c r="Y610" t="str">
        <f t="shared" si="170"/>
        <v>Furniture</v>
      </c>
      <c r="Z610" t="s">
        <v>65</v>
      </c>
      <c r="AA610" t="str">
        <f t="shared" si="171"/>
        <v>Furnishings</v>
      </c>
      <c r="AB610" t="s">
        <v>2899</v>
      </c>
      <c r="AC610" t="s">
        <v>33</v>
      </c>
      <c r="AD610" t="str">
        <f t="shared" si="172"/>
        <v>Second Class</v>
      </c>
      <c r="AE610">
        <v>9</v>
      </c>
      <c r="AF610">
        <v>2153.75</v>
      </c>
      <c r="AG610">
        <v>0</v>
      </c>
      <c r="AH610">
        <v>0</v>
      </c>
      <c r="AI610" t="str">
        <f t="shared" si="173"/>
        <v>Valid</v>
      </c>
      <c r="AJ610">
        <v>19383.75</v>
      </c>
      <c r="AK610">
        <f t="shared" si="174"/>
        <v>19383.75</v>
      </c>
      <c r="AL610">
        <v>11667.43</v>
      </c>
      <c r="AM610">
        <v>7716.32</v>
      </c>
      <c r="AN610">
        <f t="shared" si="175"/>
        <v>7716.32</v>
      </c>
      <c r="AO610">
        <f t="shared" si="176"/>
        <v>-11667.43</v>
      </c>
      <c r="AP610" t="s">
        <v>34</v>
      </c>
      <c r="AQ610" t="str">
        <f t="shared" si="177"/>
        <v>Paid</v>
      </c>
      <c r="AR610" t="s">
        <v>35</v>
      </c>
      <c r="AS610" t="str">
        <f t="shared" si="178"/>
        <v>Completed</v>
      </c>
      <c r="AT610" t="str">
        <f t="shared" si="179"/>
        <v>Clean</v>
      </c>
    </row>
    <row r="611" spans="1:46">
      <c r="A611" t="s">
        <v>2900</v>
      </c>
      <c r="B611">
        <f>COUNTIF($D$2:D611,D611)</f>
        <v>4</v>
      </c>
      <c r="C611" t="str">
        <f>IF(COUNTIF($A:$A,A611)=1,
"Unique",
IF(COUNTIFS($A:$A,A611,$N:$N,N611,$AF:$AF,AF611,$AJ:$AJ,AJ611)&gt;1,
"Exact Duplicate",
"Conflicting Duplicate"))</f>
        <v>Unique</v>
      </c>
      <c r="D611" t="s">
        <v>2055</v>
      </c>
      <c r="E611" t="s">
        <v>1176</v>
      </c>
      <c r="F611" s="3">
        <v>45870</v>
      </c>
      <c r="G611" s="3">
        <v>45992</v>
      </c>
      <c r="H611" s="5" t="str">
        <f t="shared" si="162"/>
        <v>August</v>
      </c>
      <c r="I611" s="5">
        <f t="shared" si="163"/>
        <v>2025</v>
      </c>
      <c r="J611" t="str">
        <f>IF(F611="","Missing Date",
IF(ISNUMBER(F611),"Valid","Invalid Date"))</f>
        <v>Valid</v>
      </c>
      <c r="K611" t="str">
        <f t="shared" si="164"/>
        <v>Valid</v>
      </c>
      <c r="L611">
        <f>G611-F611</f>
        <v>122</v>
      </c>
      <c r="M611" t="s">
        <v>2901</v>
      </c>
      <c r="N611" t="s">
        <v>168</v>
      </c>
      <c r="O611" t="str">
        <f t="shared" si="165"/>
        <v>Sneha Kapoor</v>
      </c>
      <c r="P611" t="s">
        <v>115</v>
      </c>
      <c r="Q611" t="str">
        <f t="shared" si="166"/>
        <v>Home Office</v>
      </c>
      <c r="R611" t="s">
        <v>62</v>
      </c>
      <c r="S611" t="str">
        <f t="shared" si="167"/>
        <v>South</v>
      </c>
      <c r="T611" t="s">
        <v>229</v>
      </c>
      <c r="U611" t="str">
        <f t="shared" si="168"/>
        <v>Karnataka</v>
      </c>
      <c r="V611" t="s">
        <v>230</v>
      </c>
      <c r="W611" t="str">
        <f t="shared" si="169"/>
        <v>Bengaluru</v>
      </c>
      <c r="X611" t="s">
        <v>45</v>
      </c>
      <c r="Y611" t="str">
        <f t="shared" si="170"/>
        <v>Furniture</v>
      </c>
      <c r="Z611" t="s">
        <v>76</v>
      </c>
      <c r="AA611" t="str">
        <f t="shared" si="171"/>
        <v>Chairs</v>
      </c>
      <c r="AB611" t="s">
        <v>2902</v>
      </c>
      <c r="AC611" t="s">
        <v>67</v>
      </c>
      <c r="AD611" t="str">
        <f t="shared" si="172"/>
        <v>Standard Class</v>
      </c>
      <c r="AE611">
        <v>7</v>
      </c>
      <c r="AF611">
        <v>4337.4799999999996</v>
      </c>
      <c r="AG611">
        <v>0</v>
      </c>
      <c r="AH611">
        <v>0</v>
      </c>
      <c r="AI611" t="str">
        <f t="shared" si="173"/>
        <v>Valid</v>
      </c>
      <c r="AJ611">
        <v>30362.36</v>
      </c>
      <c r="AK611">
        <f t="shared" si="174"/>
        <v>30362.359999999997</v>
      </c>
      <c r="AL611">
        <v>25065.4</v>
      </c>
      <c r="AM611">
        <v>5296.96</v>
      </c>
      <c r="AN611">
        <f t="shared" si="175"/>
        <v>5296.9599999999955</v>
      </c>
      <c r="AO611">
        <f t="shared" si="176"/>
        <v>-25065.4</v>
      </c>
      <c r="AP611" t="s">
        <v>34</v>
      </c>
      <c r="AQ611" t="str">
        <f t="shared" si="177"/>
        <v>Paid</v>
      </c>
      <c r="AR611" t="s">
        <v>35</v>
      </c>
      <c r="AS611" t="str">
        <f t="shared" si="178"/>
        <v>Completed</v>
      </c>
      <c r="AT611" t="str">
        <f t="shared" si="179"/>
        <v>Clean</v>
      </c>
    </row>
    <row r="612" spans="1:46">
      <c r="A612" t="s">
        <v>2903</v>
      </c>
      <c r="B612">
        <f>COUNTIF($D$2:D612,D612)</f>
        <v>1</v>
      </c>
      <c r="C612" t="str">
        <f>IF(COUNTIF($A:$A,A612)=1,
"Unique",
IF(COUNTIFS($A:$A,A612,$N:$N,N612,$AF:$AF,AF612,$AJ:$AJ,AJ612)&gt;1,
"Exact Duplicate",
"Conflicting Duplicate"))</f>
        <v>Unique</v>
      </c>
      <c r="D612" t="s">
        <v>2904</v>
      </c>
      <c r="E612" t="s">
        <v>2905</v>
      </c>
      <c r="F612" s="2">
        <v>45432</v>
      </c>
      <c r="G612" s="3">
        <v>45432</v>
      </c>
      <c r="H612" s="5" t="str">
        <f t="shared" si="162"/>
        <v>May</v>
      </c>
      <c r="I612" s="5">
        <f t="shared" si="163"/>
        <v>2024</v>
      </c>
      <c r="J612" t="str">
        <f>IF(F612="","Missing Date",
IF(ISNUMBER(F612),"Valid","Invalid Date"))</f>
        <v>Valid</v>
      </c>
      <c r="K612" t="str">
        <f t="shared" si="164"/>
        <v>Valid</v>
      </c>
      <c r="L612">
        <f>G612-F612</f>
        <v>0</v>
      </c>
      <c r="M612" t="s">
        <v>2080</v>
      </c>
      <c r="N612" t="s">
        <v>25</v>
      </c>
      <c r="O612" t="str">
        <f t="shared" si="165"/>
        <v>Karan Malhotra</v>
      </c>
      <c r="P612" t="s">
        <v>115</v>
      </c>
      <c r="Q612" t="str">
        <f t="shared" si="166"/>
        <v>Home Office</v>
      </c>
      <c r="R612" t="s">
        <v>73</v>
      </c>
      <c r="S612" t="str">
        <f t="shared" si="167"/>
        <v>West</v>
      </c>
      <c r="T612" t="s">
        <v>84</v>
      </c>
      <c r="U612" t="str">
        <f t="shared" si="168"/>
        <v>Madhya Pradesh</v>
      </c>
      <c r="V612" t="s">
        <v>85</v>
      </c>
      <c r="W612" t="str">
        <f t="shared" si="169"/>
        <v>Indore</v>
      </c>
      <c r="X612" t="s">
        <v>45</v>
      </c>
      <c r="Y612" t="str">
        <f t="shared" si="170"/>
        <v>Furniture</v>
      </c>
      <c r="Z612" t="s">
        <v>76</v>
      </c>
      <c r="AA612" t="str">
        <f t="shared" si="171"/>
        <v>Chairs</v>
      </c>
      <c r="AB612" t="s">
        <v>2906</v>
      </c>
      <c r="AC612" t="s">
        <v>67</v>
      </c>
      <c r="AD612" t="str">
        <f t="shared" si="172"/>
        <v>Standard Class</v>
      </c>
      <c r="AE612">
        <v>1</v>
      </c>
      <c r="AF612">
        <v>3032.95</v>
      </c>
      <c r="AG612">
        <v>0.1</v>
      </c>
      <c r="AH612">
        <v>0.1</v>
      </c>
      <c r="AI612" t="str">
        <f t="shared" si="173"/>
        <v>Valid</v>
      </c>
      <c r="AJ612">
        <v>2729.65</v>
      </c>
      <c r="AK612">
        <f t="shared" si="174"/>
        <v>2729.6549999999997</v>
      </c>
      <c r="AL612">
        <v>1715.36</v>
      </c>
      <c r="AM612">
        <v>1014.29</v>
      </c>
      <c r="AN612">
        <f t="shared" si="175"/>
        <v>1014.2949999999998</v>
      </c>
      <c r="AO612">
        <f t="shared" si="176"/>
        <v>-1715.36</v>
      </c>
      <c r="AP612" t="s">
        <v>34</v>
      </c>
      <c r="AQ612" t="str">
        <f t="shared" si="177"/>
        <v>Paid</v>
      </c>
      <c r="AR612" t="s">
        <v>35</v>
      </c>
      <c r="AS612" t="str">
        <f t="shared" si="178"/>
        <v>Completed</v>
      </c>
      <c r="AT612" t="str">
        <f t="shared" si="179"/>
        <v>Clean</v>
      </c>
    </row>
    <row r="613" spans="1:46">
      <c r="A613" t="s">
        <v>2907</v>
      </c>
      <c r="B613">
        <f>COUNTIF($D$2:D613,D613)</f>
        <v>3</v>
      </c>
      <c r="C613" t="str">
        <f>IF(COUNTIF($A:$A,A613)=1,
"Unique",
IF(COUNTIFS($A:$A,A613,$N:$N,N613,$AF:$AF,AF613,$AJ:$AJ,AJ613)&gt;1,
"Exact Duplicate",
"Conflicting Duplicate"))</f>
        <v>Unique</v>
      </c>
      <c r="D613" t="s">
        <v>2612</v>
      </c>
      <c r="E613" t="s">
        <v>2908</v>
      </c>
      <c r="F613" s="3">
        <v>45876</v>
      </c>
      <c r="G613" s="2">
        <v>45853</v>
      </c>
      <c r="H613" s="5" t="str">
        <f t="shared" si="162"/>
        <v>August</v>
      </c>
      <c r="I613" s="5">
        <f t="shared" si="163"/>
        <v>2025</v>
      </c>
      <c r="J613" t="str">
        <f>IF(F613="","Missing Date",
IF(ISNUMBER(F613),"Valid","Invalid Date"))</f>
        <v>Valid</v>
      </c>
      <c r="K613" t="str">
        <f t="shared" si="164"/>
        <v>Valid</v>
      </c>
      <c r="L613">
        <f>G613-F613</f>
        <v>-23</v>
      </c>
      <c r="M613" t="s">
        <v>2909</v>
      </c>
      <c r="N613" t="s">
        <v>72</v>
      </c>
      <c r="O613" t="str">
        <f t="shared" si="165"/>
        <v>Ananya Rao</v>
      </c>
      <c r="P613" t="s">
        <v>41</v>
      </c>
      <c r="Q613" t="str">
        <f t="shared" si="166"/>
        <v>Small Business</v>
      </c>
      <c r="R613" t="s">
        <v>27</v>
      </c>
      <c r="S613" t="str">
        <f t="shared" si="167"/>
        <v>North</v>
      </c>
      <c r="T613" t="s">
        <v>28</v>
      </c>
      <c r="U613" t="str">
        <f t="shared" si="168"/>
        <v>Rajasthan</v>
      </c>
      <c r="V613" t="s">
        <v>29</v>
      </c>
      <c r="W613" t="str">
        <f t="shared" si="169"/>
        <v>Jaipur</v>
      </c>
      <c r="X613" t="s">
        <v>30</v>
      </c>
      <c r="Y613" t="str">
        <f t="shared" si="170"/>
        <v>Office Supplies</v>
      </c>
      <c r="Z613" t="s">
        <v>198</v>
      </c>
      <c r="AA613" t="str">
        <f t="shared" si="171"/>
        <v>Binders</v>
      </c>
      <c r="AB613" t="s">
        <v>2910</v>
      </c>
      <c r="AC613" t="s">
        <v>48</v>
      </c>
      <c r="AD613" t="str">
        <f t="shared" si="172"/>
        <v>Same Day</v>
      </c>
      <c r="AE613">
        <v>8</v>
      </c>
      <c r="AF613">
        <v>655.28</v>
      </c>
      <c r="AG613">
        <v>0.1</v>
      </c>
      <c r="AH613">
        <v>0.1</v>
      </c>
      <c r="AI613" t="str">
        <f t="shared" si="173"/>
        <v>Valid</v>
      </c>
      <c r="AJ613">
        <v>4718.0200000000004</v>
      </c>
      <c r="AK613">
        <f t="shared" si="174"/>
        <v>4718.0159999999996</v>
      </c>
      <c r="AL613">
        <v>3908.23</v>
      </c>
      <c r="AM613">
        <v>809.79</v>
      </c>
      <c r="AN613">
        <f t="shared" si="175"/>
        <v>809.7859999999996</v>
      </c>
      <c r="AO613">
        <f t="shared" si="176"/>
        <v>-3908.23</v>
      </c>
      <c r="AP613" t="s">
        <v>34</v>
      </c>
      <c r="AQ613" t="str">
        <f t="shared" si="177"/>
        <v>Paid</v>
      </c>
      <c r="AR613" t="s">
        <v>35</v>
      </c>
      <c r="AS613" t="str">
        <f t="shared" si="178"/>
        <v>Completed</v>
      </c>
      <c r="AT613" t="str">
        <f t="shared" si="179"/>
        <v>Clean</v>
      </c>
    </row>
    <row r="614" spans="1:46">
      <c r="A614" t="s">
        <v>2911</v>
      </c>
      <c r="B614">
        <f>COUNTIF($D$2:D614,D614)</f>
        <v>2</v>
      </c>
      <c r="C614" t="str">
        <f>IF(COUNTIF($A:$A,A614)=1,
"Unique",
IF(COUNTIFS($A:$A,A614,$N:$N,N614,$AF:$AF,AF614,$AJ:$AJ,AJ614)&gt;1,
"Exact Duplicate",
"Conflicting Duplicate"))</f>
        <v>Unique</v>
      </c>
      <c r="D614" t="s">
        <v>2912</v>
      </c>
      <c r="E614" t="s">
        <v>2913</v>
      </c>
      <c r="F614" s="2">
        <v>45812</v>
      </c>
      <c r="G614" s="3">
        <v>45760</v>
      </c>
      <c r="H614" s="5" t="str">
        <f t="shared" si="162"/>
        <v>June</v>
      </c>
      <c r="I614" s="5">
        <f t="shared" si="163"/>
        <v>2025</v>
      </c>
      <c r="J614" t="str">
        <f>IF(F614="","Missing Date",
IF(ISNUMBER(F614),"Valid","Invalid Date"))</f>
        <v>Valid</v>
      </c>
      <c r="K614" t="str">
        <f t="shared" si="164"/>
        <v>Valid</v>
      </c>
      <c r="L614">
        <f>G614-F614</f>
        <v>-52</v>
      </c>
      <c r="M614" t="s">
        <v>2914</v>
      </c>
      <c r="N614" t="s">
        <v>107</v>
      </c>
      <c r="O614" t="str">
        <f t="shared" si="165"/>
        <v>Aditi Sen</v>
      </c>
      <c r="P614" t="s">
        <v>26</v>
      </c>
      <c r="Q614" t="str">
        <f t="shared" si="166"/>
        <v>Consumer</v>
      </c>
      <c r="R614" t="s">
        <v>4104</v>
      </c>
      <c r="S614" t="s">
        <v>4104</v>
      </c>
      <c r="T614" t="s">
        <v>43</v>
      </c>
      <c r="U614" t="str">
        <f t="shared" si="168"/>
        <v>Odisha</v>
      </c>
      <c r="V614" t="s">
        <v>44</v>
      </c>
      <c r="W614" t="str">
        <f t="shared" si="169"/>
        <v>Bhubaneswar</v>
      </c>
      <c r="X614" t="s">
        <v>86</v>
      </c>
      <c r="Y614" t="str">
        <f t="shared" si="170"/>
        <v>Technology</v>
      </c>
      <c r="Z614" t="s">
        <v>223</v>
      </c>
      <c r="AA614" t="str">
        <f t="shared" si="171"/>
        <v>Phones</v>
      </c>
      <c r="AB614" t="s">
        <v>2915</v>
      </c>
      <c r="AC614" t="s">
        <v>67</v>
      </c>
      <c r="AD614" t="str">
        <f t="shared" si="172"/>
        <v>Standard Class</v>
      </c>
      <c r="AE614">
        <v>1</v>
      </c>
      <c r="AF614">
        <v>3844.01</v>
      </c>
      <c r="AG614">
        <v>0</v>
      </c>
      <c r="AH614">
        <v>0</v>
      </c>
      <c r="AI614" t="str">
        <f t="shared" si="173"/>
        <v>Valid</v>
      </c>
      <c r="AJ614">
        <v>3844.01</v>
      </c>
      <c r="AK614">
        <f t="shared" si="174"/>
        <v>3844.01</v>
      </c>
      <c r="AL614">
        <v>2195.79</v>
      </c>
      <c r="AM614">
        <v>1648.22</v>
      </c>
      <c r="AN614">
        <f t="shared" si="175"/>
        <v>1648.2200000000003</v>
      </c>
      <c r="AO614">
        <f t="shared" si="176"/>
        <v>-2195.79</v>
      </c>
      <c r="AP614" t="s">
        <v>34</v>
      </c>
      <c r="AQ614" t="str">
        <f t="shared" si="177"/>
        <v>Paid</v>
      </c>
      <c r="AR614" t="s">
        <v>35</v>
      </c>
      <c r="AS614" t="str">
        <f t="shared" si="178"/>
        <v>Completed</v>
      </c>
      <c r="AT614" t="str">
        <f t="shared" si="179"/>
        <v>Clean</v>
      </c>
    </row>
    <row r="615" spans="1:46">
      <c r="A615" t="s">
        <v>2916</v>
      </c>
      <c r="B615">
        <f>COUNTIF($D$2:D615,D615)</f>
        <v>1</v>
      </c>
      <c r="C615" t="str">
        <f>IF(COUNTIF($A:$A,A615)=1,
"Unique",
IF(COUNTIFS($A:$A,A615,$N:$N,N615,$AF:$AF,AF615,$AJ:$AJ,AJ615)&gt;1,
"Exact Duplicate",
"Conflicting Duplicate"))</f>
        <v>Unique</v>
      </c>
      <c r="D615" t="s">
        <v>2448</v>
      </c>
      <c r="E615" t="s">
        <v>2917</v>
      </c>
      <c r="F615" s="3">
        <v>45422</v>
      </c>
      <c r="G615" s="3">
        <v>45575</v>
      </c>
      <c r="H615" s="5" t="str">
        <f t="shared" si="162"/>
        <v>May</v>
      </c>
      <c r="I615" s="5">
        <f t="shared" si="163"/>
        <v>2024</v>
      </c>
      <c r="J615" t="str">
        <f>IF(F615="","Missing Date",
IF(ISNUMBER(F615),"Valid","Invalid Date"))</f>
        <v>Valid</v>
      </c>
      <c r="K615" t="str">
        <f t="shared" si="164"/>
        <v>Valid</v>
      </c>
      <c r="L615">
        <f>G615-F615</f>
        <v>153</v>
      </c>
      <c r="M615" t="s">
        <v>2918</v>
      </c>
      <c r="N615" t="s">
        <v>210</v>
      </c>
      <c r="O615" t="str">
        <f t="shared" si="165"/>
        <v>Diya Patel</v>
      </c>
      <c r="P615" t="s">
        <v>115</v>
      </c>
      <c r="Q615" t="str">
        <f t="shared" si="166"/>
        <v>Home Office</v>
      </c>
      <c r="R615" t="s">
        <v>73</v>
      </c>
      <c r="S615" t="str">
        <f t="shared" si="167"/>
        <v>West</v>
      </c>
      <c r="T615" t="s">
        <v>235</v>
      </c>
      <c r="U615" t="str">
        <f t="shared" si="168"/>
        <v>Gujarat</v>
      </c>
      <c r="V615" t="s">
        <v>236</v>
      </c>
      <c r="W615" t="str">
        <f t="shared" si="169"/>
        <v>Ahmedabad</v>
      </c>
      <c r="X615" t="s">
        <v>86</v>
      </c>
      <c r="Y615" t="str">
        <f t="shared" si="170"/>
        <v>Technology</v>
      </c>
      <c r="Z615" t="s">
        <v>382</v>
      </c>
      <c r="AA615" t="str">
        <f t="shared" si="171"/>
        <v>Machines</v>
      </c>
      <c r="AB615" t="s">
        <v>2919</v>
      </c>
      <c r="AC615" t="s">
        <v>48</v>
      </c>
      <c r="AD615" t="str">
        <f t="shared" si="172"/>
        <v>Same Day</v>
      </c>
      <c r="AE615">
        <v>9</v>
      </c>
      <c r="AF615">
        <v>3361.3</v>
      </c>
      <c r="AG615">
        <v>0.25</v>
      </c>
      <c r="AH615">
        <v>0.25</v>
      </c>
      <c r="AI615" t="str">
        <f t="shared" si="173"/>
        <v>Valid</v>
      </c>
      <c r="AJ615">
        <v>22688.78</v>
      </c>
      <c r="AK615">
        <f t="shared" si="174"/>
        <v>22688.775000000001</v>
      </c>
      <c r="AL615">
        <v>14672.41</v>
      </c>
      <c r="AM615">
        <v>8016.37</v>
      </c>
      <c r="AN615">
        <f t="shared" si="175"/>
        <v>8016.3650000000016</v>
      </c>
      <c r="AO615">
        <f t="shared" si="176"/>
        <v>-14672.41</v>
      </c>
      <c r="AP615" t="s">
        <v>34</v>
      </c>
      <c r="AQ615" t="str">
        <f t="shared" si="177"/>
        <v>Paid</v>
      </c>
      <c r="AR615" t="s">
        <v>35</v>
      </c>
      <c r="AS615" t="str">
        <f t="shared" si="178"/>
        <v>Completed</v>
      </c>
      <c r="AT615" t="str">
        <f t="shared" si="179"/>
        <v>Clean</v>
      </c>
    </row>
    <row r="616" spans="1:46">
      <c r="A616" t="s">
        <v>2920</v>
      </c>
      <c r="B616">
        <f>COUNTIF($D$2:D616,D616)</f>
        <v>4</v>
      </c>
      <c r="C616" t="str">
        <f>IF(COUNTIF($A:$A,A616)=1,
"Unique",
IF(COUNTIFS($A:$A,A616,$N:$N,N616,$AF:$AF,AF616,$AJ:$AJ,AJ616)&gt;1,
"Exact Duplicate",
"Conflicting Duplicate"))</f>
        <v>Unique</v>
      </c>
      <c r="D616" t="s">
        <v>2306</v>
      </c>
      <c r="E616" t="s">
        <v>2921</v>
      </c>
      <c r="F616" s="3">
        <v>45598</v>
      </c>
      <c r="G616" s="3">
        <v>45341</v>
      </c>
      <c r="H616" s="5" t="str">
        <f t="shared" si="162"/>
        <v>November</v>
      </c>
      <c r="I616" s="5">
        <f t="shared" si="163"/>
        <v>2024</v>
      </c>
      <c r="J616" t="str">
        <f>IF(F616="","Missing Date",
IF(ISNUMBER(F616),"Valid","Invalid Date"))</f>
        <v>Valid</v>
      </c>
      <c r="K616" t="str">
        <f t="shared" si="164"/>
        <v>Valid</v>
      </c>
      <c r="L616">
        <f>G616-F616</f>
        <v>-257</v>
      </c>
      <c r="M616" t="s">
        <v>2922</v>
      </c>
      <c r="N616" t="s">
        <v>72</v>
      </c>
      <c r="O616" t="str">
        <f t="shared" si="165"/>
        <v>Ananya Rao</v>
      </c>
      <c r="P616" t="s">
        <v>115</v>
      </c>
      <c r="Q616" t="str">
        <f t="shared" si="166"/>
        <v>Home Office</v>
      </c>
      <c r="R616" t="s">
        <v>62</v>
      </c>
      <c r="S616" t="str">
        <f t="shared" si="167"/>
        <v>South</v>
      </c>
      <c r="T616" t="s">
        <v>63</v>
      </c>
      <c r="U616" t="str">
        <f t="shared" si="168"/>
        <v>Telangana</v>
      </c>
      <c r="V616" t="s">
        <v>64</v>
      </c>
      <c r="W616" t="str">
        <f t="shared" si="169"/>
        <v>Hyderabad</v>
      </c>
      <c r="X616" t="s">
        <v>45</v>
      </c>
      <c r="Y616" t="str">
        <f t="shared" si="170"/>
        <v>Furniture</v>
      </c>
      <c r="Z616" t="s">
        <v>76</v>
      </c>
      <c r="AA616" t="str">
        <f t="shared" si="171"/>
        <v>Chairs</v>
      </c>
      <c r="AB616" t="s">
        <v>2923</v>
      </c>
      <c r="AC616" t="s">
        <v>67</v>
      </c>
      <c r="AD616" t="str">
        <f t="shared" si="172"/>
        <v>Standard Class</v>
      </c>
      <c r="AE616">
        <v>8</v>
      </c>
      <c r="AF616">
        <v>3398.32</v>
      </c>
      <c r="AG616">
        <v>0.25</v>
      </c>
      <c r="AH616">
        <v>0.25</v>
      </c>
      <c r="AI616" t="str">
        <f t="shared" si="173"/>
        <v>Valid</v>
      </c>
      <c r="AJ616">
        <v>20389.919999999998</v>
      </c>
      <c r="AK616">
        <f t="shared" si="174"/>
        <v>20389.920000000002</v>
      </c>
      <c r="AL616">
        <v>16661.080000000002</v>
      </c>
      <c r="AM616">
        <v>3728.84</v>
      </c>
      <c r="AN616">
        <f t="shared" si="175"/>
        <v>3728.84</v>
      </c>
      <c r="AO616">
        <f t="shared" si="176"/>
        <v>-16661.080000000002</v>
      </c>
      <c r="AP616" t="s">
        <v>124</v>
      </c>
      <c r="AQ616" t="str">
        <f t="shared" si="177"/>
        <v>Refunded</v>
      </c>
      <c r="AR616" t="s">
        <v>78</v>
      </c>
      <c r="AS616" t="str">
        <f t="shared" si="178"/>
        <v>Cancelled</v>
      </c>
      <c r="AT616" t="str">
        <f t="shared" si="179"/>
        <v>Clean</v>
      </c>
    </row>
    <row r="617" spans="1:46">
      <c r="A617" t="s">
        <v>2924</v>
      </c>
      <c r="B617">
        <f>COUNTIF($D$2:D617,D617)</f>
        <v>1</v>
      </c>
      <c r="C617" t="str">
        <f>IF(COUNTIF($A:$A,A617)=1,
"Unique",
IF(COUNTIFS($A:$A,A617,$N:$N,N617,$AF:$AF,AF617,$AJ:$AJ,AJ617)&gt;1,
"Exact Duplicate",
"Conflicting Duplicate"))</f>
        <v>Unique</v>
      </c>
      <c r="D617" t="s">
        <v>2925</v>
      </c>
      <c r="E617" t="s">
        <v>2926</v>
      </c>
      <c r="F617" s="3">
        <v>45392</v>
      </c>
      <c r="G617" s="3">
        <v>45572</v>
      </c>
      <c r="H617" s="5" t="str">
        <f t="shared" si="162"/>
        <v>April</v>
      </c>
      <c r="I617" s="5">
        <f t="shared" si="163"/>
        <v>2024</v>
      </c>
      <c r="J617" t="str">
        <f>IF(F617="","Missing Date",
IF(ISNUMBER(F617),"Valid","Invalid Date"))</f>
        <v>Valid</v>
      </c>
      <c r="K617" t="str">
        <f t="shared" si="164"/>
        <v>Valid</v>
      </c>
      <c r="L617">
        <f>G617-F617</f>
        <v>180</v>
      </c>
      <c r="M617" t="s">
        <v>2927</v>
      </c>
      <c r="N617" t="s">
        <v>148</v>
      </c>
      <c r="O617" t="str">
        <f t="shared" si="165"/>
        <v>Rahul Verma</v>
      </c>
      <c r="P617" t="s">
        <v>108</v>
      </c>
      <c r="Q617" t="str">
        <f t="shared" si="166"/>
        <v>Corporate</v>
      </c>
      <c r="R617" t="s">
        <v>62</v>
      </c>
      <c r="S617" t="str">
        <f t="shared" si="167"/>
        <v>South</v>
      </c>
      <c r="T617" t="s">
        <v>242</v>
      </c>
      <c r="U617" t="str">
        <f t="shared" si="168"/>
        <v>Kerala</v>
      </c>
      <c r="V617" t="s">
        <v>243</v>
      </c>
      <c r="W617" t="str">
        <f t="shared" si="169"/>
        <v>Kochi</v>
      </c>
      <c r="X617" t="s">
        <v>30</v>
      </c>
      <c r="Y617" t="str">
        <f t="shared" si="170"/>
        <v>Office Supplies</v>
      </c>
      <c r="Z617" t="s">
        <v>54</v>
      </c>
      <c r="AA617" t="str">
        <f t="shared" si="171"/>
        <v>Art</v>
      </c>
      <c r="AB617" t="s">
        <v>2928</v>
      </c>
      <c r="AC617" t="s">
        <v>33</v>
      </c>
      <c r="AD617" t="str">
        <f t="shared" si="172"/>
        <v>Second Class</v>
      </c>
      <c r="AE617">
        <v>2</v>
      </c>
      <c r="AF617">
        <v>3144.38</v>
      </c>
      <c r="AG617">
        <v>0.1</v>
      </c>
      <c r="AH617">
        <v>0.1</v>
      </c>
      <c r="AI617" t="str">
        <f t="shared" si="173"/>
        <v>Valid</v>
      </c>
      <c r="AJ617">
        <v>5904.57</v>
      </c>
      <c r="AK617">
        <f t="shared" si="174"/>
        <v>5659.884</v>
      </c>
      <c r="AL617">
        <v>4337.79</v>
      </c>
      <c r="AM617">
        <v>1322.09</v>
      </c>
      <c r="AN617">
        <f t="shared" si="175"/>
        <v>1322.0940000000001</v>
      </c>
      <c r="AO617">
        <f t="shared" si="176"/>
        <v>-4337.79</v>
      </c>
      <c r="AP617" t="s">
        <v>34</v>
      </c>
      <c r="AQ617" t="str">
        <f t="shared" si="177"/>
        <v>Paid</v>
      </c>
      <c r="AR617" t="s">
        <v>35</v>
      </c>
      <c r="AS617" t="str">
        <f t="shared" si="178"/>
        <v>Completed</v>
      </c>
      <c r="AT617" t="str">
        <f t="shared" si="179"/>
        <v>Clean</v>
      </c>
    </row>
    <row r="618" spans="1:46">
      <c r="A618" t="s">
        <v>2929</v>
      </c>
      <c r="B618">
        <f>COUNTIF($D$2:D618,D618)</f>
        <v>1</v>
      </c>
      <c r="C618" t="str">
        <f>IF(COUNTIF($A:$A,A618)=1,
"Unique",
IF(COUNTIFS($A:$A,A618,$N:$N,N618,$AF:$AF,AF618,$AJ:$AJ,AJ618)&gt;1,
"Exact Duplicate",
"Conflicting Duplicate"))</f>
        <v>Unique</v>
      </c>
      <c r="D618" t="s">
        <v>2930</v>
      </c>
      <c r="E618" t="s">
        <v>2861</v>
      </c>
      <c r="F618" s="2">
        <v>45520</v>
      </c>
      <c r="G618" s="3">
        <v>45523</v>
      </c>
      <c r="H618" s="5" t="str">
        <f t="shared" si="162"/>
        <v>August</v>
      </c>
      <c r="I618" s="5">
        <f t="shared" si="163"/>
        <v>2024</v>
      </c>
      <c r="J618" t="str">
        <f>IF(F618="","Missing Date",
IF(ISNUMBER(F618),"Valid","Invalid Date"))</f>
        <v>Valid</v>
      </c>
      <c r="K618" t="str">
        <f t="shared" si="164"/>
        <v>Valid</v>
      </c>
      <c r="L618">
        <f>G618-F618</f>
        <v>3</v>
      </c>
      <c r="M618" t="s">
        <v>2931</v>
      </c>
      <c r="N618" t="s">
        <v>366</v>
      </c>
      <c r="O618" t="str">
        <f t="shared" si="165"/>
        <v>Kabir Singh</v>
      </c>
      <c r="P618" t="s">
        <v>26</v>
      </c>
      <c r="Q618" t="str">
        <f t="shared" si="166"/>
        <v>Consumer</v>
      </c>
      <c r="R618" t="s">
        <v>62</v>
      </c>
      <c r="S618" t="str">
        <f t="shared" si="167"/>
        <v>South</v>
      </c>
      <c r="T618" t="s">
        <v>63</v>
      </c>
      <c r="U618" t="str">
        <f t="shared" si="168"/>
        <v>Telangana</v>
      </c>
      <c r="V618" t="s">
        <v>64</v>
      </c>
      <c r="W618" t="str">
        <f t="shared" si="169"/>
        <v>Hyderabad</v>
      </c>
      <c r="X618" t="s">
        <v>30</v>
      </c>
      <c r="Y618" t="str">
        <f t="shared" si="170"/>
        <v>Office Supplies</v>
      </c>
      <c r="Z618" t="s">
        <v>31</v>
      </c>
      <c r="AA618" t="str">
        <f t="shared" si="171"/>
        <v>Paper</v>
      </c>
      <c r="AB618" t="s">
        <v>2932</v>
      </c>
      <c r="AC618" t="s">
        <v>67</v>
      </c>
      <c r="AD618" t="str">
        <f t="shared" si="172"/>
        <v>Standard Class</v>
      </c>
      <c r="AE618">
        <v>6</v>
      </c>
      <c r="AF618">
        <v>3925.55</v>
      </c>
      <c r="AG618">
        <v>0.2</v>
      </c>
      <c r="AH618">
        <v>0.2</v>
      </c>
      <c r="AI618" t="str">
        <f t="shared" si="173"/>
        <v>Valid</v>
      </c>
      <c r="AJ618">
        <v>18842.64</v>
      </c>
      <c r="AK618">
        <f t="shared" si="174"/>
        <v>18842.640000000003</v>
      </c>
      <c r="AL618">
        <v>11840.58</v>
      </c>
      <c r="AM618">
        <v>7002.06</v>
      </c>
      <c r="AN618">
        <f t="shared" si="175"/>
        <v>7002.0600000000031</v>
      </c>
      <c r="AO618">
        <f t="shared" si="176"/>
        <v>-11840.58</v>
      </c>
      <c r="AP618" t="s">
        <v>34</v>
      </c>
      <c r="AQ618" t="str">
        <f t="shared" si="177"/>
        <v>Paid</v>
      </c>
      <c r="AR618" t="s">
        <v>35</v>
      </c>
      <c r="AS618" t="str">
        <f t="shared" si="178"/>
        <v>Completed</v>
      </c>
      <c r="AT618" t="str">
        <f t="shared" si="179"/>
        <v>Clean</v>
      </c>
    </row>
    <row r="619" spans="1:46">
      <c r="A619" t="s">
        <v>2933</v>
      </c>
      <c r="B619">
        <f>COUNTIF($D$2:D619,D619)</f>
        <v>1</v>
      </c>
      <c r="C619" t="str">
        <f>IF(COUNTIF($A:$A,A619)=1,
"Unique",
IF(COUNTIFS($A:$A,A619,$N:$N,N619,$AF:$AF,AF619,$AJ:$AJ,AJ619)&gt;1,
"Exact Duplicate",
"Conflicting Duplicate"))</f>
        <v>Unique</v>
      </c>
      <c r="D619" t="s">
        <v>2934</v>
      </c>
      <c r="E619" t="s">
        <v>974</v>
      </c>
      <c r="F619" s="3">
        <v>45564</v>
      </c>
      <c r="G619" s="3">
        <v>45565</v>
      </c>
      <c r="H619" s="5" t="str">
        <f t="shared" si="162"/>
        <v>September</v>
      </c>
      <c r="I619" s="5">
        <f t="shared" si="163"/>
        <v>2024</v>
      </c>
      <c r="J619" t="str">
        <f>IF(F619="","Missing Date",
IF(ISNUMBER(F619),"Valid","Invalid Date"))</f>
        <v>Valid</v>
      </c>
      <c r="K619" t="str">
        <f t="shared" si="164"/>
        <v>Valid</v>
      </c>
      <c r="L619">
        <f>G619-F619</f>
        <v>1</v>
      </c>
      <c r="M619" t="s">
        <v>2935</v>
      </c>
      <c r="N619" t="s">
        <v>40</v>
      </c>
      <c r="O619" t="str">
        <f t="shared" si="165"/>
        <v>Mira Das</v>
      </c>
      <c r="P619" t="s">
        <v>115</v>
      </c>
      <c r="Q619" t="str">
        <f t="shared" si="166"/>
        <v>Home Office</v>
      </c>
      <c r="R619" t="s">
        <v>62</v>
      </c>
      <c r="S619" t="str">
        <f t="shared" si="167"/>
        <v>South</v>
      </c>
      <c r="T619" t="s">
        <v>63</v>
      </c>
      <c r="U619" t="str">
        <f t="shared" si="168"/>
        <v>Telangana</v>
      </c>
      <c r="V619" t="s">
        <v>64</v>
      </c>
      <c r="W619" t="str">
        <f t="shared" si="169"/>
        <v>Hyderabad</v>
      </c>
      <c r="X619" t="s">
        <v>86</v>
      </c>
      <c r="Y619" t="str">
        <f t="shared" si="170"/>
        <v>Technology</v>
      </c>
      <c r="Z619" t="s">
        <v>223</v>
      </c>
      <c r="AA619" t="str">
        <f t="shared" si="171"/>
        <v>Phones</v>
      </c>
      <c r="AB619" t="s">
        <v>2936</v>
      </c>
      <c r="AC619" t="s">
        <v>67</v>
      </c>
      <c r="AD619" t="str">
        <f t="shared" si="172"/>
        <v>Standard Class</v>
      </c>
      <c r="AE619">
        <v>9</v>
      </c>
      <c r="AF619">
        <v>2741.91</v>
      </c>
      <c r="AG619">
        <v>0</v>
      </c>
      <c r="AH619">
        <v>0</v>
      </c>
      <c r="AI619" t="str">
        <f t="shared" si="173"/>
        <v>Valid</v>
      </c>
      <c r="AJ619">
        <v>24677.19</v>
      </c>
      <c r="AK619">
        <f t="shared" si="174"/>
        <v>24677.19</v>
      </c>
      <c r="AL619">
        <v>20350.849999999999</v>
      </c>
      <c r="AM619">
        <v>4326.34</v>
      </c>
      <c r="AN619">
        <f t="shared" si="175"/>
        <v>4326.34</v>
      </c>
      <c r="AO619">
        <f t="shared" si="176"/>
        <v>-20350.849999999999</v>
      </c>
      <c r="AP619" t="s">
        <v>34</v>
      </c>
      <c r="AQ619" t="str">
        <f t="shared" si="177"/>
        <v>Paid</v>
      </c>
      <c r="AR619" t="s">
        <v>35</v>
      </c>
      <c r="AS619" t="str">
        <f t="shared" si="178"/>
        <v>Completed</v>
      </c>
      <c r="AT619" t="str">
        <f t="shared" si="179"/>
        <v>Clean</v>
      </c>
    </row>
    <row r="620" spans="1:46">
      <c r="A620" t="s">
        <v>2937</v>
      </c>
      <c r="B620">
        <f>COUNTIF($D$2:D620,D620)</f>
        <v>1</v>
      </c>
      <c r="C620" t="str">
        <f>IF(COUNTIF($A:$A,A620)=1,
"Unique",
IF(COUNTIFS($A:$A,A620,$N:$N,N620,$AF:$AF,AF620,$AJ:$AJ,AJ620)&gt;1,
"Exact Duplicate",
"Conflicting Duplicate"))</f>
        <v>Unique</v>
      </c>
      <c r="D620" t="s">
        <v>2938</v>
      </c>
      <c r="E620" t="s">
        <v>529</v>
      </c>
      <c r="F620" s="3">
        <v>45496</v>
      </c>
      <c r="G620" s="3">
        <v>45503</v>
      </c>
      <c r="H620" s="5" t="str">
        <f t="shared" si="162"/>
        <v>July</v>
      </c>
      <c r="I620" s="5">
        <f t="shared" si="163"/>
        <v>2024</v>
      </c>
      <c r="J620" t="str">
        <f>IF(F620="","Missing Date",
IF(ISNUMBER(F620),"Valid","Invalid Date"))</f>
        <v>Valid</v>
      </c>
      <c r="K620" t="str">
        <f t="shared" si="164"/>
        <v>Valid</v>
      </c>
      <c r="L620">
        <f>G620-F620</f>
        <v>7</v>
      </c>
      <c r="M620" t="s">
        <v>2939</v>
      </c>
      <c r="N620" t="s">
        <v>366</v>
      </c>
      <c r="O620" t="str">
        <f t="shared" si="165"/>
        <v>Kabir Singh</v>
      </c>
      <c r="P620" t="s">
        <v>108</v>
      </c>
      <c r="Q620" t="str">
        <f t="shared" si="166"/>
        <v>Corporate</v>
      </c>
      <c r="R620" t="s">
        <v>27</v>
      </c>
      <c r="S620" t="str">
        <f t="shared" si="167"/>
        <v>North</v>
      </c>
      <c r="T620" t="s">
        <v>28</v>
      </c>
      <c r="U620" t="str">
        <f t="shared" si="168"/>
        <v>Rajasthan</v>
      </c>
      <c r="V620" t="s">
        <v>29</v>
      </c>
      <c r="W620" t="str">
        <f t="shared" si="169"/>
        <v>Jaipur</v>
      </c>
      <c r="X620" t="s">
        <v>45</v>
      </c>
      <c r="Y620" t="str">
        <f t="shared" si="170"/>
        <v>Furniture</v>
      </c>
      <c r="Z620" t="s">
        <v>46</v>
      </c>
      <c r="AA620" t="str">
        <f t="shared" si="171"/>
        <v>Tables</v>
      </c>
      <c r="AB620" t="s">
        <v>2940</v>
      </c>
      <c r="AC620" t="s">
        <v>48</v>
      </c>
      <c r="AD620" t="str">
        <f t="shared" si="172"/>
        <v>Same Day</v>
      </c>
      <c r="AE620">
        <v>9</v>
      </c>
      <c r="AF620">
        <v>1870.11</v>
      </c>
      <c r="AG620">
        <v>0.25</v>
      </c>
      <c r="AH620">
        <v>0.25</v>
      </c>
      <c r="AI620" t="str">
        <f t="shared" si="173"/>
        <v>Valid</v>
      </c>
      <c r="AJ620">
        <v>12623.24</v>
      </c>
      <c r="AK620">
        <f t="shared" si="174"/>
        <v>12623.242499999998</v>
      </c>
      <c r="AL620">
        <v>10540.8</v>
      </c>
      <c r="AM620">
        <v>2082.44</v>
      </c>
      <c r="AN620">
        <f t="shared" si="175"/>
        <v>2082.4424999999992</v>
      </c>
      <c r="AO620">
        <f t="shared" si="176"/>
        <v>-10540.8</v>
      </c>
      <c r="AP620" t="s">
        <v>200</v>
      </c>
      <c r="AQ620" t="str">
        <f t="shared" si="177"/>
        <v>Failed</v>
      </c>
      <c r="AR620" t="s">
        <v>78</v>
      </c>
      <c r="AS620" t="str">
        <f t="shared" si="178"/>
        <v>Cancelled</v>
      </c>
      <c r="AT620" t="str">
        <f t="shared" si="179"/>
        <v>Clean</v>
      </c>
    </row>
    <row r="621" spans="1:46">
      <c r="A621" t="s">
        <v>2941</v>
      </c>
      <c r="B621">
        <f>COUNTIF($D$2:D621,D621)</f>
        <v>2</v>
      </c>
      <c r="C621" t="str">
        <f>IF(COUNTIF($A:$A,A621)=1,
"Unique",
IF(COUNTIFS($A:$A,A621,$N:$N,N621,$AF:$AF,AF621,$AJ:$AJ,AJ621)&gt;1,
"Exact Duplicate",
"Conflicting Duplicate"))</f>
        <v>Unique</v>
      </c>
      <c r="D621" t="s">
        <v>911</v>
      </c>
      <c r="E621" t="s">
        <v>2942</v>
      </c>
      <c r="F621" s="3">
        <v>45618</v>
      </c>
      <c r="G621" s="2">
        <v>45623</v>
      </c>
      <c r="H621" s="5" t="str">
        <f t="shared" si="162"/>
        <v>November</v>
      </c>
      <c r="I621" s="5">
        <f t="shared" si="163"/>
        <v>2024</v>
      </c>
      <c r="J621" t="str">
        <f>IF(F621="","Missing Date",
IF(ISNUMBER(F621),"Valid","Invalid Date"))</f>
        <v>Valid</v>
      </c>
      <c r="K621" t="str">
        <f t="shared" si="164"/>
        <v>Valid</v>
      </c>
      <c r="L621">
        <f>G621-F621</f>
        <v>5</v>
      </c>
      <c r="M621" t="s">
        <v>2943</v>
      </c>
      <c r="N621" t="s">
        <v>142</v>
      </c>
      <c r="O621" t="str">
        <f t="shared" si="165"/>
        <v>Priya Menon</v>
      </c>
      <c r="P621" t="s">
        <v>108</v>
      </c>
      <c r="Q621" t="str">
        <f t="shared" si="166"/>
        <v>Corporate</v>
      </c>
      <c r="R621" t="s">
        <v>62</v>
      </c>
      <c r="S621" t="str">
        <f t="shared" si="167"/>
        <v>South</v>
      </c>
      <c r="T621" t="s">
        <v>339</v>
      </c>
      <c r="U621" t="str">
        <f t="shared" si="168"/>
        <v>Tamil Nadu</v>
      </c>
      <c r="V621" t="s">
        <v>340</v>
      </c>
      <c r="W621" t="str">
        <f t="shared" si="169"/>
        <v>Chennai</v>
      </c>
      <c r="X621" t="s">
        <v>30</v>
      </c>
      <c r="Y621" t="str">
        <f t="shared" si="170"/>
        <v>Office Supplies</v>
      </c>
      <c r="Z621" t="s">
        <v>198</v>
      </c>
      <c r="AA621" t="str">
        <f t="shared" si="171"/>
        <v>Binders</v>
      </c>
      <c r="AB621" t="s">
        <v>2944</v>
      </c>
      <c r="AC621" t="s">
        <v>56</v>
      </c>
      <c r="AD621" t="str">
        <f t="shared" si="172"/>
        <v>First Class</v>
      </c>
      <c r="AE621">
        <v>1</v>
      </c>
      <c r="AF621">
        <v>4251.26</v>
      </c>
      <c r="AG621">
        <v>0.2</v>
      </c>
      <c r="AH621">
        <v>0.2</v>
      </c>
      <c r="AI621" t="str">
        <f t="shared" si="173"/>
        <v>Valid</v>
      </c>
      <c r="AJ621">
        <v>3401.01</v>
      </c>
      <c r="AK621">
        <f t="shared" si="174"/>
        <v>3401.0080000000003</v>
      </c>
      <c r="AL621">
        <v>2917.54</v>
      </c>
      <c r="AM621">
        <v>483.47</v>
      </c>
      <c r="AN621">
        <f t="shared" si="175"/>
        <v>483.4680000000003</v>
      </c>
      <c r="AO621">
        <f t="shared" si="176"/>
        <v>-2917.54</v>
      </c>
      <c r="AP621" t="s">
        <v>124</v>
      </c>
      <c r="AQ621" t="str">
        <f t="shared" si="177"/>
        <v>Refunded</v>
      </c>
      <c r="AR621" t="s">
        <v>125</v>
      </c>
      <c r="AS621" t="str">
        <f t="shared" si="178"/>
        <v>Returned</v>
      </c>
      <c r="AT621" t="str">
        <f t="shared" si="179"/>
        <v>Clean</v>
      </c>
    </row>
    <row r="622" spans="1:46">
      <c r="A622" t="s">
        <v>2945</v>
      </c>
      <c r="B622">
        <f>COUNTIF($D$2:D622,D622)</f>
        <v>1</v>
      </c>
      <c r="C622" t="str">
        <f>IF(COUNTIF($A:$A,A622)=1,
"Unique",
IF(COUNTIFS($A:$A,A622,$N:$N,N622,$AF:$AF,AF622,$AJ:$AJ,AJ622)&gt;1,
"Exact Duplicate",
"Conflicting Duplicate"))</f>
        <v>Unique</v>
      </c>
      <c r="D622" t="s">
        <v>2946</v>
      </c>
      <c r="E622" t="s">
        <v>2947</v>
      </c>
      <c r="F622" s="3">
        <v>45522</v>
      </c>
      <c r="G622" s="3">
        <v>45525</v>
      </c>
      <c r="H622" s="5" t="str">
        <f t="shared" si="162"/>
        <v>August</v>
      </c>
      <c r="I622" s="5">
        <f t="shared" si="163"/>
        <v>2024</v>
      </c>
      <c r="J622" t="str">
        <f>IF(F622="","Missing Date",
IF(ISNUMBER(F622),"Valid","Invalid Date"))</f>
        <v>Valid</v>
      </c>
      <c r="K622" t="str">
        <f t="shared" si="164"/>
        <v>Valid</v>
      </c>
      <c r="L622">
        <f>G622-F622</f>
        <v>3</v>
      </c>
      <c r="M622" t="s">
        <v>2948</v>
      </c>
      <c r="N622" t="s">
        <v>83</v>
      </c>
      <c r="O622" t="str">
        <f t="shared" si="165"/>
        <v>Vikram Iyer</v>
      </c>
      <c r="P622" t="s">
        <v>26</v>
      </c>
      <c r="Q622" t="str">
        <f t="shared" si="166"/>
        <v>Consumer</v>
      </c>
      <c r="R622" t="s">
        <v>27</v>
      </c>
      <c r="S622" t="str">
        <f t="shared" si="167"/>
        <v>North</v>
      </c>
      <c r="T622" t="s">
        <v>174</v>
      </c>
      <c r="U622" t="str">
        <f t="shared" si="168"/>
        <v>Uttar Pradesh</v>
      </c>
      <c r="V622" t="s">
        <v>175</v>
      </c>
      <c r="W622" t="str">
        <f t="shared" si="169"/>
        <v>Noida</v>
      </c>
      <c r="X622" t="s">
        <v>86</v>
      </c>
      <c r="Y622" t="str">
        <f t="shared" si="170"/>
        <v>Technology</v>
      </c>
      <c r="Z622" t="s">
        <v>382</v>
      </c>
      <c r="AA622" t="str">
        <f t="shared" si="171"/>
        <v>Machines</v>
      </c>
      <c r="AB622" t="s">
        <v>2949</v>
      </c>
      <c r="AC622" t="s">
        <v>67</v>
      </c>
      <c r="AD622" t="str">
        <f t="shared" si="172"/>
        <v>Standard Class</v>
      </c>
      <c r="AE622">
        <v>9</v>
      </c>
      <c r="AF622">
        <v>734.34</v>
      </c>
      <c r="AG622">
        <v>0</v>
      </c>
      <c r="AH622">
        <v>0</v>
      </c>
      <c r="AI622" t="str">
        <f t="shared" si="173"/>
        <v>Valid</v>
      </c>
      <c r="AJ622">
        <v>6609.06</v>
      </c>
      <c r="AK622">
        <f t="shared" si="174"/>
        <v>6609.06</v>
      </c>
      <c r="AL622">
        <v>4946.78</v>
      </c>
      <c r="AM622">
        <v>1662.28</v>
      </c>
      <c r="AN622">
        <f t="shared" si="175"/>
        <v>1662.2800000000007</v>
      </c>
      <c r="AO622">
        <f t="shared" si="176"/>
        <v>-4946.78</v>
      </c>
      <c r="AP622" t="s">
        <v>34</v>
      </c>
      <c r="AQ622" t="str">
        <f t="shared" si="177"/>
        <v>Paid</v>
      </c>
      <c r="AR622" t="s">
        <v>35</v>
      </c>
      <c r="AS622" t="str">
        <f t="shared" si="178"/>
        <v>Completed</v>
      </c>
      <c r="AT622" t="str">
        <f t="shared" si="179"/>
        <v>Clean</v>
      </c>
    </row>
    <row r="623" spans="1:46">
      <c r="A623" t="s">
        <v>2950</v>
      </c>
      <c r="B623">
        <f>COUNTIF($D$2:D623,D623)</f>
        <v>2</v>
      </c>
      <c r="C623" t="str">
        <f>IF(COUNTIF($A:$A,A623)=1,
"Unique",
IF(COUNTIFS($A:$A,A623,$N:$N,N623,$AF:$AF,AF623,$AJ:$AJ,AJ623)&gt;1,
"Exact Duplicate",
"Conflicting Duplicate"))</f>
        <v>Unique</v>
      </c>
      <c r="D623" t="s">
        <v>58</v>
      </c>
      <c r="E623" t="s">
        <v>2951</v>
      </c>
      <c r="F623" s="3">
        <v>45624</v>
      </c>
      <c r="G623" s="3">
        <v>45455</v>
      </c>
      <c r="H623" s="5" t="str">
        <f t="shared" si="162"/>
        <v>November</v>
      </c>
      <c r="I623" s="5">
        <f t="shared" si="163"/>
        <v>2024</v>
      </c>
      <c r="J623" t="str">
        <f>IF(F623="","Missing Date",
IF(ISNUMBER(F623),"Valid","Invalid Date"))</f>
        <v>Valid</v>
      </c>
      <c r="K623" t="str">
        <f t="shared" si="164"/>
        <v>Valid</v>
      </c>
      <c r="L623">
        <f>G623-F623</f>
        <v>-169</v>
      </c>
      <c r="M623" t="s">
        <v>2952</v>
      </c>
      <c r="N623" t="s">
        <v>107</v>
      </c>
      <c r="O623" t="str">
        <f t="shared" si="165"/>
        <v>Aditi Sen</v>
      </c>
      <c r="P623" t="s">
        <v>26</v>
      </c>
      <c r="Q623" t="str">
        <f t="shared" si="166"/>
        <v>Consumer</v>
      </c>
      <c r="R623" t="s">
        <v>73</v>
      </c>
      <c r="S623" t="str">
        <f t="shared" si="167"/>
        <v>West</v>
      </c>
      <c r="T623" t="s">
        <v>74</v>
      </c>
      <c r="U623" t="str">
        <f t="shared" si="168"/>
        <v>Maharashtra</v>
      </c>
      <c r="V623" t="s">
        <v>75</v>
      </c>
      <c r="W623" t="str">
        <f t="shared" si="169"/>
        <v>Mumbai</v>
      </c>
      <c r="X623" t="s">
        <v>45</v>
      </c>
      <c r="Y623" t="str">
        <f t="shared" si="170"/>
        <v>Furniture</v>
      </c>
      <c r="Z623" t="s">
        <v>76</v>
      </c>
      <c r="AA623" t="str">
        <f t="shared" si="171"/>
        <v>Chairs</v>
      </c>
      <c r="AB623" t="s">
        <v>2953</v>
      </c>
      <c r="AC623" t="s">
        <v>48</v>
      </c>
      <c r="AD623" t="str">
        <f t="shared" si="172"/>
        <v>Same Day</v>
      </c>
      <c r="AE623">
        <v>5</v>
      </c>
      <c r="AF623">
        <v>1092.8399999999999</v>
      </c>
      <c r="AG623" t="s">
        <v>4104</v>
      </c>
      <c r="AH623" t="s">
        <v>4104</v>
      </c>
      <c r="AI623" t="str">
        <f t="shared" si="173"/>
        <v>Invalid - Above Range</v>
      </c>
      <c r="AJ623">
        <v>5464.2</v>
      </c>
      <c r="AK623" t="s">
        <v>4104</v>
      </c>
      <c r="AL623">
        <v>3318.09</v>
      </c>
      <c r="AM623">
        <v>2146.11</v>
      </c>
      <c r="AN623" t="s">
        <v>4104</v>
      </c>
      <c r="AO623" t="s">
        <v>4104</v>
      </c>
      <c r="AP623" t="s">
        <v>34</v>
      </c>
      <c r="AQ623" t="str">
        <f t="shared" si="177"/>
        <v>Paid</v>
      </c>
      <c r="AR623" t="s">
        <v>35</v>
      </c>
      <c r="AS623" t="str">
        <f t="shared" si="178"/>
        <v>Completed</v>
      </c>
      <c r="AT623" t="str">
        <f t="shared" si="179"/>
        <v>Needs Review</v>
      </c>
    </row>
    <row r="624" spans="1:46">
      <c r="A624" t="s">
        <v>2954</v>
      </c>
      <c r="B624">
        <f>COUNTIF($D$2:D624,D624)</f>
        <v>2</v>
      </c>
      <c r="C624" t="str">
        <f>IF(COUNTIF($A:$A,A624)=1,
"Unique",
IF(COUNTIFS($A:$A,A624,$N:$N,N624,$AF:$AF,AF624,$AJ:$AJ,AJ624)&gt;1,
"Exact Duplicate",
"Conflicting Duplicate"))</f>
        <v>Unique</v>
      </c>
      <c r="D624" t="s">
        <v>2955</v>
      </c>
      <c r="E624" t="s">
        <v>2956</v>
      </c>
      <c r="F624" s="3">
        <v>45686</v>
      </c>
      <c r="G624" s="2">
        <v>45810</v>
      </c>
      <c r="H624" s="5" t="str">
        <f t="shared" si="162"/>
        <v>January</v>
      </c>
      <c r="I624" s="5">
        <f t="shared" si="163"/>
        <v>2025</v>
      </c>
      <c r="J624" t="str">
        <f>IF(F624="","Missing Date",
IF(ISNUMBER(F624),"Valid","Invalid Date"))</f>
        <v>Valid</v>
      </c>
      <c r="K624" t="str">
        <f t="shared" si="164"/>
        <v>Valid</v>
      </c>
      <c r="L624">
        <f>G624-F624</f>
        <v>124</v>
      </c>
      <c r="M624" t="s">
        <v>2957</v>
      </c>
      <c r="N624" t="s">
        <v>83</v>
      </c>
      <c r="O624" t="str">
        <f t="shared" si="165"/>
        <v>Vikram Iyer</v>
      </c>
      <c r="P624" t="s">
        <v>26</v>
      </c>
      <c r="Q624" t="str">
        <f t="shared" si="166"/>
        <v>Consumer</v>
      </c>
      <c r="R624" t="s">
        <v>42</v>
      </c>
      <c r="S624" t="str">
        <f t="shared" si="167"/>
        <v>East</v>
      </c>
      <c r="T624" t="s">
        <v>186</v>
      </c>
      <c r="U624" t="str">
        <f t="shared" si="168"/>
        <v>Bihar</v>
      </c>
      <c r="V624" t="s">
        <v>187</v>
      </c>
      <c r="W624" t="str">
        <f t="shared" si="169"/>
        <v>Patna</v>
      </c>
      <c r="X624" t="s">
        <v>30</v>
      </c>
      <c r="Y624" t="str">
        <f t="shared" si="170"/>
        <v>Office Supplies</v>
      </c>
      <c r="Z624" t="s">
        <v>156</v>
      </c>
      <c r="AA624" t="str">
        <f t="shared" si="171"/>
        <v>Storage</v>
      </c>
      <c r="AB624" t="s">
        <v>2958</v>
      </c>
      <c r="AC624" t="s">
        <v>67</v>
      </c>
      <c r="AD624" t="str">
        <f t="shared" si="172"/>
        <v>Standard Class</v>
      </c>
      <c r="AE624">
        <v>4</v>
      </c>
      <c r="AF624">
        <v>2759.01</v>
      </c>
      <c r="AG624">
        <v>0.05</v>
      </c>
      <c r="AH624">
        <v>0.05</v>
      </c>
      <c r="AI624" t="str">
        <f t="shared" si="173"/>
        <v>Valid</v>
      </c>
      <c r="AJ624">
        <v>10484.24</v>
      </c>
      <c r="AK624">
        <f t="shared" si="174"/>
        <v>10484.238000000001</v>
      </c>
      <c r="AL624">
        <v>6680.15</v>
      </c>
      <c r="AM624">
        <v>3804.09</v>
      </c>
      <c r="AN624">
        <f t="shared" si="175"/>
        <v>3804.0880000000016</v>
      </c>
      <c r="AO624">
        <f t="shared" si="176"/>
        <v>-6680.15</v>
      </c>
      <c r="AP624" t="s">
        <v>34</v>
      </c>
      <c r="AQ624" t="str">
        <f t="shared" si="177"/>
        <v>Paid</v>
      </c>
      <c r="AR624" t="s">
        <v>35</v>
      </c>
      <c r="AS624" t="str">
        <f t="shared" si="178"/>
        <v>Completed</v>
      </c>
      <c r="AT624" t="str">
        <f t="shared" si="179"/>
        <v>Clean</v>
      </c>
    </row>
    <row r="625" spans="1:46">
      <c r="A625" t="s">
        <v>2959</v>
      </c>
      <c r="B625">
        <f>COUNTIF($D$2:D625,D625)</f>
        <v>1</v>
      </c>
      <c r="C625" t="str">
        <f>IF(COUNTIF($A:$A,A625)=1,
"Unique",
IF(COUNTIFS($A:$A,A625,$N:$N,N625,$AF:$AF,AF625,$AJ:$AJ,AJ625)&gt;1,
"Exact Duplicate",
"Conflicting Duplicate"))</f>
        <v>Unique</v>
      </c>
      <c r="D625" t="s">
        <v>2960</v>
      </c>
      <c r="E625" t="s">
        <v>2961</v>
      </c>
      <c r="F625" s="2">
        <v>45512</v>
      </c>
      <c r="G625" s="2">
        <v>45518</v>
      </c>
      <c r="H625" s="5" t="str">
        <f t="shared" si="162"/>
        <v>August</v>
      </c>
      <c r="I625" s="5">
        <f t="shared" si="163"/>
        <v>2024</v>
      </c>
      <c r="J625" t="str">
        <f>IF(F625="","Missing Date",
IF(ISNUMBER(F625),"Valid","Invalid Date"))</f>
        <v>Valid</v>
      </c>
      <c r="K625" t="str">
        <f t="shared" si="164"/>
        <v>Valid</v>
      </c>
      <c r="L625">
        <f>G625-F625</f>
        <v>6</v>
      </c>
      <c r="M625" t="s">
        <v>2962</v>
      </c>
      <c r="N625" t="s">
        <v>83</v>
      </c>
      <c r="O625" t="str">
        <f t="shared" si="165"/>
        <v>Vikram Iyer</v>
      </c>
      <c r="P625" t="s">
        <v>115</v>
      </c>
      <c r="Q625" t="str">
        <f t="shared" si="166"/>
        <v>Home Office</v>
      </c>
      <c r="R625" t="s">
        <v>27</v>
      </c>
      <c r="S625" t="str">
        <f t="shared" si="167"/>
        <v>North</v>
      </c>
      <c r="T625" t="s">
        <v>154</v>
      </c>
      <c r="U625" t="str">
        <f t="shared" si="168"/>
        <v>Punjab</v>
      </c>
      <c r="V625" t="s">
        <v>155</v>
      </c>
      <c r="W625" t="str">
        <f t="shared" si="169"/>
        <v>Ludhiana</v>
      </c>
      <c r="X625" t="s">
        <v>30</v>
      </c>
      <c r="Y625" t="str">
        <f t="shared" si="170"/>
        <v>Office Supplies</v>
      </c>
      <c r="Z625" t="s">
        <v>156</v>
      </c>
      <c r="AA625" t="str">
        <f t="shared" si="171"/>
        <v>Storage</v>
      </c>
      <c r="AB625" t="s">
        <v>2963</v>
      </c>
      <c r="AC625" t="s">
        <v>33</v>
      </c>
      <c r="AD625" t="str">
        <f t="shared" si="172"/>
        <v>Second Class</v>
      </c>
      <c r="AE625">
        <v>8</v>
      </c>
      <c r="AF625">
        <v>1359.19</v>
      </c>
      <c r="AG625">
        <v>0.05</v>
      </c>
      <c r="AH625">
        <v>0.05</v>
      </c>
      <c r="AI625" t="str">
        <f t="shared" si="173"/>
        <v>Valid</v>
      </c>
      <c r="AJ625">
        <v>10329.84</v>
      </c>
      <c r="AK625">
        <f t="shared" si="174"/>
        <v>10329.843999999999</v>
      </c>
      <c r="AL625">
        <v>7512.22</v>
      </c>
      <c r="AM625">
        <v>2817.62</v>
      </c>
      <c r="AN625">
        <f t="shared" si="175"/>
        <v>2817.6239999999989</v>
      </c>
      <c r="AO625">
        <f t="shared" si="176"/>
        <v>-7512.22</v>
      </c>
      <c r="AP625" t="s">
        <v>34</v>
      </c>
      <c r="AQ625" t="str">
        <f t="shared" si="177"/>
        <v>Paid</v>
      </c>
      <c r="AR625" t="s">
        <v>35</v>
      </c>
      <c r="AS625" t="str">
        <f t="shared" si="178"/>
        <v>Completed</v>
      </c>
      <c r="AT625" t="str">
        <f t="shared" si="179"/>
        <v>Clean</v>
      </c>
    </row>
    <row r="626" spans="1:46">
      <c r="A626" t="s">
        <v>2964</v>
      </c>
      <c r="B626">
        <f>COUNTIF($D$2:D626,D626)</f>
        <v>1</v>
      </c>
      <c r="C626" t="str">
        <f>IF(COUNTIF($A:$A,A626)=1,
"Unique",
IF(COUNTIFS($A:$A,A626,$N:$N,N626,$AF:$AF,AF626,$AJ:$AJ,AJ626)&gt;1,
"Exact Duplicate",
"Conflicting Duplicate"))</f>
        <v>Unique</v>
      </c>
      <c r="D626" t="s">
        <v>2965</v>
      </c>
      <c r="E626" t="s">
        <v>2966</v>
      </c>
      <c r="F626" s="3">
        <v>45321</v>
      </c>
      <c r="G626" s="3">
        <v>45293</v>
      </c>
      <c r="H626" s="5" t="str">
        <f t="shared" si="162"/>
        <v>January</v>
      </c>
      <c r="I626" s="5">
        <f t="shared" si="163"/>
        <v>2024</v>
      </c>
      <c r="J626" t="str">
        <f>IF(F626="","Missing Date",
IF(ISNUMBER(F626),"Valid","Invalid Date"))</f>
        <v>Valid</v>
      </c>
      <c r="K626" t="str">
        <f t="shared" si="164"/>
        <v>Valid</v>
      </c>
      <c r="L626">
        <f>G626-F626</f>
        <v>-28</v>
      </c>
      <c r="M626" t="s">
        <v>2967</v>
      </c>
      <c r="N626" t="s">
        <v>93</v>
      </c>
      <c r="O626" t="str">
        <f t="shared" si="165"/>
        <v>Neha Gupta</v>
      </c>
      <c r="P626" t="s">
        <v>115</v>
      </c>
      <c r="Q626" t="str">
        <f t="shared" si="166"/>
        <v>Home Office</v>
      </c>
      <c r="R626" t="s">
        <v>42</v>
      </c>
      <c r="S626" t="str">
        <f t="shared" si="167"/>
        <v>East</v>
      </c>
      <c r="T626" t="s">
        <v>216</v>
      </c>
      <c r="U626" t="str">
        <f t="shared" si="168"/>
        <v>Assam</v>
      </c>
      <c r="V626" t="s">
        <v>217</v>
      </c>
      <c r="W626" t="str">
        <f t="shared" si="169"/>
        <v>Guwahati</v>
      </c>
      <c r="X626" t="s">
        <v>45</v>
      </c>
      <c r="Y626" t="str">
        <f t="shared" si="170"/>
        <v>Furniture</v>
      </c>
      <c r="Z626" t="s">
        <v>76</v>
      </c>
      <c r="AA626" t="str">
        <f t="shared" si="171"/>
        <v>Chairs</v>
      </c>
      <c r="AB626" t="s">
        <v>2968</v>
      </c>
      <c r="AC626" t="s">
        <v>56</v>
      </c>
      <c r="AD626" t="str">
        <f t="shared" si="172"/>
        <v>First Class</v>
      </c>
      <c r="AE626">
        <v>2</v>
      </c>
      <c r="AF626">
        <v>4451.03</v>
      </c>
      <c r="AG626">
        <v>0.05</v>
      </c>
      <c r="AH626">
        <v>0.05</v>
      </c>
      <c r="AI626" t="str">
        <f t="shared" si="173"/>
        <v>Valid</v>
      </c>
      <c r="AJ626">
        <v>8456.9599999999991</v>
      </c>
      <c r="AK626">
        <f t="shared" si="174"/>
        <v>8456.9569999999985</v>
      </c>
      <c r="AL626">
        <v>5462.85</v>
      </c>
      <c r="AM626">
        <v>2994.11</v>
      </c>
      <c r="AN626">
        <f t="shared" si="175"/>
        <v>2994.1069999999982</v>
      </c>
      <c r="AO626">
        <f t="shared" si="176"/>
        <v>-5462.85</v>
      </c>
      <c r="AP626" t="s">
        <v>34</v>
      </c>
      <c r="AQ626" t="str">
        <f t="shared" si="177"/>
        <v>Paid</v>
      </c>
      <c r="AR626" t="s">
        <v>35</v>
      </c>
      <c r="AS626" t="str">
        <f t="shared" si="178"/>
        <v>Completed</v>
      </c>
      <c r="AT626" t="str">
        <f t="shared" si="179"/>
        <v>Clean</v>
      </c>
    </row>
    <row r="627" spans="1:46">
      <c r="A627" t="s">
        <v>2969</v>
      </c>
      <c r="B627">
        <f>COUNTIF($D$2:D627,D627)</f>
        <v>1</v>
      </c>
      <c r="C627" t="str">
        <f>IF(COUNTIF($A:$A,A627)=1,
"Unique",
IF(COUNTIFS($A:$A,A627,$N:$N,N627,$AF:$AF,AF627,$AJ:$AJ,AJ627)&gt;1,
"Exact Duplicate",
"Conflicting Duplicate"))</f>
        <v>Unique</v>
      </c>
      <c r="D627" t="s">
        <v>2970</v>
      </c>
      <c r="E627" t="s">
        <v>1404</v>
      </c>
      <c r="F627" s="3">
        <v>45641</v>
      </c>
      <c r="G627" s="2">
        <v>45647</v>
      </c>
      <c r="H627" s="5" t="str">
        <f t="shared" si="162"/>
        <v>December</v>
      </c>
      <c r="I627" s="5">
        <f t="shared" si="163"/>
        <v>2024</v>
      </c>
      <c r="J627" t="str">
        <f>IF(F627="","Missing Date",
IF(ISNUMBER(F627),"Valid","Invalid Date"))</f>
        <v>Valid</v>
      </c>
      <c r="K627" t="str">
        <f t="shared" si="164"/>
        <v>Valid</v>
      </c>
      <c r="L627">
        <f>G627-F627</f>
        <v>6</v>
      </c>
      <c r="M627" t="s">
        <v>2971</v>
      </c>
      <c r="N627" t="s">
        <v>210</v>
      </c>
      <c r="O627" t="str">
        <f t="shared" si="165"/>
        <v>Diya Patel</v>
      </c>
      <c r="P627" t="s">
        <v>108</v>
      </c>
      <c r="Q627" t="str">
        <f t="shared" si="166"/>
        <v>Corporate</v>
      </c>
      <c r="R627" t="s">
        <v>73</v>
      </c>
      <c r="S627" t="str">
        <f t="shared" si="167"/>
        <v>West</v>
      </c>
      <c r="T627" t="s">
        <v>28</v>
      </c>
      <c r="U627" t="str">
        <f t="shared" si="168"/>
        <v>Rajasthan</v>
      </c>
      <c r="V627" t="s">
        <v>135</v>
      </c>
      <c r="W627" t="str">
        <f t="shared" si="169"/>
        <v>Udaipur</v>
      </c>
      <c r="X627" t="s">
        <v>45</v>
      </c>
      <c r="Y627" t="str">
        <f t="shared" si="170"/>
        <v>Furniture</v>
      </c>
      <c r="Z627" t="s">
        <v>76</v>
      </c>
      <c r="AA627" t="str">
        <f t="shared" si="171"/>
        <v>Chairs</v>
      </c>
      <c r="AB627" t="s">
        <v>2972</v>
      </c>
      <c r="AC627" t="s">
        <v>48</v>
      </c>
      <c r="AD627" t="str">
        <f t="shared" si="172"/>
        <v>Same Day</v>
      </c>
      <c r="AE627">
        <v>3</v>
      </c>
      <c r="AF627">
        <v>527.66999999999996</v>
      </c>
      <c r="AG627">
        <v>0.2</v>
      </c>
      <c r="AH627">
        <v>0.2</v>
      </c>
      <c r="AI627" t="str">
        <f t="shared" si="173"/>
        <v>Valid</v>
      </c>
      <c r="AJ627">
        <v>1266.4100000000001</v>
      </c>
      <c r="AK627">
        <f t="shared" si="174"/>
        <v>1266.4079999999999</v>
      </c>
      <c r="AL627">
        <v>983.92</v>
      </c>
      <c r="AM627">
        <v>282.49</v>
      </c>
      <c r="AN627">
        <f t="shared" si="175"/>
        <v>282.48799999999994</v>
      </c>
      <c r="AO627">
        <f t="shared" si="176"/>
        <v>-983.92</v>
      </c>
      <c r="AP627" t="s">
        <v>34</v>
      </c>
      <c r="AQ627" t="str">
        <f t="shared" si="177"/>
        <v>Paid</v>
      </c>
      <c r="AR627" t="s">
        <v>35</v>
      </c>
      <c r="AS627" t="str">
        <f t="shared" si="178"/>
        <v>Completed</v>
      </c>
      <c r="AT627" t="str">
        <f t="shared" si="179"/>
        <v>Clean</v>
      </c>
    </row>
    <row r="628" spans="1:46">
      <c r="A628" t="s">
        <v>2973</v>
      </c>
      <c r="B628">
        <f>COUNTIF($D$2:D628,D628)</f>
        <v>4</v>
      </c>
      <c r="C628" t="str">
        <f>IF(COUNTIF($A:$A,A628)=1,
"Unique",
IF(COUNTIFS($A:$A,A628,$N:$N,N628,$AF:$AF,AF628,$AJ:$AJ,AJ628)&gt;1,
"Exact Duplicate",
"Conflicting Duplicate"))</f>
        <v>Unique</v>
      </c>
      <c r="D628" t="s">
        <v>1389</v>
      </c>
      <c r="E628" t="s">
        <v>2974</v>
      </c>
      <c r="F628" s="3">
        <v>45753</v>
      </c>
      <c r="G628" s="3">
        <v>45815</v>
      </c>
      <c r="H628" s="5" t="str">
        <f t="shared" si="162"/>
        <v>April</v>
      </c>
      <c r="I628" s="5">
        <f t="shared" si="163"/>
        <v>2025</v>
      </c>
      <c r="J628" t="str">
        <f>IF(F628="","Missing Date",
IF(ISNUMBER(F628),"Valid","Invalid Date"))</f>
        <v>Valid</v>
      </c>
      <c r="K628" t="str">
        <f t="shared" si="164"/>
        <v>Valid</v>
      </c>
      <c r="L628">
        <f>G628-F628</f>
        <v>62</v>
      </c>
      <c r="M628" t="s">
        <v>2975</v>
      </c>
      <c r="N628" t="s">
        <v>168</v>
      </c>
      <c r="O628" t="str">
        <f t="shared" si="165"/>
        <v>Sneha Kapoor</v>
      </c>
      <c r="P628" t="s">
        <v>115</v>
      </c>
      <c r="Q628" t="str">
        <f t="shared" si="166"/>
        <v>Home Office</v>
      </c>
      <c r="R628" t="s">
        <v>42</v>
      </c>
      <c r="S628" t="str">
        <f t="shared" si="167"/>
        <v>East</v>
      </c>
      <c r="T628" t="s">
        <v>216</v>
      </c>
      <c r="U628" t="str">
        <f t="shared" si="168"/>
        <v>Assam</v>
      </c>
      <c r="V628" t="s">
        <v>217</v>
      </c>
      <c r="W628" t="str">
        <f t="shared" si="169"/>
        <v>Guwahati</v>
      </c>
      <c r="X628" t="s">
        <v>86</v>
      </c>
      <c r="Y628" t="str">
        <f t="shared" si="170"/>
        <v>Technology</v>
      </c>
      <c r="Z628" t="s">
        <v>382</v>
      </c>
      <c r="AA628" t="str">
        <f t="shared" si="171"/>
        <v>Machines</v>
      </c>
      <c r="AB628" t="s">
        <v>2976</v>
      </c>
      <c r="AC628" t="s">
        <v>67</v>
      </c>
      <c r="AD628" t="str">
        <f t="shared" si="172"/>
        <v>Standard Class</v>
      </c>
      <c r="AE628">
        <v>8</v>
      </c>
      <c r="AF628">
        <v>1434.13</v>
      </c>
      <c r="AG628">
        <v>0</v>
      </c>
      <c r="AH628">
        <v>0</v>
      </c>
      <c r="AI628" t="str">
        <f t="shared" si="173"/>
        <v>Valid</v>
      </c>
      <c r="AJ628">
        <v>11473.04</v>
      </c>
      <c r="AK628">
        <f t="shared" si="174"/>
        <v>11473.04</v>
      </c>
      <c r="AL628">
        <v>8931.33</v>
      </c>
      <c r="AM628">
        <v>2541.71</v>
      </c>
      <c r="AN628">
        <f t="shared" si="175"/>
        <v>2541.7100000000009</v>
      </c>
      <c r="AO628">
        <f t="shared" si="176"/>
        <v>-8931.33</v>
      </c>
      <c r="AP628" t="s">
        <v>137</v>
      </c>
      <c r="AQ628" t="str">
        <f t="shared" si="177"/>
        <v>Pending</v>
      </c>
      <c r="AR628" t="s">
        <v>125</v>
      </c>
      <c r="AS628" t="str">
        <f t="shared" si="178"/>
        <v>Returned</v>
      </c>
      <c r="AT628" t="str">
        <f t="shared" si="179"/>
        <v>Clean</v>
      </c>
    </row>
    <row r="629" spans="1:46">
      <c r="A629" t="s">
        <v>2977</v>
      </c>
      <c r="B629">
        <f>COUNTIF($D$2:D629,D629)</f>
        <v>2</v>
      </c>
      <c r="C629" t="str">
        <f>IF(COUNTIF($A:$A,A629)=1,
"Unique",
IF(COUNTIFS($A:$A,A629,$N:$N,N629,$AF:$AF,AF629,$AJ:$AJ,AJ629)&gt;1,
"Exact Duplicate",
"Conflicting Duplicate"))</f>
        <v>Unique</v>
      </c>
      <c r="D629" t="s">
        <v>1414</v>
      </c>
      <c r="E629" t="s">
        <v>1775</v>
      </c>
      <c r="F629" s="3">
        <v>45701</v>
      </c>
      <c r="G629" s="3">
        <v>45709</v>
      </c>
      <c r="H629" s="5" t="str">
        <f t="shared" si="162"/>
        <v>February</v>
      </c>
      <c r="I629" s="5">
        <f t="shared" si="163"/>
        <v>2025</v>
      </c>
      <c r="J629" t="str">
        <f>IF(F629="","Missing Date",
IF(ISNUMBER(F629),"Valid","Invalid Date"))</f>
        <v>Valid</v>
      </c>
      <c r="K629" t="str">
        <f t="shared" si="164"/>
        <v>Valid</v>
      </c>
      <c r="L629">
        <f>G629-F629</f>
        <v>8</v>
      </c>
      <c r="M629" t="s">
        <v>2978</v>
      </c>
      <c r="N629" t="s">
        <v>25</v>
      </c>
      <c r="O629" t="str">
        <f t="shared" si="165"/>
        <v>Karan Malhotra</v>
      </c>
      <c r="P629" t="s">
        <v>41</v>
      </c>
      <c r="Q629" t="str">
        <f t="shared" si="166"/>
        <v>Small Business</v>
      </c>
      <c r="R629" t="s">
        <v>62</v>
      </c>
      <c r="S629" t="str">
        <f t="shared" si="167"/>
        <v>South</v>
      </c>
      <c r="T629" t="s">
        <v>242</v>
      </c>
      <c r="U629" t="str">
        <f t="shared" si="168"/>
        <v>Kerala</v>
      </c>
      <c r="V629" t="s">
        <v>243</v>
      </c>
      <c r="W629" t="str">
        <f t="shared" si="169"/>
        <v>Kochi</v>
      </c>
      <c r="X629" t="s">
        <v>86</v>
      </c>
      <c r="Y629" t="str">
        <f t="shared" si="170"/>
        <v>Technology</v>
      </c>
      <c r="Z629" t="s">
        <v>223</v>
      </c>
      <c r="AA629" t="str">
        <f t="shared" si="171"/>
        <v>Phones</v>
      </c>
      <c r="AB629" t="s">
        <v>2979</v>
      </c>
      <c r="AC629" t="s">
        <v>33</v>
      </c>
      <c r="AD629" t="str">
        <f t="shared" si="172"/>
        <v>Second Class</v>
      </c>
      <c r="AE629">
        <v>2</v>
      </c>
      <c r="AF629">
        <v>2360.02</v>
      </c>
      <c r="AG629">
        <v>0.15</v>
      </c>
      <c r="AH629">
        <v>0.15</v>
      </c>
      <c r="AI629" t="str">
        <f t="shared" si="173"/>
        <v>Valid</v>
      </c>
      <c r="AJ629">
        <v>4012.03</v>
      </c>
      <c r="AK629">
        <f t="shared" si="174"/>
        <v>4012.0339999999997</v>
      </c>
      <c r="AL629">
        <v>3142.92</v>
      </c>
      <c r="AM629">
        <v>869.11</v>
      </c>
      <c r="AN629">
        <f t="shared" si="175"/>
        <v>869.11399999999958</v>
      </c>
      <c r="AO629">
        <f t="shared" si="176"/>
        <v>-3142.92</v>
      </c>
      <c r="AP629" t="s">
        <v>137</v>
      </c>
      <c r="AQ629" t="str">
        <f t="shared" si="177"/>
        <v>Pending</v>
      </c>
      <c r="AR629" t="s">
        <v>78</v>
      </c>
      <c r="AS629" t="str">
        <f t="shared" si="178"/>
        <v>Cancelled</v>
      </c>
      <c r="AT629" t="str">
        <f t="shared" si="179"/>
        <v>Clean</v>
      </c>
    </row>
    <row r="630" spans="1:46">
      <c r="A630" t="s">
        <v>2980</v>
      </c>
      <c r="B630">
        <f>COUNTIF($D$2:D630,D630)</f>
        <v>2</v>
      </c>
      <c r="C630" t="str">
        <f>IF(COUNTIF($A:$A,A630)=1,
"Unique",
IF(COUNTIFS($A:$A,A630,$N:$N,N630,$AF:$AF,AF630,$AJ:$AJ,AJ630)&gt;1,
"Exact Duplicate",
"Conflicting Duplicate"))</f>
        <v>Unique</v>
      </c>
      <c r="D630" t="s">
        <v>2553</v>
      </c>
      <c r="E630" t="s">
        <v>2981</v>
      </c>
      <c r="F630" s="3">
        <v>45787</v>
      </c>
      <c r="G630" s="2">
        <v>46001</v>
      </c>
      <c r="H630" s="5" t="str">
        <f t="shared" si="162"/>
        <v>May</v>
      </c>
      <c r="I630" s="5">
        <f t="shared" si="163"/>
        <v>2025</v>
      </c>
      <c r="J630" t="str">
        <f>IF(F630="","Missing Date",
IF(ISNUMBER(F630),"Valid","Invalid Date"))</f>
        <v>Valid</v>
      </c>
      <c r="K630" t="str">
        <f t="shared" si="164"/>
        <v>Valid</v>
      </c>
      <c r="L630">
        <f>G630-F630</f>
        <v>214</v>
      </c>
      <c r="M630" t="s">
        <v>2982</v>
      </c>
      <c r="N630" t="s">
        <v>72</v>
      </c>
      <c r="O630" t="str">
        <f t="shared" si="165"/>
        <v>Ananya Rao</v>
      </c>
      <c r="P630" t="s">
        <v>115</v>
      </c>
      <c r="Q630" t="str">
        <f t="shared" si="166"/>
        <v>Home Office</v>
      </c>
      <c r="R630" t="s">
        <v>42</v>
      </c>
      <c r="S630" t="str">
        <f t="shared" si="167"/>
        <v>East</v>
      </c>
      <c r="T630" t="s">
        <v>311</v>
      </c>
      <c r="U630" t="str">
        <f t="shared" si="168"/>
        <v>Jharkhand</v>
      </c>
      <c r="V630" t="s">
        <v>312</v>
      </c>
      <c r="W630" t="str">
        <f t="shared" si="169"/>
        <v>Ranchi</v>
      </c>
      <c r="X630" t="s">
        <v>86</v>
      </c>
      <c r="Y630" t="str">
        <f t="shared" si="170"/>
        <v>Technology</v>
      </c>
      <c r="Z630" t="s">
        <v>87</v>
      </c>
      <c r="AA630" t="str">
        <f t="shared" si="171"/>
        <v>Accessories</v>
      </c>
      <c r="AB630" t="s">
        <v>2983</v>
      </c>
      <c r="AC630" t="s">
        <v>48</v>
      </c>
      <c r="AD630" t="str">
        <f t="shared" si="172"/>
        <v>Same Day</v>
      </c>
      <c r="AE630">
        <v>7</v>
      </c>
      <c r="AF630">
        <v>806.67</v>
      </c>
      <c r="AG630">
        <v>0.05</v>
      </c>
      <c r="AH630">
        <v>0.05</v>
      </c>
      <c r="AI630" t="str">
        <f t="shared" si="173"/>
        <v>Valid</v>
      </c>
      <c r="AJ630">
        <v>5364.36</v>
      </c>
      <c r="AK630">
        <f t="shared" si="174"/>
        <v>5364.3554999999997</v>
      </c>
      <c r="AL630">
        <v>4391.29</v>
      </c>
      <c r="AM630">
        <v>973.07</v>
      </c>
      <c r="AN630">
        <f t="shared" si="175"/>
        <v>973.0654999999997</v>
      </c>
      <c r="AO630">
        <f t="shared" si="176"/>
        <v>-4391.29</v>
      </c>
      <c r="AP630" t="s">
        <v>34</v>
      </c>
      <c r="AQ630" t="str">
        <f t="shared" si="177"/>
        <v>Paid</v>
      </c>
      <c r="AR630" t="s">
        <v>35</v>
      </c>
      <c r="AS630" t="str">
        <f t="shared" si="178"/>
        <v>Completed</v>
      </c>
      <c r="AT630" t="str">
        <f t="shared" si="179"/>
        <v>Clean</v>
      </c>
    </row>
    <row r="631" spans="1:46">
      <c r="A631" t="s">
        <v>2984</v>
      </c>
      <c r="B631">
        <f>COUNTIF($D$2:D631,D631)</f>
        <v>1</v>
      </c>
      <c r="C631" t="str">
        <f>IF(COUNTIF($A:$A,A631)=1,
"Unique",
IF(COUNTIFS($A:$A,A631,$N:$N,N631,$AF:$AF,AF631,$AJ:$AJ,AJ631)&gt;1,
"Exact Duplicate",
"Conflicting Duplicate"))</f>
        <v>Unique</v>
      </c>
      <c r="D631" t="s">
        <v>573</v>
      </c>
      <c r="E631" t="s">
        <v>2985</v>
      </c>
      <c r="F631" s="3">
        <v>45910</v>
      </c>
      <c r="G631" s="2">
        <v>45914</v>
      </c>
      <c r="H631" s="5" t="str">
        <f t="shared" si="162"/>
        <v>September</v>
      </c>
      <c r="I631" s="5">
        <f t="shared" si="163"/>
        <v>2025</v>
      </c>
      <c r="J631" t="str">
        <f>IF(F631="","Missing Date",
IF(ISNUMBER(F631),"Valid","Invalid Date"))</f>
        <v>Valid</v>
      </c>
      <c r="K631" t="str">
        <f t="shared" si="164"/>
        <v>Valid</v>
      </c>
      <c r="L631">
        <f>G631-F631</f>
        <v>4</v>
      </c>
      <c r="M631" t="s">
        <v>2986</v>
      </c>
      <c r="N631" t="s">
        <v>61</v>
      </c>
      <c r="O631" t="str">
        <f t="shared" si="165"/>
        <v>Arjun Bose</v>
      </c>
      <c r="P631" t="s">
        <v>115</v>
      </c>
      <c r="Q631" t="str">
        <f t="shared" si="166"/>
        <v>Home Office</v>
      </c>
      <c r="R631" t="s">
        <v>73</v>
      </c>
      <c r="S631" t="str">
        <f t="shared" si="167"/>
        <v>West</v>
      </c>
      <c r="T631" t="s">
        <v>235</v>
      </c>
      <c r="U631" t="str">
        <f t="shared" si="168"/>
        <v>Gujarat</v>
      </c>
      <c r="V631" t="s">
        <v>236</v>
      </c>
      <c r="W631" t="str">
        <f t="shared" si="169"/>
        <v>Ahmedabad</v>
      </c>
      <c r="X631" t="s">
        <v>45</v>
      </c>
      <c r="Y631" t="str">
        <f t="shared" si="170"/>
        <v>Furniture</v>
      </c>
      <c r="Z631" t="s">
        <v>46</v>
      </c>
      <c r="AA631" t="str">
        <f t="shared" si="171"/>
        <v>Tables</v>
      </c>
      <c r="AB631" t="s">
        <v>2987</v>
      </c>
      <c r="AC631" t="s">
        <v>48</v>
      </c>
      <c r="AD631" t="str">
        <f t="shared" si="172"/>
        <v>Same Day</v>
      </c>
      <c r="AE631">
        <v>3</v>
      </c>
      <c r="AF631">
        <v>4198.46</v>
      </c>
      <c r="AG631">
        <v>0.15</v>
      </c>
      <c r="AH631">
        <v>0.15</v>
      </c>
      <c r="AI631" t="str">
        <f t="shared" si="173"/>
        <v>Valid</v>
      </c>
      <c r="AJ631">
        <v>10706.07</v>
      </c>
      <c r="AK631">
        <f t="shared" si="174"/>
        <v>10706.073</v>
      </c>
      <c r="AL631">
        <v>5927.1</v>
      </c>
      <c r="AM631">
        <v>4778.97</v>
      </c>
      <c r="AN631">
        <f t="shared" si="175"/>
        <v>4778.973</v>
      </c>
      <c r="AO631">
        <f t="shared" si="176"/>
        <v>-5927.1</v>
      </c>
      <c r="AP631" t="s">
        <v>34</v>
      </c>
      <c r="AQ631" t="str">
        <f t="shared" si="177"/>
        <v>Paid</v>
      </c>
      <c r="AR631" t="s">
        <v>35</v>
      </c>
      <c r="AS631" t="str">
        <f t="shared" si="178"/>
        <v>Completed</v>
      </c>
      <c r="AT631" t="str">
        <f t="shared" si="179"/>
        <v>Clean</v>
      </c>
    </row>
    <row r="632" spans="1:46">
      <c r="A632" t="s">
        <v>2988</v>
      </c>
      <c r="B632">
        <f>COUNTIF($D$2:D632,D632)</f>
        <v>2</v>
      </c>
      <c r="C632" t="str">
        <f>IF(COUNTIF($A:$A,A632)=1,
"Unique",
IF(COUNTIFS($A:$A,A632,$N:$N,N632,$AF:$AF,AF632,$AJ:$AJ,AJ632)&gt;1,
"Exact Duplicate",
"Conflicting Duplicate"))</f>
        <v>Unique</v>
      </c>
      <c r="D632" t="s">
        <v>2443</v>
      </c>
      <c r="E632" t="s">
        <v>1497</v>
      </c>
      <c r="F632" s="3">
        <v>45539</v>
      </c>
      <c r="G632" s="3">
        <v>45569</v>
      </c>
      <c r="H632" s="5" t="str">
        <f t="shared" si="162"/>
        <v>September</v>
      </c>
      <c r="I632" s="5">
        <f t="shared" si="163"/>
        <v>2024</v>
      </c>
      <c r="J632" t="str">
        <f>IF(F632="","Missing Date",
IF(ISNUMBER(F632),"Valid","Invalid Date"))</f>
        <v>Valid</v>
      </c>
      <c r="K632" t="str">
        <f t="shared" si="164"/>
        <v>Valid</v>
      </c>
      <c r="L632">
        <f>G632-F632</f>
        <v>30</v>
      </c>
      <c r="M632" t="s">
        <v>2989</v>
      </c>
      <c r="N632" t="s">
        <v>142</v>
      </c>
      <c r="O632" t="str">
        <f t="shared" si="165"/>
        <v>Priya Menon</v>
      </c>
      <c r="P632" t="s">
        <v>108</v>
      </c>
      <c r="Q632" t="str">
        <f t="shared" si="166"/>
        <v>Corporate</v>
      </c>
      <c r="R632" t="s">
        <v>42</v>
      </c>
      <c r="S632" t="str">
        <f t="shared" si="167"/>
        <v>East</v>
      </c>
      <c r="T632" t="s">
        <v>216</v>
      </c>
      <c r="U632" t="str">
        <f t="shared" si="168"/>
        <v>Assam</v>
      </c>
      <c r="V632" t="s">
        <v>217</v>
      </c>
      <c r="W632" t="str">
        <f t="shared" si="169"/>
        <v>Guwahati</v>
      </c>
      <c r="X632" t="s">
        <v>30</v>
      </c>
      <c r="Y632" t="str">
        <f t="shared" si="170"/>
        <v>Office Supplies</v>
      </c>
      <c r="Z632" t="s">
        <v>31</v>
      </c>
      <c r="AA632" t="str">
        <f t="shared" si="171"/>
        <v>Paper</v>
      </c>
      <c r="AB632" t="s">
        <v>2990</v>
      </c>
      <c r="AC632" t="s">
        <v>67</v>
      </c>
      <c r="AD632" t="str">
        <f t="shared" si="172"/>
        <v>Standard Class</v>
      </c>
      <c r="AE632">
        <v>4</v>
      </c>
      <c r="AF632">
        <v>3047.05</v>
      </c>
      <c r="AG632">
        <v>0.1</v>
      </c>
      <c r="AH632">
        <v>0.1</v>
      </c>
      <c r="AI632" t="str">
        <f t="shared" si="173"/>
        <v>Valid</v>
      </c>
      <c r="AJ632">
        <v>10969.38</v>
      </c>
      <c r="AK632">
        <f t="shared" si="174"/>
        <v>10969.380000000001</v>
      </c>
      <c r="AL632">
        <v>9254.4599999999991</v>
      </c>
      <c r="AM632">
        <v>1714.92</v>
      </c>
      <c r="AN632">
        <f t="shared" si="175"/>
        <v>1714.9200000000019</v>
      </c>
      <c r="AO632">
        <f t="shared" si="176"/>
        <v>-9254.4599999999991</v>
      </c>
      <c r="AP632" t="s">
        <v>34</v>
      </c>
      <c r="AQ632" t="str">
        <f t="shared" si="177"/>
        <v>Paid</v>
      </c>
      <c r="AR632" t="s">
        <v>35</v>
      </c>
      <c r="AS632" t="str">
        <f t="shared" si="178"/>
        <v>Completed</v>
      </c>
      <c r="AT632" t="str">
        <f t="shared" si="179"/>
        <v>Clean</v>
      </c>
    </row>
    <row r="633" spans="1:46">
      <c r="A633" t="s">
        <v>2991</v>
      </c>
      <c r="B633">
        <f>COUNTIF($D$2:D633,D633)</f>
        <v>2</v>
      </c>
      <c r="C633" t="str">
        <f>IF(COUNTIF($A:$A,A633)=1,
"Unique",
IF(COUNTIFS($A:$A,A633,$N:$N,N633,$AF:$AF,AF633,$AJ:$AJ,AJ633)&gt;1,
"Exact Duplicate",
"Conflicting Duplicate"))</f>
        <v>Unique</v>
      </c>
      <c r="D633" t="s">
        <v>1440</v>
      </c>
      <c r="E633" t="s">
        <v>1540</v>
      </c>
      <c r="F633" s="2">
        <v>45569</v>
      </c>
      <c r="G633" s="3">
        <v>45397</v>
      </c>
      <c r="H633" s="5" t="str">
        <f t="shared" si="162"/>
        <v>October</v>
      </c>
      <c r="I633" s="5">
        <f t="shared" si="163"/>
        <v>2024</v>
      </c>
      <c r="J633" t="str">
        <f>IF(F633="","Missing Date",
IF(ISNUMBER(F633),"Valid","Invalid Date"))</f>
        <v>Valid</v>
      </c>
      <c r="K633" t="str">
        <f t="shared" si="164"/>
        <v>Valid</v>
      </c>
      <c r="L633">
        <f>G633-F633</f>
        <v>-172</v>
      </c>
      <c r="M633" t="s">
        <v>2992</v>
      </c>
      <c r="N633" t="s">
        <v>162</v>
      </c>
      <c r="O633" t="str">
        <f t="shared" si="165"/>
        <v>Aarav Sharma</v>
      </c>
      <c r="P633" t="s">
        <v>115</v>
      </c>
      <c r="Q633" t="str">
        <f t="shared" si="166"/>
        <v>Home Office</v>
      </c>
      <c r="R633" t="s">
        <v>73</v>
      </c>
      <c r="S633" t="str">
        <f t="shared" si="167"/>
        <v>West</v>
      </c>
      <c r="T633" t="s">
        <v>28</v>
      </c>
      <c r="U633" t="str">
        <f t="shared" si="168"/>
        <v>Rajasthan</v>
      </c>
      <c r="V633" t="s">
        <v>135</v>
      </c>
      <c r="W633" t="str">
        <f t="shared" si="169"/>
        <v>Udaipur</v>
      </c>
      <c r="X633" t="s">
        <v>45</v>
      </c>
      <c r="Y633" t="str">
        <f t="shared" si="170"/>
        <v>Furniture</v>
      </c>
      <c r="Z633" t="s">
        <v>76</v>
      </c>
      <c r="AA633" t="str">
        <f t="shared" si="171"/>
        <v>Chairs</v>
      </c>
      <c r="AB633" t="s">
        <v>2993</v>
      </c>
      <c r="AC633" t="s">
        <v>67</v>
      </c>
      <c r="AD633" t="str">
        <f t="shared" si="172"/>
        <v>Standard Class</v>
      </c>
      <c r="AE633">
        <v>8</v>
      </c>
      <c r="AF633">
        <v>4362.4799999999996</v>
      </c>
      <c r="AG633">
        <v>0.1</v>
      </c>
      <c r="AH633">
        <v>0.1</v>
      </c>
      <c r="AI633" t="str">
        <f t="shared" si="173"/>
        <v>Valid</v>
      </c>
      <c r="AJ633">
        <v>31409.86</v>
      </c>
      <c r="AK633">
        <f t="shared" si="174"/>
        <v>31409.855999999996</v>
      </c>
      <c r="AL633">
        <v>22523.54</v>
      </c>
      <c r="AM633">
        <v>8886.32</v>
      </c>
      <c r="AN633">
        <f t="shared" si="175"/>
        <v>8886.3159999999953</v>
      </c>
      <c r="AO633">
        <f t="shared" si="176"/>
        <v>-22523.54</v>
      </c>
      <c r="AP633" t="s">
        <v>34</v>
      </c>
      <c r="AQ633" t="str">
        <f t="shared" si="177"/>
        <v>Paid</v>
      </c>
      <c r="AR633" t="s">
        <v>35</v>
      </c>
      <c r="AS633" t="str">
        <f t="shared" si="178"/>
        <v>Completed</v>
      </c>
      <c r="AT633" t="str">
        <f t="shared" si="179"/>
        <v>Clean</v>
      </c>
    </row>
    <row r="634" spans="1:46">
      <c r="A634" t="s">
        <v>2994</v>
      </c>
      <c r="B634">
        <f>COUNTIF($D$2:D634,D634)</f>
        <v>2</v>
      </c>
      <c r="C634" t="str">
        <f>IF(COUNTIF($A:$A,A634)=1,
"Unique",
IF(COUNTIFS($A:$A,A634,$N:$N,N634,$AF:$AF,AF634,$AJ:$AJ,AJ634)&gt;1,
"Exact Duplicate",
"Conflicting Duplicate"))</f>
        <v>Exact Duplicate</v>
      </c>
      <c r="D634" t="s">
        <v>2995</v>
      </c>
      <c r="E634" t="s">
        <v>2996</v>
      </c>
      <c r="F634" s="3">
        <v>45762</v>
      </c>
      <c r="G634" s="3">
        <v>45763</v>
      </c>
      <c r="H634" s="5" t="str">
        <f t="shared" si="162"/>
        <v>April</v>
      </c>
      <c r="I634" s="5">
        <f t="shared" si="163"/>
        <v>2025</v>
      </c>
      <c r="J634" t="str">
        <f>IF(F634="","Missing Date",
IF(ISNUMBER(F634),"Valid","Invalid Date"))</f>
        <v>Valid</v>
      </c>
      <c r="K634" t="str">
        <f t="shared" si="164"/>
        <v>Valid</v>
      </c>
      <c r="L634">
        <f>G634-F634</f>
        <v>1</v>
      </c>
      <c r="M634" t="s">
        <v>2997</v>
      </c>
      <c r="N634" t="s">
        <v>168</v>
      </c>
      <c r="O634" t="str">
        <f t="shared" si="165"/>
        <v>Sneha Kapoor</v>
      </c>
      <c r="P634" t="s">
        <v>41</v>
      </c>
      <c r="Q634" t="str">
        <f t="shared" si="166"/>
        <v>Small Business</v>
      </c>
      <c r="R634" t="s">
        <v>62</v>
      </c>
      <c r="S634" t="str">
        <f t="shared" si="167"/>
        <v>South</v>
      </c>
      <c r="T634" t="s">
        <v>229</v>
      </c>
      <c r="U634" t="str">
        <f t="shared" si="168"/>
        <v>Karnataka</v>
      </c>
      <c r="V634" t="s">
        <v>230</v>
      </c>
      <c r="W634" t="str">
        <f t="shared" si="169"/>
        <v>Bengaluru</v>
      </c>
      <c r="X634" t="s">
        <v>45</v>
      </c>
      <c r="Y634" t="str">
        <f t="shared" si="170"/>
        <v>Furniture</v>
      </c>
      <c r="Z634" t="s">
        <v>65</v>
      </c>
      <c r="AA634" t="str">
        <f t="shared" si="171"/>
        <v>Furnishings</v>
      </c>
      <c r="AB634" t="s">
        <v>2998</v>
      </c>
      <c r="AC634" t="s">
        <v>56</v>
      </c>
      <c r="AD634" t="str">
        <f t="shared" si="172"/>
        <v>First Class</v>
      </c>
      <c r="AE634">
        <v>5</v>
      </c>
      <c r="AF634">
        <v>2850.53</v>
      </c>
      <c r="AG634">
        <v>0</v>
      </c>
      <c r="AH634">
        <v>0</v>
      </c>
      <c r="AI634" t="str">
        <f t="shared" si="173"/>
        <v>Valid</v>
      </c>
      <c r="AJ634">
        <v>14252.65</v>
      </c>
      <c r="AK634">
        <f t="shared" si="174"/>
        <v>14252.650000000001</v>
      </c>
      <c r="AL634">
        <v>11558.31</v>
      </c>
      <c r="AM634">
        <v>2694.34</v>
      </c>
      <c r="AN634">
        <f t="shared" si="175"/>
        <v>2694.340000000002</v>
      </c>
      <c r="AO634">
        <f t="shared" si="176"/>
        <v>-11558.31</v>
      </c>
      <c r="AP634" t="s">
        <v>34</v>
      </c>
      <c r="AQ634" t="str">
        <f t="shared" si="177"/>
        <v>Paid</v>
      </c>
      <c r="AR634" t="s">
        <v>35</v>
      </c>
      <c r="AS634" t="str">
        <f t="shared" si="178"/>
        <v>Completed</v>
      </c>
      <c r="AT634" t="str">
        <f t="shared" si="179"/>
        <v>Clean</v>
      </c>
    </row>
    <row r="635" spans="1:46">
      <c r="A635" t="s">
        <v>2999</v>
      </c>
      <c r="B635">
        <f>COUNTIF($D$2:D635,D635)</f>
        <v>1</v>
      </c>
      <c r="C635" t="str">
        <f>IF(COUNTIF($A:$A,A635)=1,
"Unique",
IF(COUNTIFS($A:$A,A635,$N:$N,N635,$AF:$AF,AF635,$AJ:$AJ,AJ635)&gt;1,
"Exact Duplicate",
"Conflicting Duplicate"))</f>
        <v>Unique</v>
      </c>
      <c r="D635" t="s">
        <v>3000</v>
      </c>
      <c r="E635" t="s">
        <v>3001</v>
      </c>
      <c r="F635" s="3">
        <v>45765</v>
      </c>
      <c r="G635" s="2">
        <v>45767</v>
      </c>
      <c r="H635" s="5" t="str">
        <f t="shared" si="162"/>
        <v>April</v>
      </c>
      <c r="I635" s="5">
        <f t="shared" si="163"/>
        <v>2025</v>
      </c>
      <c r="J635" t="str">
        <f>IF(F635="","Missing Date",
IF(ISNUMBER(F635),"Valid","Invalid Date"))</f>
        <v>Valid</v>
      </c>
      <c r="K635" t="str">
        <f t="shared" si="164"/>
        <v>Valid</v>
      </c>
      <c r="L635">
        <f>G635-F635</f>
        <v>2</v>
      </c>
      <c r="M635" t="s">
        <v>3002</v>
      </c>
      <c r="N635" t="s">
        <v>162</v>
      </c>
      <c r="O635" t="str">
        <f t="shared" si="165"/>
        <v>Aarav Sharma</v>
      </c>
      <c r="P635" t="s">
        <v>41</v>
      </c>
      <c r="Q635" t="str">
        <f t="shared" si="166"/>
        <v>Small Business</v>
      </c>
      <c r="R635" t="s">
        <v>62</v>
      </c>
      <c r="S635" t="str">
        <f t="shared" si="167"/>
        <v>South</v>
      </c>
      <c r="T635" t="s">
        <v>339</v>
      </c>
      <c r="U635" t="str">
        <f t="shared" si="168"/>
        <v>Tamil Nadu</v>
      </c>
      <c r="V635" t="s">
        <v>340</v>
      </c>
      <c r="W635" t="str">
        <f t="shared" si="169"/>
        <v>Chennai</v>
      </c>
      <c r="X635" t="s">
        <v>86</v>
      </c>
      <c r="Y635" t="str">
        <f t="shared" si="170"/>
        <v>Technology</v>
      </c>
      <c r="Z635" t="s">
        <v>87</v>
      </c>
      <c r="AA635" t="str">
        <f t="shared" si="171"/>
        <v>Accessories</v>
      </c>
      <c r="AB635" t="s">
        <v>3003</v>
      </c>
      <c r="AC635" t="s">
        <v>33</v>
      </c>
      <c r="AD635" t="str">
        <f t="shared" si="172"/>
        <v>Second Class</v>
      </c>
      <c r="AE635">
        <v>1</v>
      </c>
      <c r="AF635">
        <v>1626.08</v>
      </c>
      <c r="AG635">
        <v>0.15</v>
      </c>
      <c r="AH635">
        <v>0.15</v>
      </c>
      <c r="AI635" t="str">
        <f t="shared" si="173"/>
        <v>Valid</v>
      </c>
      <c r="AJ635">
        <v>1382.17</v>
      </c>
      <c r="AK635">
        <f t="shared" si="174"/>
        <v>1382.1679999999999</v>
      </c>
      <c r="AL635">
        <v>810.03</v>
      </c>
      <c r="AM635">
        <v>572.14</v>
      </c>
      <c r="AN635">
        <f t="shared" si="175"/>
        <v>572.13799999999992</v>
      </c>
      <c r="AO635">
        <f t="shared" si="176"/>
        <v>-810.03</v>
      </c>
      <c r="AP635" t="s">
        <v>34</v>
      </c>
      <c r="AQ635" t="str">
        <f t="shared" si="177"/>
        <v>Paid</v>
      </c>
      <c r="AR635" t="s">
        <v>35</v>
      </c>
      <c r="AS635" t="str">
        <f t="shared" si="178"/>
        <v>Completed</v>
      </c>
      <c r="AT635" t="str">
        <f t="shared" si="179"/>
        <v>Clean</v>
      </c>
    </row>
    <row r="636" spans="1:46">
      <c r="A636" t="s">
        <v>3004</v>
      </c>
      <c r="B636">
        <f>COUNTIF($D$2:D636,D636)</f>
        <v>1</v>
      </c>
      <c r="C636" t="str">
        <f>IF(COUNTIF($A:$A,A636)=1,
"Unique",
IF(COUNTIFS($A:$A,A636,$N:$N,N636,$AF:$AF,AF636,$AJ:$AJ,AJ636)&gt;1,
"Exact Duplicate",
"Conflicting Duplicate"))</f>
        <v>Unique</v>
      </c>
      <c r="D636" t="s">
        <v>3005</v>
      </c>
      <c r="E636" t="s">
        <v>2178</v>
      </c>
      <c r="F636" s="3">
        <v>45668</v>
      </c>
      <c r="G636" s="2">
        <v>45992</v>
      </c>
      <c r="H636" s="5" t="str">
        <f t="shared" si="162"/>
        <v>January</v>
      </c>
      <c r="I636" s="5">
        <f t="shared" si="163"/>
        <v>2025</v>
      </c>
      <c r="J636" t="str">
        <f>IF(F636="","Missing Date",
IF(ISNUMBER(F636),"Valid","Invalid Date"))</f>
        <v>Valid</v>
      </c>
      <c r="K636" t="str">
        <f t="shared" si="164"/>
        <v>Valid</v>
      </c>
      <c r="L636">
        <f>G636-F636</f>
        <v>324</v>
      </c>
      <c r="M636" t="s">
        <v>3006</v>
      </c>
      <c r="N636" t="s">
        <v>107</v>
      </c>
      <c r="O636" t="str">
        <f t="shared" si="165"/>
        <v>Aditi Sen</v>
      </c>
      <c r="P636" t="s">
        <v>26</v>
      </c>
      <c r="Q636" t="str">
        <f t="shared" si="166"/>
        <v>Consumer</v>
      </c>
      <c r="R636" t="s">
        <v>62</v>
      </c>
      <c r="S636" t="str">
        <f t="shared" si="167"/>
        <v>South</v>
      </c>
      <c r="T636" t="s">
        <v>63</v>
      </c>
      <c r="U636" t="str">
        <f t="shared" si="168"/>
        <v>Telangana</v>
      </c>
      <c r="V636" t="s">
        <v>64</v>
      </c>
      <c r="W636" t="str">
        <f t="shared" si="169"/>
        <v>Hyderabad</v>
      </c>
      <c r="X636" t="s">
        <v>45</v>
      </c>
      <c r="Y636" t="str">
        <f t="shared" si="170"/>
        <v>Furniture</v>
      </c>
      <c r="Z636" t="s">
        <v>76</v>
      </c>
      <c r="AA636" t="str">
        <f t="shared" si="171"/>
        <v>Chairs</v>
      </c>
      <c r="AB636" t="s">
        <v>3007</v>
      </c>
      <c r="AC636" t="s">
        <v>33</v>
      </c>
      <c r="AD636" t="str">
        <f t="shared" si="172"/>
        <v>Second Class</v>
      </c>
      <c r="AE636">
        <v>4</v>
      </c>
      <c r="AF636">
        <v>2427.15</v>
      </c>
      <c r="AG636">
        <v>0.05</v>
      </c>
      <c r="AH636">
        <v>0.05</v>
      </c>
      <c r="AI636" t="str">
        <f t="shared" si="173"/>
        <v>Valid</v>
      </c>
      <c r="AJ636">
        <v>9223.17</v>
      </c>
      <c r="AK636">
        <f t="shared" si="174"/>
        <v>9223.17</v>
      </c>
      <c r="AL636">
        <v>5103.7</v>
      </c>
      <c r="AM636">
        <v>4119.47</v>
      </c>
      <c r="AN636">
        <f t="shared" si="175"/>
        <v>4119.47</v>
      </c>
      <c r="AO636">
        <f t="shared" si="176"/>
        <v>-5103.7</v>
      </c>
      <c r="AP636" t="s">
        <v>34</v>
      </c>
      <c r="AQ636" t="str">
        <f t="shared" si="177"/>
        <v>Paid</v>
      </c>
      <c r="AR636" t="s">
        <v>35</v>
      </c>
      <c r="AS636" t="str">
        <f t="shared" si="178"/>
        <v>Completed</v>
      </c>
      <c r="AT636" t="str">
        <f t="shared" si="179"/>
        <v>Clean</v>
      </c>
    </row>
    <row r="637" spans="1:46">
      <c r="A637" t="s">
        <v>3008</v>
      </c>
      <c r="B637">
        <f>COUNTIF($D$2:D637,D637)</f>
        <v>2</v>
      </c>
      <c r="C637" t="str">
        <f>IF(COUNTIF($A:$A,A637)=1,
"Unique",
IF(COUNTIFS($A:$A,A637,$N:$N,N637,$AF:$AF,AF637,$AJ:$AJ,AJ637)&gt;1,
"Exact Duplicate",
"Conflicting Duplicate"))</f>
        <v>Unique</v>
      </c>
      <c r="D637" t="s">
        <v>2904</v>
      </c>
      <c r="E637" t="s">
        <v>3009</v>
      </c>
      <c r="F637" s="2">
        <v>45432</v>
      </c>
      <c r="G637" s="3">
        <v>45437</v>
      </c>
      <c r="H637" s="5" t="str">
        <f t="shared" si="162"/>
        <v>May</v>
      </c>
      <c r="I637" s="5">
        <f t="shared" si="163"/>
        <v>2024</v>
      </c>
      <c r="J637" t="str">
        <f>IF(F637="","Missing Date",
IF(ISNUMBER(F637),"Valid","Invalid Date"))</f>
        <v>Valid</v>
      </c>
      <c r="K637" t="str">
        <f t="shared" si="164"/>
        <v>Valid</v>
      </c>
      <c r="L637">
        <f>G637-F637</f>
        <v>5</v>
      </c>
      <c r="M637" t="s">
        <v>3010</v>
      </c>
      <c r="N637" t="s">
        <v>40</v>
      </c>
      <c r="O637" t="str">
        <f t="shared" si="165"/>
        <v>Mira Das</v>
      </c>
      <c r="P637" t="s">
        <v>108</v>
      </c>
      <c r="Q637" t="str">
        <f t="shared" si="166"/>
        <v>Corporate</v>
      </c>
      <c r="R637" t="s">
        <v>62</v>
      </c>
      <c r="S637" t="str">
        <f t="shared" si="167"/>
        <v>South</v>
      </c>
      <c r="T637" t="s">
        <v>100</v>
      </c>
      <c r="U637" t="str">
        <f t="shared" si="168"/>
        <v>Andhra Pradesh</v>
      </c>
      <c r="V637" t="s">
        <v>101</v>
      </c>
      <c r="W637" t="str">
        <f t="shared" si="169"/>
        <v>Vijayawada</v>
      </c>
      <c r="X637" t="s">
        <v>45</v>
      </c>
      <c r="Y637" t="str">
        <f t="shared" si="170"/>
        <v>Furniture</v>
      </c>
      <c r="Z637" t="s">
        <v>76</v>
      </c>
      <c r="AA637" t="str">
        <f t="shared" si="171"/>
        <v>Chairs</v>
      </c>
      <c r="AB637" t="s">
        <v>3011</v>
      </c>
      <c r="AC637" t="s">
        <v>48</v>
      </c>
      <c r="AD637" t="str">
        <f t="shared" si="172"/>
        <v>Same Day</v>
      </c>
      <c r="AE637">
        <v>7</v>
      </c>
      <c r="AF637">
        <v>3122.85</v>
      </c>
      <c r="AG637">
        <v>0.25</v>
      </c>
      <c r="AH637">
        <v>0.25</v>
      </c>
      <c r="AI637" t="str">
        <f t="shared" si="173"/>
        <v>Valid</v>
      </c>
      <c r="AJ637">
        <v>16394.96</v>
      </c>
      <c r="AK637">
        <f t="shared" si="174"/>
        <v>16394.962500000001</v>
      </c>
      <c r="AL637">
        <v>10404.17</v>
      </c>
      <c r="AM637">
        <v>5990.79</v>
      </c>
      <c r="AN637">
        <f t="shared" si="175"/>
        <v>5990.7925000000014</v>
      </c>
      <c r="AO637">
        <f t="shared" si="176"/>
        <v>-10404.17</v>
      </c>
      <c r="AP637" t="s">
        <v>34</v>
      </c>
      <c r="AQ637" t="str">
        <f t="shared" si="177"/>
        <v>Paid</v>
      </c>
      <c r="AR637" t="s">
        <v>35</v>
      </c>
      <c r="AS637" t="str">
        <f t="shared" si="178"/>
        <v>Completed</v>
      </c>
      <c r="AT637" t="str">
        <f t="shared" si="179"/>
        <v>Clean</v>
      </c>
    </row>
    <row r="638" spans="1:46">
      <c r="A638" t="s">
        <v>3012</v>
      </c>
      <c r="B638">
        <f>COUNTIF($D$2:D638,D638)</f>
        <v>1</v>
      </c>
      <c r="C638" t="str">
        <f>IF(COUNTIF($A:$A,A638)=1,
"Unique",
IF(COUNTIFS($A:$A,A638,$N:$N,N638,$AF:$AF,AF638,$AJ:$AJ,AJ638)&gt;1,
"Exact Duplicate",
"Conflicting Duplicate"))</f>
        <v>Unique</v>
      </c>
      <c r="D638" t="s">
        <v>3013</v>
      </c>
      <c r="E638" t="s">
        <v>3014</v>
      </c>
      <c r="F638" s="2">
        <v>45332</v>
      </c>
      <c r="G638" s="2">
        <v>45545</v>
      </c>
      <c r="H638" s="5" t="str">
        <f t="shared" si="162"/>
        <v>February</v>
      </c>
      <c r="I638" s="5">
        <f t="shared" si="163"/>
        <v>2024</v>
      </c>
      <c r="J638" t="str">
        <f>IF(F638="","Missing Date",
IF(ISNUMBER(F638),"Valid","Invalid Date"))</f>
        <v>Valid</v>
      </c>
      <c r="K638" t="str">
        <f t="shared" si="164"/>
        <v>Valid</v>
      </c>
      <c r="L638">
        <f>G638-F638</f>
        <v>213</v>
      </c>
      <c r="M638" t="s">
        <v>3015</v>
      </c>
      <c r="N638" t="s">
        <v>72</v>
      </c>
      <c r="O638" t="str">
        <f t="shared" si="165"/>
        <v>Ananya Rao</v>
      </c>
      <c r="P638" t="s">
        <v>26</v>
      </c>
      <c r="Q638" t="str">
        <f t="shared" si="166"/>
        <v>Consumer</v>
      </c>
      <c r="R638" t="s">
        <v>62</v>
      </c>
      <c r="S638" t="str">
        <f t="shared" si="167"/>
        <v>South</v>
      </c>
      <c r="T638" t="s">
        <v>339</v>
      </c>
      <c r="U638" t="str">
        <f t="shared" si="168"/>
        <v>Tamil Nadu</v>
      </c>
      <c r="V638" t="s">
        <v>340</v>
      </c>
      <c r="W638" t="str">
        <f t="shared" si="169"/>
        <v>Chennai</v>
      </c>
      <c r="X638" t="s">
        <v>30</v>
      </c>
      <c r="Y638" t="str">
        <f t="shared" si="170"/>
        <v>Office Supplies</v>
      </c>
      <c r="Z638" t="s">
        <v>31</v>
      </c>
      <c r="AA638" t="str">
        <f t="shared" si="171"/>
        <v>Paper</v>
      </c>
      <c r="AB638" t="s">
        <v>3016</v>
      </c>
      <c r="AC638" t="s">
        <v>67</v>
      </c>
      <c r="AD638" t="str">
        <f t="shared" si="172"/>
        <v>Standard Class</v>
      </c>
      <c r="AE638">
        <v>8</v>
      </c>
      <c r="AF638">
        <v>1910.31</v>
      </c>
      <c r="AG638">
        <v>0.15</v>
      </c>
      <c r="AH638">
        <v>0.15</v>
      </c>
      <c r="AI638" t="str">
        <f t="shared" si="173"/>
        <v>Valid</v>
      </c>
      <c r="AJ638">
        <v>12990.11</v>
      </c>
      <c r="AK638">
        <f t="shared" si="174"/>
        <v>12990.108</v>
      </c>
      <c r="AL638">
        <v>10200.799999999999</v>
      </c>
      <c r="AM638">
        <v>2789.31</v>
      </c>
      <c r="AN638">
        <f t="shared" si="175"/>
        <v>2789.3080000000009</v>
      </c>
      <c r="AO638">
        <f t="shared" si="176"/>
        <v>-10200.799999999999</v>
      </c>
      <c r="AP638" t="s">
        <v>34</v>
      </c>
      <c r="AQ638" t="str">
        <f t="shared" si="177"/>
        <v>Paid</v>
      </c>
      <c r="AR638" t="s">
        <v>35</v>
      </c>
      <c r="AS638" t="str">
        <f t="shared" si="178"/>
        <v>Completed</v>
      </c>
      <c r="AT638" t="str">
        <f t="shared" si="179"/>
        <v>Clean</v>
      </c>
    </row>
    <row r="639" spans="1:46">
      <c r="A639" t="s">
        <v>3017</v>
      </c>
      <c r="B639">
        <f>COUNTIF($D$2:D639,D639)</f>
        <v>1</v>
      </c>
      <c r="C639" t="str">
        <f>IF(COUNTIF($A:$A,A639)=1,
"Unique",
IF(COUNTIFS($A:$A,A639,$N:$N,N639,$AF:$AF,AF639,$AJ:$AJ,AJ639)&gt;1,
"Exact Duplicate",
"Conflicting Duplicate"))</f>
        <v>Unique</v>
      </c>
      <c r="D639" t="s">
        <v>3018</v>
      </c>
      <c r="E639" t="s">
        <v>3019</v>
      </c>
      <c r="F639" s="3">
        <v>45438</v>
      </c>
      <c r="G639" s="3">
        <v>45438</v>
      </c>
      <c r="H639" s="5" t="str">
        <f t="shared" si="162"/>
        <v>May</v>
      </c>
      <c r="I639" s="5">
        <f t="shared" si="163"/>
        <v>2024</v>
      </c>
      <c r="J639" t="str">
        <f>IF(F639="","Missing Date",
IF(ISNUMBER(F639),"Valid","Invalid Date"))</f>
        <v>Valid</v>
      </c>
      <c r="K639" t="str">
        <f t="shared" si="164"/>
        <v>Valid</v>
      </c>
      <c r="L639">
        <f>G639-F639</f>
        <v>0</v>
      </c>
      <c r="M639" t="s">
        <v>3020</v>
      </c>
      <c r="N639" t="s">
        <v>148</v>
      </c>
      <c r="O639" t="str">
        <f t="shared" si="165"/>
        <v>Rahul Verma</v>
      </c>
      <c r="P639" t="s">
        <v>41</v>
      </c>
      <c r="Q639" t="str">
        <f t="shared" si="166"/>
        <v>Small Business</v>
      </c>
      <c r="R639" t="s">
        <v>73</v>
      </c>
      <c r="S639" t="str">
        <f t="shared" si="167"/>
        <v>West</v>
      </c>
      <c r="T639" t="s">
        <v>249</v>
      </c>
      <c r="U639" t="str">
        <f t="shared" si="168"/>
        <v>Goa</v>
      </c>
      <c r="V639" t="s">
        <v>250</v>
      </c>
      <c r="W639" t="str">
        <f t="shared" si="169"/>
        <v>Panaji</v>
      </c>
      <c r="X639" t="s">
        <v>86</v>
      </c>
      <c r="Y639" t="str">
        <f t="shared" si="170"/>
        <v>Technology</v>
      </c>
      <c r="Z639" t="s">
        <v>94</v>
      </c>
      <c r="AA639" t="str">
        <f t="shared" si="171"/>
        <v>Copiers</v>
      </c>
      <c r="AB639" t="s">
        <v>3021</v>
      </c>
      <c r="AC639" t="s">
        <v>56</v>
      </c>
      <c r="AD639" t="str">
        <f t="shared" si="172"/>
        <v>First Class</v>
      </c>
      <c r="AE639">
        <v>2</v>
      </c>
      <c r="AF639">
        <v>3192.47</v>
      </c>
      <c r="AG639">
        <v>0.2</v>
      </c>
      <c r="AH639">
        <v>0.2</v>
      </c>
      <c r="AI639" t="str">
        <f t="shared" si="173"/>
        <v>Valid</v>
      </c>
      <c r="AJ639">
        <v>5107.95</v>
      </c>
      <c r="AK639">
        <f t="shared" si="174"/>
        <v>5107.9520000000002</v>
      </c>
      <c r="AL639">
        <v>3133.08</v>
      </c>
      <c r="AM639">
        <v>1974.87</v>
      </c>
      <c r="AN639">
        <f t="shared" si="175"/>
        <v>1974.8720000000003</v>
      </c>
      <c r="AO639">
        <f t="shared" si="176"/>
        <v>-3133.08</v>
      </c>
      <c r="AP639" t="s">
        <v>34</v>
      </c>
      <c r="AQ639" t="str">
        <f t="shared" si="177"/>
        <v>Paid</v>
      </c>
      <c r="AR639" t="s">
        <v>35</v>
      </c>
      <c r="AS639" t="str">
        <f t="shared" si="178"/>
        <v>Completed</v>
      </c>
      <c r="AT639" t="str">
        <f t="shared" si="179"/>
        <v>Clean</v>
      </c>
    </row>
    <row r="640" spans="1:46">
      <c r="A640" t="s">
        <v>3022</v>
      </c>
      <c r="B640">
        <f>COUNTIF($D$2:D640,D640)</f>
        <v>3</v>
      </c>
      <c r="C640" t="str">
        <f>IF(COUNTIF($A:$A,A640)=1,
"Unique",
IF(COUNTIFS($A:$A,A640,$N:$N,N640,$AF:$AF,AF640,$AJ:$AJ,AJ640)&gt;1,
"Exact Duplicate",
"Conflicting Duplicate"))</f>
        <v>Unique</v>
      </c>
      <c r="D640" t="s">
        <v>2870</v>
      </c>
      <c r="E640" t="s">
        <v>3023</v>
      </c>
      <c r="F640" s="2">
        <v>45317</v>
      </c>
      <c r="G640" s="3">
        <v>45322</v>
      </c>
      <c r="H640" s="5" t="str">
        <f t="shared" si="162"/>
        <v>January</v>
      </c>
      <c r="I640" s="5">
        <f t="shared" si="163"/>
        <v>2024</v>
      </c>
      <c r="J640" t="str">
        <f>IF(F640="","Missing Date",
IF(ISNUMBER(F640),"Valid","Invalid Date"))</f>
        <v>Valid</v>
      </c>
      <c r="K640" t="str">
        <f t="shared" si="164"/>
        <v>Valid</v>
      </c>
      <c r="L640">
        <f>G640-F640</f>
        <v>5</v>
      </c>
      <c r="M640" t="s">
        <v>3024</v>
      </c>
      <c r="N640" t="s">
        <v>25</v>
      </c>
      <c r="O640" t="str">
        <f t="shared" si="165"/>
        <v>Karan Malhotra</v>
      </c>
      <c r="P640" t="s">
        <v>108</v>
      </c>
      <c r="Q640" t="str">
        <f t="shared" si="166"/>
        <v>Corporate</v>
      </c>
      <c r="R640" t="s">
        <v>62</v>
      </c>
      <c r="S640" t="str">
        <f t="shared" si="167"/>
        <v>South</v>
      </c>
      <c r="T640" t="s">
        <v>242</v>
      </c>
      <c r="U640" t="str">
        <f t="shared" si="168"/>
        <v>Kerala</v>
      </c>
      <c r="V640" t="s">
        <v>243</v>
      </c>
      <c r="W640" t="str">
        <f t="shared" si="169"/>
        <v>Kochi</v>
      </c>
      <c r="X640" t="s">
        <v>30</v>
      </c>
      <c r="Y640" t="str">
        <f t="shared" si="170"/>
        <v>Office Supplies</v>
      </c>
      <c r="Z640" t="s">
        <v>156</v>
      </c>
      <c r="AA640" t="str">
        <f t="shared" si="171"/>
        <v>Storage</v>
      </c>
      <c r="AB640" t="s">
        <v>3025</v>
      </c>
      <c r="AC640" t="s">
        <v>33</v>
      </c>
      <c r="AD640" t="str">
        <f t="shared" si="172"/>
        <v>Second Class</v>
      </c>
      <c r="AE640">
        <v>3</v>
      </c>
      <c r="AF640">
        <v>3224.32</v>
      </c>
      <c r="AG640">
        <v>0.2</v>
      </c>
      <c r="AH640">
        <v>0.2</v>
      </c>
      <c r="AI640" t="str">
        <f t="shared" si="173"/>
        <v>Valid</v>
      </c>
      <c r="AJ640">
        <v>7738.37</v>
      </c>
      <c r="AK640">
        <f t="shared" si="174"/>
        <v>7738.3680000000013</v>
      </c>
      <c r="AL640">
        <v>4626.8500000000004</v>
      </c>
      <c r="AM640">
        <v>3111.52</v>
      </c>
      <c r="AN640">
        <f t="shared" si="175"/>
        <v>3111.5180000000009</v>
      </c>
      <c r="AO640">
        <f t="shared" si="176"/>
        <v>-4626.8500000000004</v>
      </c>
      <c r="AP640" t="s">
        <v>200</v>
      </c>
      <c r="AQ640" t="str">
        <f t="shared" si="177"/>
        <v>Failed</v>
      </c>
      <c r="AR640" t="s">
        <v>125</v>
      </c>
      <c r="AS640" t="str">
        <f t="shared" si="178"/>
        <v>Returned</v>
      </c>
      <c r="AT640" t="str">
        <f t="shared" si="179"/>
        <v>Clean</v>
      </c>
    </row>
    <row r="641" spans="1:46">
      <c r="A641" t="s">
        <v>3026</v>
      </c>
      <c r="B641">
        <f>COUNTIF($D$2:D641,D641)</f>
        <v>1</v>
      </c>
      <c r="C641" t="str">
        <f>IF(COUNTIF($A:$A,A641)=1,
"Unique",
IF(COUNTIFS($A:$A,A641,$N:$N,N641,$AF:$AF,AF641,$AJ:$AJ,AJ641)&gt;1,
"Exact Duplicate",
"Conflicting Duplicate"))</f>
        <v>Unique</v>
      </c>
      <c r="D641" t="s">
        <v>3027</v>
      </c>
      <c r="E641" t="s">
        <v>1871</v>
      </c>
      <c r="F641" s="3">
        <v>45653</v>
      </c>
      <c r="G641" s="3">
        <v>45657</v>
      </c>
      <c r="H641" s="5" t="str">
        <f t="shared" si="162"/>
        <v>December</v>
      </c>
      <c r="I641" s="5">
        <f t="shared" si="163"/>
        <v>2024</v>
      </c>
      <c r="J641" t="str">
        <f>IF(F641="","Missing Date",
IF(ISNUMBER(F641),"Valid","Invalid Date"))</f>
        <v>Valid</v>
      </c>
      <c r="K641" t="str">
        <f t="shared" si="164"/>
        <v>Valid</v>
      </c>
      <c r="L641">
        <f>G641-F641</f>
        <v>4</v>
      </c>
      <c r="M641" t="s">
        <v>3028</v>
      </c>
      <c r="N641" t="s">
        <v>53</v>
      </c>
      <c r="O641" t="str">
        <f t="shared" si="165"/>
        <v>Isha Nair</v>
      </c>
      <c r="P641" t="s">
        <v>41</v>
      </c>
      <c r="Q641" t="str">
        <f t="shared" si="166"/>
        <v>Small Business</v>
      </c>
      <c r="R641" t="s">
        <v>42</v>
      </c>
      <c r="S641" t="str">
        <f t="shared" si="167"/>
        <v>East</v>
      </c>
      <c r="T641" t="s">
        <v>43</v>
      </c>
      <c r="U641" t="str">
        <f t="shared" si="168"/>
        <v>Odisha</v>
      </c>
      <c r="V641" t="s">
        <v>44</v>
      </c>
      <c r="W641" t="str">
        <f t="shared" si="169"/>
        <v>Bhubaneswar</v>
      </c>
      <c r="X641" t="s">
        <v>45</v>
      </c>
      <c r="Y641" t="str">
        <f t="shared" si="170"/>
        <v>Furniture</v>
      </c>
      <c r="Z641" t="s">
        <v>76</v>
      </c>
      <c r="AA641" t="str">
        <f t="shared" si="171"/>
        <v>Chairs</v>
      </c>
      <c r="AB641" t="s">
        <v>3029</v>
      </c>
      <c r="AC641" t="s">
        <v>33</v>
      </c>
      <c r="AD641" t="str">
        <f t="shared" si="172"/>
        <v>Second Class</v>
      </c>
      <c r="AE641">
        <v>1</v>
      </c>
      <c r="AF641">
        <v>1594.7</v>
      </c>
      <c r="AG641">
        <v>0.05</v>
      </c>
      <c r="AH641">
        <v>0.05</v>
      </c>
      <c r="AI641" t="str">
        <f t="shared" si="173"/>
        <v>Valid</v>
      </c>
      <c r="AJ641">
        <v>1514.96</v>
      </c>
      <c r="AK641">
        <f t="shared" si="174"/>
        <v>1514.9649999999999</v>
      </c>
      <c r="AL641">
        <v>1046.17</v>
      </c>
      <c r="AM641">
        <v>468.79</v>
      </c>
      <c r="AN641">
        <f t="shared" si="175"/>
        <v>468.79499999999985</v>
      </c>
      <c r="AO641">
        <f t="shared" si="176"/>
        <v>-1046.17</v>
      </c>
      <c r="AP641" t="s">
        <v>34</v>
      </c>
      <c r="AQ641" t="str">
        <f t="shared" si="177"/>
        <v>Paid</v>
      </c>
      <c r="AR641" t="s">
        <v>35</v>
      </c>
      <c r="AS641" t="str">
        <f t="shared" si="178"/>
        <v>Completed</v>
      </c>
      <c r="AT641" t="str">
        <f t="shared" si="179"/>
        <v>Clean</v>
      </c>
    </row>
    <row r="642" spans="1:46">
      <c r="A642" t="s">
        <v>3030</v>
      </c>
      <c r="B642">
        <f>COUNTIF($D$2:D642,D642)</f>
        <v>1</v>
      </c>
      <c r="C642" t="str">
        <f>IF(COUNTIF($A:$A,A642)=1,
"Unique",
IF(COUNTIFS($A:$A,A642,$N:$N,N642,$AF:$AF,AF642,$AJ:$AJ,AJ642)&gt;1,
"Exact Duplicate",
"Conflicting Duplicate"))</f>
        <v>Unique</v>
      </c>
      <c r="D642" t="s">
        <v>3031</v>
      </c>
      <c r="E642" t="s">
        <v>3032</v>
      </c>
      <c r="F642" s="3">
        <v>45671</v>
      </c>
      <c r="G642" s="2">
        <v>45674</v>
      </c>
      <c r="H642" s="5" t="str">
        <f t="shared" si="162"/>
        <v>January</v>
      </c>
      <c r="I642" s="5">
        <f t="shared" si="163"/>
        <v>2025</v>
      </c>
      <c r="J642" t="str">
        <f>IF(F642="","Missing Date",
IF(ISNUMBER(F642),"Valid","Invalid Date"))</f>
        <v>Valid</v>
      </c>
      <c r="K642" t="str">
        <f t="shared" si="164"/>
        <v>Valid</v>
      </c>
      <c r="L642">
        <f>G642-F642</f>
        <v>3</v>
      </c>
      <c r="M642" t="s">
        <v>3033</v>
      </c>
      <c r="N642" t="s">
        <v>83</v>
      </c>
      <c r="O642" t="str">
        <f t="shared" si="165"/>
        <v>Vikram Iyer</v>
      </c>
      <c r="P642" t="s">
        <v>26</v>
      </c>
      <c r="Q642" t="str">
        <f t="shared" si="166"/>
        <v>Consumer</v>
      </c>
      <c r="R642" t="s">
        <v>73</v>
      </c>
      <c r="S642" t="str">
        <f t="shared" si="167"/>
        <v>West</v>
      </c>
      <c r="T642" t="s">
        <v>249</v>
      </c>
      <c r="U642" t="str">
        <f t="shared" si="168"/>
        <v>Goa</v>
      </c>
      <c r="V642" t="s">
        <v>250</v>
      </c>
      <c r="W642" t="str">
        <f t="shared" si="169"/>
        <v>Panaji</v>
      </c>
      <c r="X642" t="s">
        <v>30</v>
      </c>
      <c r="Y642" t="str">
        <f t="shared" si="170"/>
        <v>Office Supplies</v>
      </c>
      <c r="Z642" t="s">
        <v>156</v>
      </c>
      <c r="AA642" t="str">
        <f t="shared" si="171"/>
        <v>Storage</v>
      </c>
      <c r="AB642" t="s">
        <v>3034</v>
      </c>
      <c r="AC642" t="s">
        <v>56</v>
      </c>
      <c r="AD642" t="str">
        <f t="shared" si="172"/>
        <v>First Class</v>
      </c>
      <c r="AE642">
        <v>1</v>
      </c>
      <c r="AF642">
        <v>1584.12</v>
      </c>
      <c r="AG642">
        <v>0.2</v>
      </c>
      <c r="AH642">
        <v>0.2</v>
      </c>
      <c r="AI642" t="str">
        <f t="shared" si="173"/>
        <v>Valid</v>
      </c>
      <c r="AJ642">
        <v>1267.3</v>
      </c>
      <c r="AK642">
        <f t="shared" si="174"/>
        <v>1267.296</v>
      </c>
      <c r="AL642">
        <v>923.53</v>
      </c>
      <c r="AM642">
        <v>343.77</v>
      </c>
      <c r="AN642">
        <f t="shared" si="175"/>
        <v>343.76600000000008</v>
      </c>
      <c r="AO642">
        <f t="shared" si="176"/>
        <v>-923.53</v>
      </c>
      <c r="AP642" t="s">
        <v>34</v>
      </c>
      <c r="AQ642" t="str">
        <f t="shared" si="177"/>
        <v>Paid</v>
      </c>
      <c r="AR642" t="s">
        <v>35</v>
      </c>
      <c r="AS642" t="str">
        <f t="shared" si="178"/>
        <v>Completed</v>
      </c>
      <c r="AT642" t="str">
        <f t="shared" si="179"/>
        <v>Clean</v>
      </c>
    </row>
    <row r="643" spans="1:46">
      <c r="A643" t="s">
        <v>3035</v>
      </c>
      <c r="B643">
        <f>COUNTIF($D$2:D643,D643)</f>
        <v>1</v>
      </c>
      <c r="C643" t="str">
        <f>IF(COUNTIF($A:$A,A643)=1,
"Unique",
IF(COUNTIFS($A:$A,A643,$N:$N,N643,$AF:$AF,AF643,$AJ:$AJ,AJ643)&gt;1,
"Exact Duplicate",
"Conflicting Duplicate"))</f>
        <v>Unique</v>
      </c>
      <c r="D643" t="s">
        <v>3036</v>
      </c>
      <c r="E643" t="s">
        <v>1962</v>
      </c>
      <c r="F643" s="3">
        <v>45904</v>
      </c>
      <c r="G643" s="3">
        <v>45761</v>
      </c>
      <c r="H643" s="5" t="str">
        <f t="shared" ref="H643:H706" si="180">TEXT(DATE(2024,MONTH(F643),1),"MMMM")</f>
        <v>September</v>
      </c>
      <c r="I643" s="5">
        <f t="shared" ref="I643:I706" si="181">YEAR(F643)</f>
        <v>2025</v>
      </c>
      <c r="J643" t="str">
        <f>IF(F643="","Missing Date",
IF(ISNUMBER(F643),"Valid","Invalid Date"))</f>
        <v>Valid</v>
      </c>
      <c r="K643" t="str">
        <f t="shared" ref="K643:K706" si="182">IF(G643="","Missing Date",
IF(ISNUMBER(G643),"Valid","Invalid Date"))</f>
        <v>Valid</v>
      </c>
      <c r="L643">
        <f>G643-F643</f>
        <v>-143</v>
      </c>
      <c r="M643" t="s">
        <v>3037</v>
      </c>
      <c r="N643" t="s">
        <v>25</v>
      </c>
      <c r="O643" t="str">
        <f t="shared" ref="O643:O706" si="183">TRIM(PROPER(CLEAN(N643)))</f>
        <v>Karan Malhotra</v>
      </c>
      <c r="P643" t="s">
        <v>26</v>
      </c>
      <c r="Q643" t="str">
        <f t="shared" ref="Q643:Q706" si="184">TRIM(PROPER(CLEAN(P643)))</f>
        <v>Consumer</v>
      </c>
      <c r="R643" t="s">
        <v>27</v>
      </c>
      <c r="S643" t="str">
        <f t="shared" ref="S643:S706" si="185">TRIM(PROPER(CLEAN(R643)))</f>
        <v>North</v>
      </c>
      <c r="T643" t="s">
        <v>506</v>
      </c>
      <c r="U643" t="str">
        <f t="shared" ref="U643:U706" si="186">TRIM(PROPER(CLEAN(T643)))</f>
        <v>Delhi</v>
      </c>
      <c r="V643" t="s">
        <v>507</v>
      </c>
      <c r="W643" t="str">
        <f t="shared" ref="W643:W706" si="187">TRIM(PROPER(CLEAN(V643)))</f>
        <v>New Delhi</v>
      </c>
      <c r="X643" t="s">
        <v>45</v>
      </c>
      <c r="Y643" t="str">
        <f t="shared" ref="Y643:Y706" si="188">TRIM(PROPER(CLEAN(X643)))</f>
        <v>Furniture</v>
      </c>
      <c r="Z643" t="s">
        <v>65</v>
      </c>
      <c r="AA643" t="str">
        <f t="shared" ref="AA643:AA706" si="189">TRIM(PROPER(CLEAN(Z643)))</f>
        <v>Furnishings</v>
      </c>
      <c r="AB643" t="s">
        <v>3038</v>
      </c>
      <c r="AC643" t="s">
        <v>48</v>
      </c>
      <c r="AD643" t="str">
        <f t="shared" ref="AD643:AD706" si="190">TRIM(PROPER(CLEAN(AC643)))</f>
        <v>Same Day</v>
      </c>
      <c r="AE643">
        <v>2</v>
      </c>
      <c r="AF643">
        <v>3202.87</v>
      </c>
      <c r="AG643">
        <v>0</v>
      </c>
      <c r="AH643">
        <v>0</v>
      </c>
      <c r="AI643" t="str">
        <f t="shared" ref="AI643:AI706" si="191">IF(AG643="","Missing Discount",IF(AG643&lt;0,"Invalid - Negative Discount",IF(AG643&gt;1,"Invalid - Above Range","Valid")))</f>
        <v>Valid</v>
      </c>
      <c r="AJ643">
        <v>6405.74</v>
      </c>
      <c r="AK643">
        <f t="shared" ref="AK643:AK706" si="192">AE643*AF643*(1-AH643)</f>
        <v>6405.74</v>
      </c>
      <c r="AL643">
        <v>3561.87</v>
      </c>
      <c r="AM643">
        <v>2843.87</v>
      </c>
      <c r="AN643">
        <f t="shared" ref="AN643:AN706" si="193">AK643-AL643</f>
        <v>2843.87</v>
      </c>
      <c r="AO643">
        <f t="shared" ref="AO643:AO706" si="194">AN643-AK643</f>
        <v>-3561.87</v>
      </c>
      <c r="AP643" t="s">
        <v>34</v>
      </c>
      <c r="AQ643" t="str">
        <f t="shared" ref="AQ643:AQ706" si="195">TRIM(PROPER(CLEAN(AP643)))</f>
        <v>Paid</v>
      </c>
      <c r="AR643" t="s">
        <v>35</v>
      </c>
      <c r="AS643" t="str">
        <f t="shared" ref="AS643:AS706" si="196">TRIM(PROPER(CLEAN(AR643)))</f>
        <v>Completed</v>
      </c>
      <c r="AT643" t="str">
        <f t="shared" ref="AT643:AT706" si="197">IF(OR(AH643="Unknown",AJ643="Unknown",AM643="Unknown",A643="Unknown"),"Needs Review","Clean")</f>
        <v>Clean</v>
      </c>
    </row>
    <row r="644" spans="1:46">
      <c r="A644" t="s">
        <v>3039</v>
      </c>
      <c r="B644">
        <f>COUNTIF($D$2:D644,D644)</f>
        <v>2</v>
      </c>
      <c r="C644" t="str">
        <f>IF(COUNTIF($A:$A,A644)=1,
"Unique",
IF(COUNTIFS($A:$A,A644,$N:$N,N644,$AF:$AF,AF644,$AJ:$AJ,AJ644)&gt;1,
"Exact Duplicate",
"Conflicting Duplicate"))</f>
        <v>Unique</v>
      </c>
      <c r="D644" t="s">
        <v>1950</v>
      </c>
      <c r="E644" t="s">
        <v>37</v>
      </c>
      <c r="F644" s="3">
        <v>45533</v>
      </c>
      <c r="G644" s="3">
        <v>45535</v>
      </c>
      <c r="H644" s="5" t="str">
        <f t="shared" si="180"/>
        <v>August</v>
      </c>
      <c r="I644" s="5">
        <f t="shared" si="181"/>
        <v>2024</v>
      </c>
      <c r="J644" t="str">
        <f>IF(F644="","Missing Date",
IF(ISNUMBER(F644),"Valid","Invalid Date"))</f>
        <v>Valid</v>
      </c>
      <c r="K644" t="str">
        <f t="shared" si="182"/>
        <v>Valid</v>
      </c>
      <c r="L644">
        <f>G644-F644</f>
        <v>2</v>
      </c>
      <c r="M644" t="s">
        <v>3040</v>
      </c>
      <c r="N644" t="s">
        <v>53</v>
      </c>
      <c r="O644" t="str">
        <f t="shared" si="183"/>
        <v>Isha Nair</v>
      </c>
      <c r="P644" t="s">
        <v>115</v>
      </c>
      <c r="Q644" t="str">
        <f t="shared" si="184"/>
        <v>Home Office</v>
      </c>
      <c r="R644" t="s">
        <v>42</v>
      </c>
      <c r="S644" t="str">
        <f t="shared" si="185"/>
        <v>East</v>
      </c>
      <c r="T644" t="s">
        <v>216</v>
      </c>
      <c r="U644" t="str">
        <f t="shared" si="186"/>
        <v>Assam</v>
      </c>
      <c r="V644" t="s">
        <v>217</v>
      </c>
      <c r="W644" t="str">
        <f t="shared" si="187"/>
        <v>Guwahati</v>
      </c>
      <c r="X644" t="s">
        <v>30</v>
      </c>
      <c r="Y644" t="str">
        <f t="shared" si="188"/>
        <v>Office Supplies</v>
      </c>
      <c r="Z644" t="s">
        <v>3041</v>
      </c>
      <c r="AA644" t="str">
        <f t="shared" si="189"/>
        <v>Binders</v>
      </c>
      <c r="AB644" t="s">
        <v>3042</v>
      </c>
      <c r="AC644" t="s">
        <v>33</v>
      </c>
      <c r="AD644" t="str">
        <f t="shared" si="190"/>
        <v>Second Class</v>
      </c>
      <c r="AE644">
        <v>9</v>
      </c>
      <c r="AF644">
        <v>1275.21</v>
      </c>
      <c r="AG644">
        <v>0.25</v>
      </c>
      <c r="AH644">
        <v>0.25</v>
      </c>
      <c r="AI644" t="str">
        <f t="shared" si="191"/>
        <v>Valid</v>
      </c>
      <c r="AJ644">
        <v>8607.67</v>
      </c>
      <c r="AK644">
        <f t="shared" si="192"/>
        <v>8607.6674999999996</v>
      </c>
      <c r="AL644">
        <v>5337.64</v>
      </c>
      <c r="AM644">
        <v>3270.03</v>
      </c>
      <c r="AN644">
        <f t="shared" si="193"/>
        <v>3270.0274999999992</v>
      </c>
      <c r="AO644">
        <f t="shared" si="194"/>
        <v>-5337.64</v>
      </c>
      <c r="AP644" t="s">
        <v>200</v>
      </c>
      <c r="AQ644" t="str">
        <f t="shared" si="195"/>
        <v>Failed</v>
      </c>
      <c r="AR644" t="s">
        <v>125</v>
      </c>
      <c r="AS644" t="str">
        <f t="shared" si="196"/>
        <v>Returned</v>
      </c>
      <c r="AT644" t="str">
        <f t="shared" si="197"/>
        <v>Clean</v>
      </c>
    </row>
    <row r="645" spans="1:46">
      <c r="A645" t="s">
        <v>3043</v>
      </c>
      <c r="B645">
        <f>COUNTIF($D$2:D645,D645)</f>
        <v>1</v>
      </c>
      <c r="C645" t="str">
        <f>IF(COUNTIF($A:$A,A645)=1,
"Unique",
IF(COUNTIFS($A:$A,A645,$N:$N,N645,$AF:$AF,AF645,$AJ:$AJ,AJ645)&gt;1,
"Exact Duplicate",
"Conflicting Duplicate"))</f>
        <v>Unique</v>
      </c>
      <c r="D645" t="s">
        <v>3044</v>
      </c>
      <c r="E645" t="s">
        <v>3045</v>
      </c>
      <c r="F645" s="3">
        <v>45414</v>
      </c>
      <c r="G645" s="3">
        <v>45335</v>
      </c>
      <c r="H645" s="5" t="str">
        <f t="shared" si="180"/>
        <v>May</v>
      </c>
      <c r="I645" s="5">
        <f t="shared" si="181"/>
        <v>2024</v>
      </c>
      <c r="J645" t="str">
        <f>IF(F645="","Missing Date",
IF(ISNUMBER(F645),"Valid","Invalid Date"))</f>
        <v>Valid</v>
      </c>
      <c r="K645" t="str">
        <f t="shared" si="182"/>
        <v>Valid</v>
      </c>
      <c r="L645">
        <f>G645-F645</f>
        <v>-79</v>
      </c>
      <c r="M645" t="s">
        <v>1096</v>
      </c>
      <c r="N645" t="s">
        <v>162</v>
      </c>
      <c r="O645" t="str">
        <f t="shared" si="183"/>
        <v>Aarav Sharma</v>
      </c>
      <c r="P645" t="s">
        <v>115</v>
      </c>
      <c r="Q645" t="str">
        <f t="shared" si="184"/>
        <v>Home Office</v>
      </c>
      <c r="R645" t="s">
        <v>27</v>
      </c>
      <c r="S645" t="str">
        <f t="shared" si="185"/>
        <v>North</v>
      </c>
      <c r="T645" t="s">
        <v>174</v>
      </c>
      <c r="U645" t="str">
        <f t="shared" si="186"/>
        <v>Uttar Pradesh</v>
      </c>
      <c r="V645" t="s">
        <v>175</v>
      </c>
      <c r="W645" t="str">
        <f t="shared" si="187"/>
        <v>Noida</v>
      </c>
      <c r="X645" t="s">
        <v>30</v>
      </c>
      <c r="Y645" t="str">
        <f t="shared" si="188"/>
        <v>Office Supplies</v>
      </c>
      <c r="Z645" t="s">
        <v>109</v>
      </c>
      <c r="AA645" t="str">
        <f t="shared" si="189"/>
        <v>Labels</v>
      </c>
      <c r="AB645" t="s">
        <v>3046</v>
      </c>
      <c r="AC645" t="s">
        <v>67</v>
      </c>
      <c r="AD645" t="str">
        <f t="shared" si="190"/>
        <v>Standard Class</v>
      </c>
      <c r="AE645">
        <v>8</v>
      </c>
      <c r="AF645">
        <v>3871.18</v>
      </c>
      <c r="AG645">
        <v>0.15</v>
      </c>
      <c r="AH645">
        <v>0.15</v>
      </c>
      <c r="AI645" t="str">
        <f t="shared" si="191"/>
        <v>Valid</v>
      </c>
      <c r="AJ645">
        <v>26324.02</v>
      </c>
      <c r="AK645">
        <f t="shared" si="192"/>
        <v>26324.023999999998</v>
      </c>
      <c r="AL645">
        <v>16277.96</v>
      </c>
      <c r="AM645">
        <v>10046.06</v>
      </c>
      <c r="AN645">
        <f t="shared" si="193"/>
        <v>10046.063999999998</v>
      </c>
      <c r="AO645">
        <f t="shared" si="194"/>
        <v>-16277.96</v>
      </c>
      <c r="AP645" t="s">
        <v>200</v>
      </c>
      <c r="AQ645" t="str">
        <f t="shared" si="195"/>
        <v>Failed</v>
      </c>
      <c r="AR645" t="s">
        <v>125</v>
      </c>
      <c r="AS645" t="str">
        <f t="shared" si="196"/>
        <v>Returned</v>
      </c>
      <c r="AT645" t="str">
        <f t="shared" si="197"/>
        <v>Clean</v>
      </c>
    </row>
    <row r="646" spans="1:46">
      <c r="A646" t="s">
        <v>3047</v>
      </c>
      <c r="B646">
        <f>COUNTIF($D$2:D646,D646)</f>
        <v>3</v>
      </c>
      <c r="C646" t="str">
        <f>IF(COUNTIF($A:$A,A646)=1,
"Unique",
IF(COUNTIFS($A:$A,A646,$N:$N,N646,$AF:$AF,AF646,$AJ:$AJ,AJ646)&gt;1,
"Exact Duplicate",
"Conflicting Duplicate"))</f>
        <v>Unique</v>
      </c>
      <c r="D646" t="s">
        <v>2591</v>
      </c>
      <c r="E646" t="s">
        <v>3048</v>
      </c>
      <c r="F646" s="3">
        <v>45934</v>
      </c>
      <c r="G646" s="3">
        <v>45764</v>
      </c>
      <c r="H646" s="5" t="str">
        <f t="shared" si="180"/>
        <v>October</v>
      </c>
      <c r="I646" s="5">
        <f t="shared" si="181"/>
        <v>2025</v>
      </c>
      <c r="J646" t="str">
        <f>IF(F646="","Missing Date",
IF(ISNUMBER(F646),"Valid","Invalid Date"))</f>
        <v>Valid</v>
      </c>
      <c r="K646" t="str">
        <f t="shared" si="182"/>
        <v>Valid</v>
      </c>
      <c r="L646">
        <f>G646-F646</f>
        <v>-170</v>
      </c>
      <c r="M646" t="s">
        <v>3049</v>
      </c>
      <c r="N646" t="s">
        <v>83</v>
      </c>
      <c r="O646" t="str">
        <f t="shared" si="183"/>
        <v>Vikram Iyer</v>
      </c>
      <c r="P646" t="s">
        <v>26</v>
      </c>
      <c r="Q646" t="str">
        <f t="shared" si="184"/>
        <v>Consumer</v>
      </c>
      <c r="R646" t="s">
        <v>42</v>
      </c>
      <c r="S646" t="str">
        <f t="shared" si="185"/>
        <v>East</v>
      </c>
      <c r="T646" t="s">
        <v>121</v>
      </c>
      <c r="U646" t="str">
        <f t="shared" si="186"/>
        <v>West Bengal</v>
      </c>
      <c r="V646" t="s">
        <v>122</v>
      </c>
      <c r="W646" t="str">
        <f t="shared" si="187"/>
        <v>Kolkata</v>
      </c>
      <c r="X646" t="s">
        <v>45</v>
      </c>
      <c r="Y646" t="str">
        <f t="shared" si="188"/>
        <v>Furniture</v>
      </c>
      <c r="Z646" t="s">
        <v>76</v>
      </c>
      <c r="AA646" t="str">
        <f t="shared" si="189"/>
        <v>Chairs</v>
      </c>
      <c r="AB646" t="s">
        <v>3050</v>
      </c>
      <c r="AC646" t="s">
        <v>67</v>
      </c>
      <c r="AD646" t="str">
        <f t="shared" si="190"/>
        <v>Standard Class</v>
      </c>
      <c r="AE646">
        <v>4</v>
      </c>
      <c r="AF646">
        <v>3750.02</v>
      </c>
      <c r="AG646">
        <v>0.05</v>
      </c>
      <c r="AH646">
        <v>0.05</v>
      </c>
      <c r="AI646" t="str">
        <f t="shared" si="191"/>
        <v>Valid</v>
      </c>
      <c r="AJ646">
        <v>14250.08</v>
      </c>
      <c r="AK646">
        <f t="shared" si="192"/>
        <v>14250.075999999999</v>
      </c>
      <c r="AL646">
        <v>10914.92</v>
      </c>
      <c r="AM646">
        <v>3335.16</v>
      </c>
      <c r="AN646">
        <f t="shared" si="193"/>
        <v>3335.155999999999</v>
      </c>
      <c r="AO646">
        <f t="shared" si="194"/>
        <v>-10914.92</v>
      </c>
      <c r="AP646" t="s">
        <v>34</v>
      </c>
      <c r="AQ646" t="str">
        <f t="shared" si="195"/>
        <v>Paid</v>
      </c>
      <c r="AR646" t="s">
        <v>35</v>
      </c>
      <c r="AS646" t="str">
        <f t="shared" si="196"/>
        <v>Completed</v>
      </c>
      <c r="AT646" t="str">
        <f t="shared" si="197"/>
        <v>Clean</v>
      </c>
    </row>
    <row r="647" spans="1:46">
      <c r="A647" t="s">
        <v>3051</v>
      </c>
      <c r="B647">
        <f>COUNTIF($D$2:D647,D647)</f>
        <v>3</v>
      </c>
      <c r="C647" t="str">
        <f>IF(COUNTIF($A:$A,A647)=1,
"Unique",
IF(COUNTIFS($A:$A,A647,$N:$N,N647,$AF:$AF,AF647,$AJ:$AJ,AJ647)&gt;1,
"Exact Duplicate",
"Conflicting Duplicate"))</f>
        <v>Unique</v>
      </c>
      <c r="D647" t="s">
        <v>3052</v>
      </c>
      <c r="E647" t="s">
        <v>2745</v>
      </c>
      <c r="F647" s="3">
        <v>45383</v>
      </c>
      <c r="G647" s="3">
        <v>45536</v>
      </c>
      <c r="H647" s="5" t="str">
        <f t="shared" si="180"/>
        <v>April</v>
      </c>
      <c r="I647" s="5">
        <f t="shared" si="181"/>
        <v>2024</v>
      </c>
      <c r="J647" t="str">
        <f>IF(F647="","Missing Date",
IF(ISNUMBER(F647),"Valid","Invalid Date"))</f>
        <v>Valid</v>
      </c>
      <c r="K647" t="str">
        <f t="shared" si="182"/>
        <v>Valid</v>
      </c>
      <c r="L647">
        <f>G647-F647</f>
        <v>153</v>
      </c>
      <c r="M647" t="s">
        <v>3053</v>
      </c>
      <c r="N647" t="s">
        <v>366</v>
      </c>
      <c r="O647" t="str">
        <f t="shared" si="183"/>
        <v>Kabir Singh</v>
      </c>
      <c r="P647" t="s">
        <v>26</v>
      </c>
      <c r="Q647" t="str">
        <f t="shared" si="184"/>
        <v>Consumer</v>
      </c>
      <c r="R647" t="s">
        <v>42</v>
      </c>
      <c r="S647" t="str">
        <f t="shared" si="185"/>
        <v>East</v>
      </c>
      <c r="T647" t="s">
        <v>186</v>
      </c>
      <c r="U647" t="str">
        <f t="shared" si="186"/>
        <v>Bihar</v>
      </c>
      <c r="V647" t="s">
        <v>187</v>
      </c>
      <c r="W647" t="str">
        <f t="shared" si="187"/>
        <v>Patna</v>
      </c>
      <c r="X647" t="s">
        <v>45</v>
      </c>
      <c r="Y647" t="str">
        <f t="shared" si="188"/>
        <v>Furniture</v>
      </c>
      <c r="Z647" t="s">
        <v>76</v>
      </c>
      <c r="AA647" t="str">
        <f t="shared" si="189"/>
        <v>Chairs</v>
      </c>
      <c r="AB647" t="s">
        <v>3054</v>
      </c>
      <c r="AC647" t="s">
        <v>33</v>
      </c>
      <c r="AD647" t="str">
        <f t="shared" si="190"/>
        <v>Second Class</v>
      </c>
      <c r="AE647">
        <v>6</v>
      </c>
      <c r="AF647">
        <v>2423.61</v>
      </c>
      <c r="AG647">
        <v>0.1</v>
      </c>
      <c r="AH647">
        <v>0.1</v>
      </c>
      <c r="AI647" t="str">
        <f t="shared" si="191"/>
        <v>Valid</v>
      </c>
      <c r="AJ647">
        <v>13087.49</v>
      </c>
      <c r="AK647">
        <f t="shared" si="192"/>
        <v>13087.494000000001</v>
      </c>
      <c r="AL647">
        <v>7608.89</v>
      </c>
      <c r="AM647">
        <v>5133.22</v>
      </c>
      <c r="AN647">
        <f t="shared" si="193"/>
        <v>5478.6040000000003</v>
      </c>
      <c r="AO647">
        <f t="shared" si="194"/>
        <v>-7608.89</v>
      </c>
      <c r="AP647" t="s">
        <v>34</v>
      </c>
      <c r="AQ647" t="str">
        <f t="shared" si="195"/>
        <v>Paid</v>
      </c>
      <c r="AR647" t="s">
        <v>35</v>
      </c>
      <c r="AS647" t="str">
        <f t="shared" si="196"/>
        <v>Completed</v>
      </c>
      <c r="AT647" t="str">
        <f t="shared" si="197"/>
        <v>Clean</v>
      </c>
    </row>
    <row r="648" spans="1:46">
      <c r="A648" t="s">
        <v>3055</v>
      </c>
      <c r="B648">
        <f>COUNTIF($D$2:D648,D648)</f>
        <v>1</v>
      </c>
      <c r="C648" t="str">
        <f>IF(COUNTIF($A:$A,A648)=1,
"Unique",
IF(COUNTIFS($A:$A,A648,$N:$N,N648,$AF:$AF,AF648,$AJ:$AJ,AJ648)&gt;1,
"Exact Duplicate",
"Conflicting Duplicate"))</f>
        <v>Unique</v>
      </c>
      <c r="D648" t="s">
        <v>3056</v>
      </c>
      <c r="E648" t="s">
        <v>3057</v>
      </c>
      <c r="F648" s="3">
        <v>45553</v>
      </c>
      <c r="G648" s="3">
        <v>45559</v>
      </c>
      <c r="H648" s="5" t="str">
        <f t="shared" si="180"/>
        <v>September</v>
      </c>
      <c r="I648" s="5">
        <f t="shared" si="181"/>
        <v>2024</v>
      </c>
      <c r="J648" t="str">
        <f>IF(F648="","Missing Date",
IF(ISNUMBER(F648),"Valid","Invalid Date"))</f>
        <v>Valid</v>
      </c>
      <c r="K648" t="str">
        <f t="shared" si="182"/>
        <v>Valid</v>
      </c>
      <c r="L648">
        <f>G648-F648</f>
        <v>6</v>
      </c>
      <c r="M648" t="s">
        <v>3058</v>
      </c>
      <c r="N648" t="s">
        <v>83</v>
      </c>
      <c r="O648" t="str">
        <f t="shared" si="183"/>
        <v>Vikram Iyer</v>
      </c>
      <c r="P648" t="s">
        <v>41</v>
      </c>
      <c r="Q648" t="str">
        <f t="shared" si="184"/>
        <v>Small Business</v>
      </c>
      <c r="R648" t="s">
        <v>42</v>
      </c>
      <c r="S648" t="str">
        <f t="shared" si="185"/>
        <v>East</v>
      </c>
      <c r="T648" t="s">
        <v>311</v>
      </c>
      <c r="U648" t="str">
        <f t="shared" si="186"/>
        <v>Jharkhand</v>
      </c>
      <c r="V648" t="s">
        <v>312</v>
      </c>
      <c r="W648" t="str">
        <f t="shared" si="187"/>
        <v>Ranchi</v>
      </c>
      <c r="X648" t="s">
        <v>86</v>
      </c>
      <c r="Y648" t="str">
        <f t="shared" si="188"/>
        <v>Technology</v>
      </c>
      <c r="Z648" t="s">
        <v>382</v>
      </c>
      <c r="AA648" t="str">
        <f t="shared" si="189"/>
        <v>Machines</v>
      </c>
      <c r="AB648" t="s">
        <v>3059</v>
      </c>
      <c r="AC648" t="s">
        <v>56</v>
      </c>
      <c r="AD648" t="str">
        <f t="shared" si="190"/>
        <v>First Class</v>
      </c>
      <c r="AE648">
        <v>3</v>
      </c>
      <c r="AF648">
        <v>729.14</v>
      </c>
      <c r="AG648">
        <v>0.25</v>
      </c>
      <c r="AH648">
        <v>0.25</v>
      </c>
      <c r="AI648" t="str">
        <f t="shared" si="191"/>
        <v>Valid</v>
      </c>
      <c r="AJ648">
        <v>1640.57</v>
      </c>
      <c r="AK648">
        <f t="shared" si="192"/>
        <v>1640.5650000000001</v>
      </c>
      <c r="AL648">
        <v>1136.98</v>
      </c>
      <c r="AM648">
        <v>503.59</v>
      </c>
      <c r="AN648">
        <f t="shared" si="193"/>
        <v>503.58500000000004</v>
      </c>
      <c r="AO648">
        <f t="shared" si="194"/>
        <v>-1136.98</v>
      </c>
      <c r="AP648" t="s">
        <v>34</v>
      </c>
      <c r="AQ648" t="str">
        <f t="shared" si="195"/>
        <v>Paid</v>
      </c>
      <c r="AR648" t="s">
        <v>35</v>
      </c>
      <c r="AS648" t="str">
        <f t="shared" si="196"/>
        <v>Completed</v>
      </c>
      <c r="AT648" t="str">
        <f t="shared" si="197"/>
        <v>Clean</v>
      </c>
    </row>
    <row r="649" spans="1:46">
      <c r="A649" t="s">
        <v>3060</v>
      </c>
      <c r="B649">
        <f>COUNTIF($D$2:D649,D649)</f>
        <v>2</v>
      </c>
      <c r="C649" t="str">
        <f>IF(COUNTIF($A:$A,A649)=1,
"Unique",
IF(COUNTIFS($A:$A,A649,$N:$N,N649,$AF:$AF,AF649,$AJ:$AJ,AJ649)&gt;1,
"Exact Duplicate",
"Conflicting Duplicate"))</f>
        <v>Unique</v>
      </c>
      <c r="D649" t="s">
        <v>1329</v>
      </c>
      <c r="E649" t="s">
        <v>3061</v>
      </c>
      <c r="F649" s="3">
        <v>45658</v>
      </c>
      <c r="G649" s="3">
        <v>45901</v>
      </c>
      <c r="H649" s="5" t="str">
        <f t="shared" si="180"/>
        <v>January</v>
      </c>
      <c r="I649" s="5">
        <f t="shared" si="181"/>
        <v>2025</v>
      </c>
      <c r="J649" t="str">
        <f>IF(F649="","Missing Date",
IF(ISNUMBER(F649),"Valid","Invalid Date"))</f>
        <v>Valid</v>
      </c>
      <c r="K649" t="str">
        <f t="shared" si="182"/>
        <v>Valid</v>
      </c>
      <c r="L649">
        <f>G649-F649</f>
        <v>243</v>
      </c>
      <c r="M649" t="s">
        <v>3062</v>
      </c>
      <c r="N649" t="s">
        <v>3063</v>
      </c>
      <c r="O649" t="str">
        <f t="shared" si="183"/>
        <v>Rohan Mehta</v>
      </c>
      <c r="P649" t="s">
        <v>41</v>
      </c>
      <c r="Q649" t="str">
        <f t="shared" si="184"/>
        <v>Small Business</v>
      </c>
      <c r="R649" t="s">
        <v>27</v>
      </c>
      <c r="S649" t="str">
        <f t="shared" si="185"/>
        <v>North</v>
      </c>
      <c r="T649" t="s">
        <v>154</v>
      </c>
      <c r="U649" t="str">
        <f t="shared" si="186"/>
        <v>Punjab</v>
      </c>
      <c r="V649" t="s">
        <v>155</v>
      </c>
      <c r="W649" t="str">
        <f t="shared" si="187"/>
        <v>Ludhiana</v>
      </c>
      <c r="X649" t="s">
        <v>30</v>
      </c>
      <c r="Y649" t="str">
        <f t="shared" si="188"/>
        <v>Office Supplies</v>
      </c>
      <c r="Z649" t="s">
        <v>54</v>
      </c>
      <c r="AA649" t="str">
        <f t="shared" si="189"/>
        <v>Art</v>
      </c>
      <c r="AB649" t="s">
        <v>3064</v>
      </c>
      <c r="AC649" t="s">
        <v>56</v>
      </c>
      <c r="AD649" t="str">
        <f t="shared" si="190"/>
        <v>First Class</v>
      </c>
      <c r="AE649">
        <v>8</v>
      </c>
      <c r="AF649">
        <v>2123.81</v>
      </c>
      <c r="AG649">
        <v>0.15</v>
      </c>
      <c r="AH649">
        <v>0.15</v>
      </c>
      <c r="AI649" t="str">
        <f t="shared" si="191"/>
        <v>Valid</v>
      </c>
      <c r="AJ649">
        <v>14441.91</v>
      </c>
      <c r="AK649">
        <f t="shared" si="192"/>
        <v>14441.907999999999</v>
      </c>
      <c r="AL649">
        <v>10872.89</v>
      </c>
      <c r="AM649">
        <v>3569.02</v>
      </c>
      <c r="AN649">
        <f t="shared" si="193"/>
        <v>3569.018</v>
      </c>
      <c r="AO649">
        <f t="shared" si="194"/>
        <v>-10872.89</v>
      </c>
      <c r="AP649" t="s">
        <v>34</v>
      </c>
      <c r="AQ649" t="str">
        <f t="shared" si="195"/>
        <v>Paid</v>
      </c>
      <c r="AR649" t="s">
        <v>35</v>
      </c>
      <c r="AS649" t="str">
        <f t="shared" si="196"/>
        <v>Completed</v>
      </c>
      <c r="AT649" t="str">
        <f t="shared" si="197"/>
        <v>Clean</v>
      </c>
    </row>
    <row r="650" spans="1:46">
      <c r="A650" t="s">
        <v>3065</v>
      </c>
      <c r="B650">
        <f>COUNTIF($D$2:D650,D650)</f>
        <v>1</v>
      </c>
      <c r="C650" t="str">
        <f>IF(COUNTIF($A:$A,A650)=1,
"Unique",
IF(COUNTIFS($A:$A,A650,$N:$N,N650,$AF:$AF,AF650,$AJ:$AJ,AJ650)&gt;1,
"Exact Duplicate",
"Conflicting Duplicate"))</f>
        <v>Unique</v>
      </c>
      <c r="D650" t="s">
        <v>3066</v>
      </c>
      <c r="E650" t="s">
        <v>358</v>
      </c>
      <c r="F650" s="3">
        <v>45403</v>
      </c>
      <c r="G650" s="2">
        <v>45406</v>
      </c>
      <c r="H650" s="5" t="str">
        <f t="shared" si="180"/>
        <v>April</v>
      </c>
      <c r="I650" s="5">
        <f t="shared" si="181"/>
        <v>2024</v>
      </c>
      <c r="J650" t="str">
        <f>IF(F650="","Missing Date",
IF(ISNUMBER(F650),"Valid","Invalid Date"))</f>
        <v>Valid</v>
      </c>
      <c r="K650" t="str">
        <f t="shared" si="182"/>
        <v>Valid</v>
      </c>
      <c r="L650">
        <f>G650-F650</f>
        <v>3</v>
      </c>
      <c r="M650" t="s">
        <v>3067</v>
      </c>
      <c r="N650" t="s">
        <v>93</v>
      </c>
      <c r="O650" t="str">
        <f t="shared" si="183"/>
        <v>Neha Gupta</v>
      </c>
      <c r="P650" t="s">
        <v>41</v>
      </c>
      <c r="Q650" t="str">
        <f t="shared" si="184"/>
        <v>Small Business</v>
      </c>
      <c r="R650" t="s">
        <v>62</v>
      </c>
      <c r="S650" t="str">
        <f t="shared" si="185"/>
        <v>South</v>
      </c>
      <c r="T650" t="s">
        <v>100</v>
      </c>
      <c r="U650" t="str">
        <f t="shared" si="186"/>
        <v>Andhra Pradesh</v>
      </c>
      <c r="V650" t="s">
        <v>101</v>
      </c>
      <c r="W650" t="str">
        <f t="shared" si="187"/>
        <v>Vijayawada</v>
      </c>
      <c r="X650" t="s">
        <v>30</v>
      </c>
      <c r="Y650" t="str">
        <f t="shared" si="188"/>
        <v>Office Supplies</v>
      </c>
      <c r="Z650" t="s">
        <v>54</v>
      </c>
      <c r="AA650" t="str">
        <f t="shared" si="189"/>
        <v>Art</v>
      </c>
      <c r="AB650" t="s">
        <v>3068</v>
      </c>
      <c r="AC650" t="s">
        <v>48</v>
      </c>
      <c r="AD650" t="str">
        <f t="shared" si="190"/>
        <v>Same Day</v>
      </c>
      <c r="AE650">
        <v>9</v>
      </c>
      <c r="AF650">
        <v>703.59</v>
      </c>
      <c r="AG650">
        <v>0.2</v>
      </c>
      <c r="AH650">
        <v>0.2</v>
      </c>
      <c r="AI650" t="str">
        <f t="shared" si="191"/>
        <v>Valid</v>
      </c>
      <c r="AJ650">
        <v>5065.8500000000004</v>
      </c>
      <c r="AK650">
        <f t="shared" si="192"/>
        <v>5065.8480000000009</v>
      </c>
      <c r="AL650">
        <v>3517.23</v>
      </c>
      <c r="AM650">
        <v>1548.62</v>
      </c>
      <c r="AN650">
        <f t="shared" si="193"/>
        <v>1548.6180000000008</v>
      </c>
      <c r="AO650">
        <f t="shared" si="194"/>
        <v>-3517.23</v>
      </c>
      <c r="AP650" t="s">
        <v>200</v>
      </c>
      <c r="AQ650" t="str">
        <f t="shared" si="195"/>
        <v>Failed</v>
      </c>
      <c r="AR650" t="s">
        <v>125</v>
      </c>
      <c r="AS650" t="str">
        <f t="shared" si="196"/>
        <v>Returned</v>
      </c>
      <c r="AT650" t="str">
        <f t="shared" si="197"/>
        <v>Clean</v>
      </c>
    </row>
    <row r="651" spans="1:46">
      <c r="A651" t="s">
        <v>3069</v>
      </c>
      <c r="B651">
        <f>COUNTIF($D$2:D651,D651)</f>
        <v>1</v>
      </c>
      <c r="C651" t="str">
        <f>IF(COUNTIF($A:$A,A651)=1,
"Unique",
IF(COUNTIFS($A:$A,A651,$N:$N,N651,$AF:$AF,AF651,$AJ:$AJ,AJ651)&gt;1,
"Exact Duplicate",
"Conflicting Duplicate"))</f>
        <v>Unique</v>
      </c>
      <c r="D651" t="s">
        <v>3070</v>
      </c>
      <c r="E651" t="s">
        <v>3071</v>
      </c>
      <c r="F651" s="2">
        <v>45969</v>
      </c>
      <c r="G651" s="3">
        <v>45888</v>
      </c>
      <c r="H651" s="5" t="str">
        <f t="shared" si="180"/>
        <v>November</v>
      </c>
      <c r="I651" s="5">
        <f t="shared" si="181"/>
        <v>2025</v>
      </c>
      <c r="J651" t="str">
        <f>IF(F651="","Missing Date",
IF(ISNUMBER(F651),"Valid","Invalid Date"))</f>
        <v>Valid</v>
      </c>
      <c r="K651" t="str">
        <f t="shared" si="182"/>
        <v>Valid</v>
      </c>
      <c r="L651">
        <f>G651-F651</f>
        <v>-81</v>
      </c>
      <c r="M651" t="s">
        <v>3072</v>
      </c>
      <c r="N651" t="s">
        <v>366</v>
      </c>
      <c r="O651" t="str">
        <f t="shared" si="183"/>
        <v>Kabir Singh</v>
      </c>
      <c r="P651" t="s">
        <v>41</v>
      </c>
      <c r="Q651" t="str">
        <f t="shared" si="184"/>
        <v>Small Business</v>
      </c>
      <c r="R651" t="s">
        <v>62</v>
      </c>
      <c r="S651" t="str">
        <f t="shared" si="185"/>
        <v>South</v>
      </c>
      <c r="T651" t="s">
        <v>242</v>
      </c>
      <c r="U651" t="str">
        <f t="shared" si="186"/>
        <v>Kerala</v>
      </c>
      <c r="V651" t="s">
        <v>243</v>
      </c>
      <c r="W651" t="str">
        <f t="shared" si="187"/>
        <v>Kochi</v>
      </c>
      <c r="X651" t="s">
        <v>86</v>
      </c>
      <c r="Y651" t="str">
        <f t="shared" si="188"/>
        <v>Technology</v>
      </c>
      <c r="Z651" t="s">
        <v>87</v>
      </c>
      <c r="AA651" t="str">
        <f t="shared" si="189"/>
        <v>Accessories</v>
      </c>
      <c r="AB651" t="s">
        <v>3073</v>
      </c>
      <c r="AC651" t="s">
        <v>67</v>
      </c>
      <c r="AD651" t="str">
        <f t="shared" si="190"/>
        <v>Standard Class</v>
      </c>
      <c r="AE651">
        <v>4</v>
      </c>
      <c r="AF651">
        <v>2258.96</v>
      </c>
      <c r="AG651">
        <v>0.25</v>
      </c>
      <c r="AH651">
        <v>0.25</v>
      </c>
      <c r="AI651" t="str">
        <f t="shared" si="191"/>
        <v>Valid</v>
      </c>
      <c r="AJ651">
        <v>6776.88</v>
      </c>
      <c r="AK651">
        <f t="shared" si="192"/>
        <v>6776.88</v>
      </c>
      <c r="AL651">
        <v>3836.24</v>
      </c>
      <c r="AM651">
        <v>2940.64</v>
      </c>
      <c r="AN651">
        <f t="shared" si="193"/>
        <v>2940.6400000000003</v>
      </c>
      <c r="AO651">
        <f t="shared" si="194"/>
        <v>-3836.24</v>
      </c>
      <c r="AP651" t="s">
        <v>34</v>
      </c>
      <c r="AQ651" t="str">
        <f t="shared" si="195"/>
        <v>Paid</v>
      </c>
      <c r="AR651" t="s">
        <v>35</v>
      </c>
      <c r="AS651" t="str">
        <f t="shared" si="196"/>
        <v>Completed</v>
      </c>
      <c r="AT651" t="str">
        <f t="shared" si="197"/>
        <v>Clean</v>
      </c>
    </row>
    <row r="652" spans="1:46">
      <c r="A652" t="s">
        <v>3074</v>
      </c>
      <c r="B652">
        <f>COUNTIF($D$2:D652,D652)</f>
        <v>1</v>
      </c>
      <c r="C652" t="str">
        <f>IF(COUNTIF($A:$A,A652)=1,
"Unique",
IF(COUNTIFS($A:$A,A652,$N:$N,N652,$AF:$AF,AF652,$AJ:$AJ,AJ652)&gt;1,
"Exact Duplicate",
"Conflicting Duplicate"))</f>
        <v>Unique</v>
      </c>
      <c r="D652" t="s">
        <v>3075</v>
      </c>
      <c r="E652" t="s">
        <v>3076</v>
      </c>
      <c r="F652" s="3">
        <v>45395</v>
      </c>
      <c r="G652" s="2">
        <v>45403</v>
      </c>
      <c r="H652" s="5" t="str">
        <f t="shared" si="180"/>
        <v>April</v>
      </c>
      <c r="I652" s="5">
        <f t="shared" si="181"/>
        <v>2024</v>
      </c>
      <c r="J652" t="str">
        <f>IF(F652="","Missing Date",
IF(ISNUMBER(F652),"Valid","Invalid Date"))</f>
        <v>Valid</v>
      </c>
      <c r="K652" t="str">
        <f t="shared" si="182"/>
        <v>Valid</v>
      </c>
      <c r="L652">
        <f>G652-F652</f>
        <v>8</v>
      </c>
      <c r="M652" t="s">
        <v>547</v>
      </c>
      <c r="N652" t="s">
        <v>162</v>
      </c>
      <c r="O652" t="str">
        <f t="shared" si="183"/>
        <v>Aarav Sharma</v>
      </c>
      <c r="P652" t="s">
        <v>115</v>
      </c>
      <c r="Q652" t="str">
        <f t="shared" si="184"/>
        <v>Home Office</v>
      </c>
      <c r="R652" t="s">
        <v>42</v>
      </c>
      <c r="S652" t="str">
        <f t="shared" si="185"/>
        <v>East</v>
      </c>
      <c r="T652" t="s">
        <v>186</v>
      </c>
      <c r="U652" t="str">
        <f t="shared" si="186"/>
        <v>Bihar</v>
      </c>
      <c r="V652" t="s">
        <v>187</v>
      </c>
      <c r="W652" t="str">
        <f t="shared" si="187"/>
        <v>Patna</v>
      </c>
      <c r="X652" t="s">
        <v>86</v>
      </c>
      <c r="Y652" t="str">
        <f t="shared" si="188"/>
        <v>Technology</v>
      </c>
      <c r="Z652" t="s">
        <v>87</v>
      </c>
      <c r="AA652" t="str">
        <f t="shared" si="189"/>
        <v>Accessories</v>
      </c>
      <c r="AB652" t="s">
        <v>3077</v>
      </c>
      <c r="AC652" t="s">
        <v>48</v>
      </c>
      <c r="AD652" t="str">
        <f t="shared" si="190"/>
        <v>Same Day</v>
      </c>
      <c r="AE652">
        <v>7</v>
      </c>
      <c r="AF652">
        <v>2648.76</v>
      </c>
      <c r="AG652">
        <v>0.15</v>
      </c>
      <c r="AH652">
        <v>0.15</v>
      </c>
      <c r="AI652" t="str">
        <f t="shared" si="191"/>
        <v>Valid</v>
      </c>
      <c r="AJ652">
        <v>15760.12</v>
      </c>
      <c r="AK652">
        <f t="shared" si="192"/>
        <v>15760.121999999999</v>
      </c>
      <c r="AL652">
        <v>9931.5300000000007</v>
      </c>
      <c r="AM652">
        <v>5828.59</v>
      </c>
      <c r="AN652">
        <f t="shared" si="193"/>
        <v>5828.5919999999987</v>
      </c>
      <c r="AO652">
        <f t="shared" si="194"/>
        <v>-9931.5300000000007</v>
      </c>
      <c r="AP652" t="s">
        <v>200</v>
      </c>
      <c r="AQ652" t="str">
        <f t="shared" si="195"/>
        <v>Failed</v>
      </c>
      <c r="AR652" t="s">
        <v>125</v>
      </c>
      <c r="AS652" t="str">
        <f t="shared" si="196"/>
        <v>Returned</v>
      </c>
      <c r="AT652" t="str">
        <f t="shared" si="197"/>
        <v>Clean</v>
      </c>
    </row>
    <row r="653" spans="1:46">
      <c r="A653" t="s">
        <v>3078</v>
      </c>
      <c r="B653">
        <f>COUNTIF($D$2:D653,D653)</f>
        <v>2</v>
      </c>
      <c r="C653" t="str">
        <f>IF(COUNTIF($A:$A,A653)=1,
"Unique",
IF(COUNTIFS($A:$A,A653,$N:$N,N653,$AF:$AF,AF653,$AJ:$AJ,AJ653)&gt;1,
"Exact Duplicate",
"Conflicting Duplicate"))</f>
        <v>Unique</v>
      </c>
      <c r="D653" t="s">
        <v>1371</v>
      </c>
      <c r="E653" t="s">
        <v>3079</v>
      </c>
      <c r="F653" s="2">
        <v>45816</v>
      </c>
      <c r="G653" s="3">
        <v>45908</v>
      </c>
      <c r="H653" s="5" t="str">
        <f t="shared" si="180"/>
        <v>June</v>
      </c>
      <c r="I653" s="5">
        <f t="shared" si="181"/>
        <v>2025</v>
      </c>
      <c r="J653" t="str">
        <f>IF(F653="","Missing Date",
IF(ISNUMBER(F653),"Valid","Invalid Date"))</f>
        <v>Valid</v>
      </c>
      <c r="K653" t="str">
        <f t="shared" si="182"/>
        <v>Valid</v>
      </c>
      <c r="L653">
        <f>G653-F653</f>
        <v>92</v>
      </c>
      <c r="M653" t="s">
        <v>3080</v>
      </c>
      <c r="N653" t="s">
        <v>40</v>
      </c>
      <c r="O653" t="str">
        <f t="shared" si="183"/>
        <v>Mira Das</v>
      </c>
      <c r="P653" t="s">
        <v>41</v>
      </c>
      <c r="Q653" t="str">
        <f t="shared" si="184"/>
        <v>Small Business</v>
      </c>
      <c r="R653" t="s">
        <v>62</v>
      </c>
      <c r="S653" t="str">
        <f t="shared" si="185"/>
        <v>South</v>
      </c>
      <c r="T653" t="s">
        <v>100</v>
      </c>
      <c r="U653" t="str">
        <f t="shared" si="186"/>
        <v>Andhra Pradesh</v>
      </c>
      <c r="V653" t="s">
        <v>101</v>
      </c>
      <c r="W653" t="str">
        <f t="shared" si="187"/>
        <v>Vijayawada</v>
      </c>
      <c r="X653" t="s">
        <v>30</v>
      </c>
      <c r="Y653" t="str">
        <f t="shared" si="188"/>
        <v>Office Supplies</v>
      </c>
      <c r="Z653" t="s">
        <v>31</v>
      </c>
      <c r="AA653" t="str">
        <f t="shared" si="189"/>
        <v>Paper</v>
      </c>
      <c r="AB653" t="s">
        <v>3081</v>
      </c>
      <c r="AC653" t="s">
        <v>33</v>
      </c>
      <c r="AD653" t="str">
        <f t="shared" si="190"/>
        <v>Second Class</v>
      </c>
      <c r="AE653">
        <v>3</v>
      </c>
      <c r="AF653">
        <v>598.54999999999995</v>
      </c>
      <c r="AG653">
        <v>0</v>
      </c>
      <c r="AH653">
        <v>0</v>
      </c>
      <c r="AI653" t="str">
        <f t="shared" si="191"/>
        <v>Valid</v>
      </c>
      <c r="AJ653">
        <v>1795.65</v>
      </c>
      <c r="AK653">
        <f t="shared" si="192"/>
        <v>1795.6499999999999</v>
      </c>
      <c r="AL653">
        <v>996.72</v>
      </c>
      <c r="AM653">
        <v>798.93</v>
      </c>
      <c r="AN653">
        <f t="shared" si="193"/>
        <v>798.92999999999984</v>
      </c>
      <c r="AO653">
        <f t="shared" si="194"/>
        <v>-996.72</v>
      </c>
      <c r="AP653" t="s">
        <v>34</v>
      </c>
      <c r="AQ653" t="str">
        <f t="shared" si="195"/>
        <v>Paid</v>
      </c>
      <c r="AR653" t="s">
        <v>35</v>
      </c>
      <c r="AS653" t="str">
        <f t="shared" si="196"/>
        <v>Completed</v>
      </c>
      <c r="AT653" t="str">
        <f t="shared" si="197"/>
        <v>Clean</v>
      </c>
    </row>
    <row r="654" spans="1:46">
      <c r="A654" t="s">
        <v>3082</v>
      </c>
      <c r="B654">
        <f>COUNTIF($D$2:D654,D654)</f>
        <v>1</v>
      </c>
      <c r="C654" t="str">
        <f>IF(COUNTIF($A:$A,A654)=1,
"Unique",
IF(COUNTIFS($A:$A,A654,$N:$N,N654,$AF:$AF,AF654,$AJ:$AJ,AJ654)&gt;1,
"Exact Duplicate",
"Conflicting Duplicate"))</f>
        <v>Unique</v>
      </c>
      <c r="D654" t="s">
        <v>3083</v>
      </c>
      <c r="E654" t="s">
        <v>3084</v>
      </c>
      <c r="F654" s="3">
        <v>45733</v>
      </c>
      <c r="G654" s="3">
        <v>45737</v>
      </c>
      <c r="H654" s="5" t="str">
        <f t="shared" si="180"/>
        <v>March</v>
      </c>
      <c r="I654" s="5">
        <f t="shared" si="181"/>
        <v>2025</v>
      </c>
      <c r="J654" t="str">
        <f>IF(F654="","Missing Date",
IF(ISNUMBER(F654),"Valid","Invalid Date"))</f>
        <v>Valid</v>
      </c>
      <c r="K654" t="str">
        <f t="shared" si="182"/>
        <v>Valid</v>
      </c>
      <c r="L654">
        <f>G654-F654</f>
        <v>4</v>
      </c>
      <c r="M654" t="s">
        <v>2567</v>
      </c>
      <c r="N654" t="s">
        <v>168</v>
      </c>
      <c r="O654" t="str">
        <f t="shared" si="183"/>
        <v>Sneha Kapoor</v>
      </c>
      <c r="P654" t="s">
        <v>26</v>
      </c>
      <c r="Q654" t="str">
        <f t="shared" si="184"/>
        <v>Consumer</v>
      </c>
      <c r="R654" t="s">
        <v>27</v>
      </c>
      <c r="S654" t="str">
        <f t="shared" si="185"/>
        <v>North</v>
      </c>
      <c r="T654" t="s">
        <v>174</v>
      </c>
      <c r="U654" t="str">
        <f t="shared" si="186"/>
        <v>Uttar Pradesh</v>
      </c>
      <c r="V654" t="s">
        <v>175</v>
      </c>
      <c r="W654" t="str">
        <f t="shared" si="187"/>
        <v>Noida</v>
      </c>
      <c r="X654" t="s">
        <v>30</v>
      </c>
      <c r="Y654" t="str">
        <f t="shared" si="188"/>
        <v>Office Supplies</v>
      </c>
      <c r="Z654" t="s">
        <v>198</v>
      </c>
      <c r="AA654" t="str">
        <f t="shared" si="189"/>
        <v>Binders</v>
      </c>
      <c r="AB654" t="s">
        <v>3085</v>
      </c>
      <c r="AC654" t="s">
        <v>67</v>
      </c>
      <c r="AD654" t="str">
        <f t="shared" si="190"/>
        <v>Standard Class</v>
      </c>
      <c r="AE654">
        <v>5</v>
      </c>
      <c r="AF654">
        <v>4320.59</v>
      </c>
      <c r="AG654">
        <v>0.15</v>
      </c>
      <c r="AH654">
        <v>0.15</v>
      </c>
      <c r="AI654" t="str">
        <f t="shared" si="191"/>
        <v>Valid</v>
      </c>
      <c r="AJ654">
        <v>18362.509999999998</v>
      </c>
      <c r="AK654">
        <f t="shared" si="192"/>
        <v>18362.5075</v>
      </c>
      <c r="AL654">
        <v>11133.97</v>
      </c>
      <c r="AM654">
        <v>7228.54</v>
      </c>
      <c r="AN654">
        <f t="shared" si="193"/>
        <v>7228.5375000000004</v>
      </c>
      <c r="AO654">
        <f t="shared" si="194"/>
        <v>-11133.97</v>
      </c>
      <c r="AP654" t="s">
        <v>34</v>
      </c>
      <c r="AQ654" t="str">
        <f t="shared" si="195"/>
        <v>Paid</v>
      </c>
      <c r="AR654" t="s">
        <v>35</v>
      </c>
      <c r="AS654" t="str">
        <f t="shared" si="196"/>
        <v>Completed</v>
      </c>
      <c r="AT654" t="str">
        <f t="shared" si="197"/>
        <v>Clean</v>
      </c>
    </row>
    <row r="655" spans="1:46">
      <c r="A655" t="s">
        <v>3086</v>
      </c>
      <c r="B655">
        <f>COUNTIF($D$2:D655,D655)</f>
        <v>1</v>
      </c>
      <c r="C655" t="str">
        <f>IF(COUNTIF($A:$A,A655)=1,
"Unique",
IF(COUNTIFS($A:$A,A655,$N:$N,N655,$AF:$AF,AF655,$AJ:$AJ,AJ655)&gt;1,
"Exact Duplicate",
"Conflicting Duplicate"))</f>
        <v>Unique</v>
      </c>
      <c r="D655" t="s">
        <v>3087</v>
      </c>
      <c r="E655" t="s">
        <v>3088</v>
      </c>
      <c r="F655" s="3">
        <v>45751</v>
      </c>
      <c r="G655" s="3">
        <v>45754</v>
      </c>
      <c r="H655" s="5" t="str">
        <f t="shared" si="180"/>
        <v>April</v>
      </c>
      <c r="I655" s="5">
        <f t="shared" si="181"/>
        <v>2025</v>
      </c>
      <c r="J655" t="str">
        <f>IF(F655="","Missing Date",
IF(ISNUMBER(F655),"Valid","Invalid Date"))</f>
        <v>Valid</v>
      </c>
      <c r="K655" t="str">
        <f t="shared" si="182"/>
        <v>Valid</v>
      </c>
      <c r="L655">
        <f>G655-F655</f>
        <v>3</v>
      </c>
      <c r="M655" t="s">
        <v>3089</v>
      </c>
      <c r="N655" t="s">
        <v>142</v>
      </c>
      <c r="O655" t="str">
        <f t="shared" si="183"/>
        <v>Priya Menon</v>
      </c>
      <c r="P655" t="s">
        <v>41</v>
      </c>
      <c r="Q655" t="str">
        <f t="shared" si="184"/>
        <v>Small Business</v>
      </c>
      <c r="R655" t="s">
        <v>62</v>
      </c>
      <c r="S655" t="str">
        <f t="shared" si="185"/>
        <v>South</v>
      </c>
      <c r="T655" t="s">
        <v>339</v>
      </c>
      <c r="U655" t="str">
        <f t="shared" si="186"/>
        <v>Tamil Nadu</v>
      </c>
      <c r="V655" t="s">
        <v>340</v>
      </c>
      <c r="W655" t="str">
        <f t="shared" si="187"/>
        <v>Chennai</v>
      </c>
      <c r="X655" t="s">
        <v>86</v>
      </c>
      <c r="Y655" t="str">
        <f t="shared" si="188"/>
        <v>Technology</v>
      </c>
      <c r="Z655" t="s">
        <v>94</v>
      </c>
      <c r="AA655" t="str">
        <f t="shared" si="189"/>
        <v>Copiers</v>
      </c>
      <c r="AB655" t="s">
        <v>3090</v>
      </c>
      <c r="AC655" t="s">
        <v>33</v>
      </c>
      <c r="AD655" t="str">
        <f t="shared" si="190"/>
        <v>Second Class</v>
      </c>
      <c r="AE655">
        <v>7</v>
      </c>
      <c r="AF655">
        <v>4457.93</v>
      </c>
      <c r="AG655">
        <v>0.15</v>
      </c>
      <c r="AH655">
        <v>0.15</v>
      </c>
      <c r="AI655" t="str">
        <f t="shared" si="191"/>
        <v>Valid</v>
      </c>
      <c r="AJ655">
        <v>26524.68</v>
      </c>
      <c r="AK655">
        <f t="shared" si="192"/>
        <v>26524.683500000003</v>
      </c>
      <c r="AL655">
        <v>20574.3</v>
      </c>
      <c r="AM655">
        <v>5950.38</v>
      </c>
      <c r="AN655">
        <f t="shared" si="193"/>
        <v>5950.3835000000036</v>
      </c>
      <c r="AO655">
        <f t="shared" si="194"/>
        <v>-20574.3</v>
      </c>
      <c r="AP655" t="s">
        <v>34</v>
      </c>
      <c r="AQ655" t="str">
        <f t="shared" si="195"/>
        <v>Paid</v>
      </c>
      <c r="AR655" t="s">
        <v>35</v>
      </c>
      <c r="AS655" t="str">
        <f t="shared" si="196"/>
        <v>Completed</v>
      </c>
      <c r="AT655" t="str">
        <f t="shared" si="197"/>
        <v>Clean</v>
      </c>
    </row>
    <row r="656" spans="1:46">
      <c r="A656" t="s">
        <v>3091</v>
      </c>
      <c r="B656">
        <f>COUNTIF($D$2:D656,D656)</f>
        <v>1</v>
      </c>
      <c r="C656" t="str">
        <f>IF(COUNTIF($A:$A,A656)=1,
"Unique",
IF(COUNTIFS($A:$A,A656,$N:$N,N656,$AF:$AF,AF656,$AJ:$AJ,AJ656)&gt;1,
"Exact Duplicate",
"Conflicting Duplicate"))</f>
        <v>Unique</v>
      </c>
      <c r="D656" t="s">
        <v>3092</v>
      </c>
      <c r="E656" t="s">
        <v>140</v>
      </c>
      <c r="F656" s="3">
        <v>45942</v>
      </c>
      <c r="G656" s="3">
        <v>45946</v>
      </c>
      <c r="H656" s="5" t="str">
        <f t="shared" si="180"/>
        <v>October</v>
      </c>
      <c r="I656" s="5">
        <f t="shared" si="181"/>
        <v>2025</v>
      </c>
      <c r="J656" t="str">
        <f>IF(F656="","Missing Date",
IF(ISNUMBER(F656),"Valid","Invalid Date"))</f>
        <v>Valid</v>
      </c>
      <c r="K656" t="str">
        <f t="shared" si="182"/>
        <v>Valid</v>
      </c>
      <c r="L656">
        <f>G656-F656</f>
        <v>4</v>
      </c>
      <c r="M656" t="s">
        <v>1416</v>
      </c>
      <c r="N656" t="s">
        <v>210</v>
      </c>
      <c r="O656" t="str">
        <f t="shared" si="183"/>
        <v>Diya Patel</v>
      </c>
      <c r="P656" t="s">
        <v>108</v>
      </c>
      <c r="Q656" t="str">
        <f t="shared" si="184"/>
        <v>Corporate</v>
      </c>
      <c r="R656" t="s">
        <v>42</v>
      </c>
      <c r="S656" t="str">
        <f t="shared" si="185"/>
        <v>East</v>
      </c>
      <c r="T656" t="s">
        <v>186</v>
      </c>
      <c r="U656" t="str">
        <f t="shared" si="186"/>
        <v>Bihar</v>
      </c>
      <c r="V656" t="s">
        <v>187</v>
      </c>
      <c r="W656" t="str">
        <f t="shared" si="187"/>
        <v>Patna</v>
      </c>
      <c r="X656" t="s">
        <v>86</v>
      </c>
      <c r="Y656" t="str">
        <f t="shared" si="188"/>
        <v>Technology</v>
      </c>
      <c r="Z656" t="s">
        <v>382</v>
      </c>
      <c r="AA656" t="str">
        <f t="shared" si="189"/>
        <v>Machines</v>
      </c>
      <c r="AB656" t="s">
        <v>3093</v>
      </c>
      <c r="AC656" t="s">
        <v>48</v>
      </c>
      <c r="AD656" t="str">
        <f t="shared" si="190"/>
        <v>Same Day</v>
      </c>
      <c r="AE656">
        <v>1</v>
      </c>
      <c r="AF656">
        <v>2570.06</v>
      </c>
      <c r="AG656">
        <v>0.2</v>
      </c>
      <c r="AH656">
        <v>0.2</v>
      </c>
      <c r="AI656" t="str">
        <f t="shared" si="191"/>
        <v>Valid</v>
      </c>
      <c r="AJ656">
        <v>2056.0500000000002</v>
      </c>
      <c r="AK656">
        <f t="shared" si="192"/>
        <v>2056.0480000000002</v>
      </c>
      <c r="AL656">
        <v>1662.39</v>
      </c>
      <c r="AM656">
        <v>393.66</v>
      </c>
      <c r="AN656">
        <f t="shared" si="193"/>
        <v>393.65800000000013</v>
      </c>
      <c r="AO656">
        <f t="shared" si="194"/>
        <v>-1662.39</v>
      </c>
      <c r="AP656" t="s">
        <v>34</v>
      </c>
      <c r="AQ656" t="str">
        <f t="shared" si="195"/>
        <v>Paid</v>
      </c>
      <c r="AR656" t="s">
        <v>35</v>
      </c>
      <c r="AS656" t="str">
        <f t="shared" si="196"/>
        <v>Completed</v>
      </c>
      <c r="AT656" t="str">
        <f t="shared" si="197"/>
        <v>Clean</v>
      </c>
    </row>
    <row r="657" spans="1:46">
      <c r="A657" t="s">
        <v>3094</v>
      </c>
      <c r="B657">
        <f>COUNTIF($D$2:D657,D657)</f>
        <v>1</v>
      </c>
      <c r="C657" t="str">
        <f>IF(COUNTIF($A:$A,A657)=1,
"Unique",
IF(COUNTIFS($A:$A,A657,$N:$N,N657,$AF:$AF,AF657,$AJ:$AJ,AJ657)&gt;1,
"Exact Duplicate",
"Conflicting Duplicate"))</f>
        <v>Unique</v>
      </c>
      <c r="D657" t="s">
        <v>699</v>
      </c>
      <c r="E657" t="s">
        <v>699</v>
      </c>
      <c r="F657" s="3">
        <v>45895</v>
      </c>
      <c r="G657" s="3">
        <v>45895</v>
      </c>
      <c r="H657" s="5" t="str">
        <f t="shared" si="180"/>
        <v>August</v>
      </c>
      <c r="I657" s="5">
        <f t="shared" si="181"/>
        <v>2025</v>
      </c>
      <c r="J657" t="str">
        <f>IF(F657="","Missing Date",
IF(ISNUMBER(F657),"Valid","Invalid Date"))</f>
        <v>Valid</v>
      </c>
      <c r="K657" t="str">
        <f t="shared" si="182"/>
        <v>Valid</v>
      </c>
      <c r="L657">
        <f>G657-F657</f>
        <v>0</v>
      </c>
      <c r="M657" t="s">
        <v>3095</v>
      </c>
      <c r="N657" t="s">
        <v>93</v>
      </c>
      <c r="O657" t="str">
        <f t="shared" si="183"/>
        <v>Neha Gupta</v>
      </c>
      <c r="P657" t="s">
        <v>115</v>
      </c>
      <c r="Q657" t="str">
        <f t="shared" si="184"/>
        <v>Home Office</v>
      </c>
      <c r="R657" t="s">
        <v>42</v>
      </c>
      <c r="S657" t="str">
        <f t="shared" si="185"/>
        <v>East</v>
      </c>
      <c r="T657" t="s">
        <v>121</v>
      </c>
      <c r="U657" t="str">
        <f t="shared" si="186"/>
        <v>West Bengal</v>
      </c>
      <c r="V657" t="s">
        <v>122</v>
      </c>
      <c r="W657" t="str">
        <f t="shared" si="187"/>
        <v>Kolkata</v>
      </c>
      <c r="X657" t="s">
        <v>45</v>
      </c>
      <c r="Y657" t="str">
        <f t="shared" si="188"/>
        <v>Furniture</v>
      </c>
      <c r="Z657" t="s">
        <v>65</v>
      </c>
      <c r="AA657" t="str">
        <f t="shared" si="189"/>
        <v>Furnishings</v>
      </c>
      <c r="AB657" t="s">
        <v>3096</v>
      </c>
      <c r="AC657" t="s">
        <v>67</v>
      </c>
      <c r="AD657" t="str">
        <f t="shared" si="190"/>
        <v>Standard Class</v>
      </c>
      <c r="AE657">
        <v>4</v>
      </c>
      <c r="AF657">
        <v>2151.8200000000002</v>
      </c>
      <c r="AG657">
        <v>0</v>
      </c>
      <c r="AH657">
        <v>0</v>
      </c>
      <c r="AI657" t="str">
        <f t="shared" si="191"/>
        <v>Valid</v>
      </c>
      <c r="AJ657">
        <v>8607.2800000000007</v>
      </c>
      <c r="AK657">
        <f t="shared" si="192"/>
        <v>8607.2800000000007</v>
      </c>
      <c r="AL657">
        <v>5124.01</v>
      </c>
      <c r="AM657">
        <v>3483.27</v>
      </c>
      <c r="AN657">
        <f t="shared" si="193"/>
        <v>3483.2700000000004</v>
      </c>
      <c r="AO657">
        <f t="shared" si="194"/>
        <v>-5124.01</v>
      </c>
      <c r="AP657" t="s">
        <v>34</v>
      </c>
      <c r="AQ657" t="str">
        <f t="shared" si="195"/>
        <v>Paid</v>
      </c>
      <c r="AR657" t="s">
        <v>35</v>
      </c>
      <c r="AS657" t="str">
        <f t="shared" si="196"/>
        <v>Completed</v>
      </c>
      <c r="AT657" t="str">
        <f t="shared" si="197"/>
        <v>Clean</v>
      </c>
    </row>
    <row r="658" spans="1:46">
      <c r="A658" t="s">
        <v>3097</v>
      </c>
      <c r="B658">
        <f>COUNTIF($D$2:D658,D658)</f>
        <v>1</v>
      </c>
      <c r="C658" t="str">
        <f>IF(COUNTIF($A:$A,A658)=1,
"Unique",
IF(COUNTIFS($A:$A,A658,$N:$N,N658,$AF:$AF,AF658,$AJ:$AJ,AJ658)&gt;1,
"Exact Duplicate",
"Conflicting Duplicate"))</f>
        <v>Unique</v>
      </c>
      <c r="D658" t="s">
        <v>3098</v>
      </c>
      <c r="E658" t="s">
        <v>2329</v>
      </c>
      <c r="F658" s="3">
        <v>45478</v>
      </c>
      <c r="G658" s="3">
        <v>45426</v>
      </c>
      <c r="H658" s="5" t="str">
        <f t="shared" si="180"/>
        <v>July</v>
      </c>
      <c r="I658" s="5">
        <f t="shared" si="181"/>
        <v>2024</v>
      </c>
      <c r="J658" t="str">
        <f>IF(F658="","Missing Date",
IF(ISNUMBER(F658),"Valid","Invalid Date"))</f>
        <v>Valid</v>
      </c>
      <c r="K658" t="str">
        <f t="shared" si="182"/>
        <v>Valid</v>
      </c>
      <c r="L658">
        <f>G658-F658</f>
        <v>-52</v>
      </c>
      <c r="M658" t="s">
        <v>3099</v>
      </c>
      <c r="N658" t="s">
        <v>93</v>
      </c>
      <c r="O658" t="str">
        <f t="shared" si="183"/>
        <v>Neha Gupta</v>
      </c>
      <c r="P658" t="s">
        <v>41</v>
      </c>
      <c r="Q658" t="str">
        <f t="shared" si="184"/>
        <v>Small Business</v>
      </c>
      <c r="R658" t="s">
        <v>27</v>
      </c>
      <c r="S658" t="str">
        <f t="shared" si="185"/>
        <v>North</v>
      </c>
      <c r="T658" t="s">
        <v>323</v>
      </c>
      <c r="U658" t="str">
        <f t="shared" si="186"/>
        <v>Haryana</v>
      </c>
      <c r="V658" t="s">
        <v>324</v>
      </c>
      <c r="W658" t="str">
        <f t="shared" si="187"/>
        <v>Gurugram</v>
      </c>
      <c r="X658" t="s">
        <v>86</v>
      </c>
      <c r="Y658" t="str">
        <f t="shared" si="188"/>
        <v>Technology</v>
      </c>
      <c r="Z658" t="s">
        <v>382</v>
      </c>
      <c r="AA658" t="str">
        <f t="shared" si="189"/>
        <v>Machines</v>
      </c>
      <c r="AB658" t="s">
        <v>3100</v>
      </c>
      <c r="AC658" t="s">
        <v>48</v>
      </c>
      <c r="AD658" t="str">
        <f t="shared" si="190"/>
        <v>Same Day</v>
      </c>
      <c r="AE658">
        <v>4</v>
      </c>
      <c r="AF658">
        <v>2751.1</v>
      </c>
      <c r="AG658">
        <v>-0.05</v>
      </c>
      <c r="AH658">
        <v>-0.05</v>
      </c>
      <c r="AI658" t="str">
        <f t="shared" si="191"/>
        <v>Invalid - Negative Discount</v>
      </c>
      <c r="AJ658">
        <v>9903.9599999999991</v>
      </c>
      <c r="AK658">
        <f t="shared" si="192"/>
        <v>11554.62</v>
      </c>
      <c r="AL658">
        <v>7696.28</v>
      </c>
      <c r="AM658">
        <v>2207.6799999999998</v>
      </c>
      <c r="AN658">
        <f t="shared" si="193"/>
        <v>3858.3400000000011</v>
      </c>
      <c r="AO658">
        <f t="shared" si="194"/>
        <v>-7696.28</v>
      </c>
      <c r="AP658" t="s">
        <v>34</v>
      </c>
      <c r="AQ658" t="str">
        <f t="shared" si="195"/>
        <v>Paid</v>
      </c>
      <c r="AR658" t="s">
        <v>35</v>
      </c>
      <c r="AS658" t="str">
        <f t="shared" si="196"/>
        <v>Completed</v>
      </c>
      <c r="AT658" t="str">
        <f t="shared" si="197"/>
        <v>Clean</v>
      </c>
    </row>
    <row r="659" spans="1:46">
      <c r="A659" t="s">
        <v>3101</v>
      </c>
      <c r="B659">
        <f>COUNTIF($D$2:D659,D659)</f>
        <v>4</v>
      </c>
      <c r="C659" t="str">
        <f>IF(COUNTIF($A:$A,A659)=1,
"Unique",
IF(COUNTIFS($A:$A,A659,$N:$N,N659,$AF:$AF,AF659,$AJ:$AJ,AJ659)&gt;1,
"Exact Duplicate",
"Conflicting Duplicate"))</f>
        <v>Unique</v>
      </c>
      <c r="D659" t="s">
        <v>3102</v>
      </c>
      <c r="E659" t="s">
        <v>3103</v>
      </c>
      <c r="F659" s="3">
        <v>45876</v>
      </c>
      <c r="G659" s="3">
        <v>45938</v>
      </c>
      <c r="H659" s="5" t="str">
        <f t="shared" si="180"/>
        <v>August</v>
      </c>
      <c r="I659" s="5">
        <f t="shared" si="181"/>
        <v>2025</v>
      </c>
      <c r="J659" t="str">
        <f>IF(F659="","Missing Date",
IF(ISNUMBER(F659),"Valid","Invalid Date"))</f>
        <v>Valid</v>
      </c>
      <c r="K659" t="str">
        <f t="shared" si="182"/>
        <v>Valid</v>
      </c>
      <c r="L659">
        <f>G659-F659</f>
        <v>62</v>
      </c>
      <c r="M659" t="s">
        <v>3104</v>
      </c>
      <c r="N659" t="s">
        <v>107</v>
      </c>
      <c r="O659" t="str">
        <f t="shared" si="183"/>
        <v>Aditi Sen</v>
      </c>
      <c r="P659" t="s">
        <v>115</v>
      </c>
      <c r="Q659" t="str">
        <f t="shared" si="184"/>
        <v>Home Office</v>
      </c>
      <c r="R659" t="s">
        <v>42</v>
      </c>
      <c r="S659" t="str">
        <f t="shared" si="185"/>
        <v>East</v>
      </c>
      <c r="T659" t="s">
        <v>186</v>
      </c>
      <c r="U659" t="str">
        <f t="shared" si="186"/>
        <v>Bihar</v>
      </c>
      <c r="V659" t="s">
        <v>187</v>
      </c>
      <c r="W659" t="str">
        <f t="shared" si="187"/>
        <v>Patna</v>
      </c>
      <c r="X659" t="s">
        <v>30</v>
      </c>
      <c r="Y659" t="str">
        <f t="shared" si="188"/>
        <v>Office Supplies</v>
      </c>
      <c r="Z659" t="s">
        <v>156</v>
      </c>
      <c r="AA659" t="str">
        <f t="shared" si="189"/>
        <v>Storage</v>
      </c>
      <c r="AB659" t="s">
        <v>3105</v>
      </c>
      <c r="AC659" t="s">
        <v>33</v>
      </c>
      <c r="AD659" t="str">
        <f t="shared" si="190"/>
        <v>Second Class</v>
      </c>
      <c r="AE659">
        <v>1</v>
      </c>
      <c r="AF659">
        <v>2541.25</v>
      </c>
      <c r="AG659">
        <v>0.2</v>
      </c>
      <c r="AH659">
        <v>0.2</v>
      </c>
      <c r="AI659" t="str">
        <f t="shared" si="191"/>
        <v>Valid</v>
      </c>
      <c r="AJ659">
        <v>2033</v>
      </c>
      <c r="AK659">
        <f t="shared" si="192"/>
        <v>2033</v>
      </c>
      <c r="AL659">
        <v>1291.4100000000001</v>
      </c>
      <c r="AM659">
        <v>741.59</v>
      </c>
      <c r="AN659">
        <f t="shared" si="193"/>
        <v>741.58999999999992</v>
      </c>
      <c r="AO659">
        <f t="shared" si="194"/>
        <v>-1291.4100000000001</v>
      </c>
      <c r="AP659" t="s">
        <v>34</v>
      </c>
      <c r="AQ659" t="str">
        <f t="shared" si="195"/>
        <v>Paid</v>
      </c>
      <c r="AR659" t="s">
        <v>35</v>
      </c>
      <c r="AS659" t="str">
        <f t="shared" si="196"/>
        <v>Completed</v>
      </c>
      <c r="AT659" t="str">
        <f t="shared" si="197"/>
        <v>Clean</v>
      </c>
    </row>
    <row r="660" spans="1:46">
      <c r="A660" t="s">
        <v>3106</v>
      </c>
      <c r="B660">
        <f>COUNTIF($D$2:D660,D660)</f>
        <v>2</v>
      </c>
      <c r="C660" t="str">
        <f>IF(COUNTIF($A:$A,A660)=1,
"Unique",
IF(COUNTIFS($A:$A,A660,$N:$N,N660,$AF:$AF,AF660,$AJ:$AJ,AJ660)&gt;1,
"Exact Duplicate",
"Conflicting Duplicate"))</f>
        <v>Unique</v>
      </c>
      <c r="D660" t="s">
        <v>3107</v>
      </c>
      <c r="E660" t="s">
        <v>2213</v>
      </c>
      <c r="F660" s="3">
        <v>45906</v>
      </c>
      <c r="G660" s="3">
        <v>45820</v>
      </c>
      <c r="H660" s="5" t="str">
        <f t="shared" si="180"/>
        <v>September</v>
      </c>
      <c r="I660" s="5">
        <f t="shared" si="181"/>
        <v>2025</v>
      </c>
      <c r="J660" t="str">
        <f>IF(F660="","Missing Date",
IF(ISNUMBER(F660),"Valid","Invalid Date"))</f>
        <v>Valid</v>
      </c>
      <c r="K660" t="str">
        <f t="shared" si="182"/>
        <v>Valid</v>
      </c>
      <c r="L660">
        <f>G660-F660</f>
        <v>-86</v>
      </c>
      <c r="M660" t="s">
        <v>3108</v>
      </c>
      <c r="N660" t="s">
        <v>168</v>
      </c>
      <c r="O660" t="str">
        <f t="shared" si="183"/>
        <v>Sneha Kapoor</v>
      </c>
      <c r="P660" t="s">
        <v>26</v>
      </c>
      <c r="Q660" t="str">
        <f t="shared" si="184"/>
        <v>Consumer</v>
      </c>
      <c r="R660" t="s">
        <v>4104</v>
      </c>
      <c r="S660" t="s">
        <v>4104</v>
      </c>
      <c r="T660" t="s">
        <v>186</v>
      </c>
      <c r="U660" t="str">
        <f t="shared" si="186"/>
        <v>Bihar</v>
      </c>
      <c r="V660" t="s">
        <v>187</v>
      </c>
      <c r="W660" t="str">
        <f t="shared" si="187"/>
        <v>Patna</v>
      </c>
      <c r="X660" t="s">
        <v>30</v>
      </c>
      <c r="Y660" t="str">
        <f t="shared" si="188"/>
        <v>Office Supplies</v>
      </c>
      <c r="Z660" t="s">
        <v>54</v>
      </c>
      <c r="AA660" t="str">
        <f t="shared" si="189"/>
        <v>Art</v>
      </c>
      <c r="AB660" t="s">
        <v>3109</v>
      </c>
      <c r="AC660" t="s">
        <v>56</v>
      </c>
      <c r="AD660" t="str">
        <f t="shared" si="190"/>
        <v>First Class</v>
      </c>
      <c r="AE660">
        <v>7</v>
      </c>
      <c r="AF660">
        <v>2852.42</v>
      </c>
      <c r="AG660">
        <v>0</v>
      </c>
      <c r="AH660">
        <v>0</v>
      </c>
      <c r="AI660" t="str">
        <f t="shared" si="191"/>
        <v>Valid</v>
      </c>
      <c r="AJ660">
        <v>19966.939999999999</v>
      </c>
      <c r="AK660">
        <f t="shared" si="192"/>
        <v>19966.940000000002</v>
      </c>
      <c r="AL660">
        <v>12690.83</v>
      </c>
      <c r="AM660">
        <v>7276.11</v>
      </c>
      <c r="AN660">
        <f t="shared" si="193"/>
        <v>7276.1100000000024</v>
      </c>
      <c r="AO660">
        <f t="shared" si="194"/>
        <v>-12690.83</v>
      </c>
      <c r="AP660" t="s">
        <v>124</v>
      </c>
      <c r="AQ660" t="str">
        <f t="shared" si="195"/>
        <v>Refunded</v>
      </c>
      <c r="AR660" t="s">
        <v>78</v>
      </c>
      <c r="AS660" t="str">
        <f t="shared" si="196"/>
        <v>Cancelled</v>
      </c>
      <c r="AT660" t="str">
        <f t="shared" si="197"/>
        <v>Clean</v>
      </c>
    </row>
    <row r="661" spans="1:46">
      <c r="A661" t="s">
        <v>3110</v>
      </c>
      <c r="B661">
        <f>COUNTIF($D$2:D661,D661)</f>
        <v>3</v>
      </c>
      <c r="C661" t="str">
        <f>IF(COUNTIF($A:$A,A661)=1,
"Unique",
IF(COUNTIFS($A:$A,A661,$N:$N,N661,$AF:$AF,AF661,$AJ:$AJ,AJ661)&gt;1,
"Exact Duplicate",
"Conflicting Duplicate"))</f>
        <v>Unique</v>
      </c>
      <c r="D661" t="s">
        <v>183</v>
      </c>
      <c r="E661" t="s">
        <v>1837</v>
      </c>
      <c r="F661" s="3">
        <v>45678</v>
      </c>
      <c r="G661" s="3">
        <v>45679</v>
      </c>
      <c r="H661" s="5" t="str">
        <f t="shared" si="180"/>
        <v>January</v>
      </c>
      <c r="I661" s="5">
        <f t="shared" si="181"/>
        <v>2025</v>
      </c>
      <c r="J661" t="str">
        <f>IF(F661="","Missing Date",
IF(ISNUMBER(F661),"Valid","Invalid Date"))</f>
        <v>Valid</v>
      </c>
      <c r="K661" t="str">
        <f t="shared" si="182"/>
        <v>Valid</v>
      </c>
      <c r="L661">
        <f>G661-F661</f>
        <v>1</v>
      </c>
      <c r="M661" t="s">
        <v>3111</v>
      </c>
      <c r="N661" t="s">
        <v>210</v>
      </c>
      <c r="O661" t="str">
        <f t="shared" si="183"/>
        <v>Diya Patel</v>
      </c>
      <c r="P661" t="s">
        <v>108</v>
      </c>
      <c r="Q661" t="str">
        <f t="shared" si="184"/>
        <v>Corporate</v>
      </c>
      <c r="R661" t="s">
        <v>62</v>
      </c>
      <c r="S661" t="str">
        <f t="shared" si="185"/>
        <v>South</v>
      </c>
      <c r="T661" t="s">
        <v>229</v>
      </c>
      <c r="U661" t="str">
        <f t="shared" si="186"/>
        <v>Karnataka</v>
      </c>
      <c r="V661" t="s">
        <v>230</v>
      </c>
      <c r="W661" t="str">
        <f t="shared" si="187"/>
        <v>Bengaluru</v>
      </c>
      <c r="X661" t="s">
        <v>86</v>
      </c>
      <c r="Y661" t="str">
        <f t="shared" si="188"/>
        <v>Technology</v>
      </c>
      <c r="Z661" t="s">
        <v>223</v>
      </c>
      <c r="AA661" t="str">
        <f t="shared" si="189"/>
        <v>Phones</v>
      </c>
      <c r="AB661" t="s">
        <v>3112</v>
      </c>
      <c r="AC661" t="s">
        <v>33</v>
      </c>
      <c r="AD661" t="str">
        <f t="shared" si="190"/>
        <v>Second Class</v>
      </c>
      <c r="AE661">
        <v>2</v>
      </c>
      <c r="AF661">
        <v>444.31</v>
      </c>
      <c r="AG661">
        <v>0.2</v>
      </c>
      <c r="AH661">
        <v>0.2</v>
      </c>
      <c r="AI661" t="str">
        <f t="shared" si="191"/>
        <v>Valid</v>
      </c>
      <c r="AJ661">
        <v>710.9</v>
      </c>
      <c r="AK661">
        <f t="shared" si="192"/>
        <v>710.89600000000007</v>
      </c>
      <c r="AL661">
        <v>513.88</v>
      </c>
      <c r="AM661">
        <v>197.02</v>
      </c>
      <c r="AN661">
        <f t="shared" si="193"/>
        <v>197.01600000000008</v>
      </c>
      <c r="AO661">
        <f t="shared" si="194"/>
        <v>-513.88</v>
      </c>
      <c r="AP661" t="s">
        <v>124</v>
      </c>
      <c r="AQ661" t="str">
        <f t="shared" si="195"/>
        <v>Refunded</v>
      </c>
      <c r="AR661" t="s">
        <v>78</v>
      </c>
      <c r="AS661" t="str">
        <f t="shared" si="196"/>
        <v>Cancelled</v>
      </c>
      <c r="AT661" t="str">
        <f t="shared" si="197"/>
        <v>Clean</v>
      </c>
    </row>
    <row r="662" spans="1:46">
      <c r="A662" t="s">
        <v>3113</v>
      </c>
      <c r="B662">
        <f>COUNTIF($D$2:D662,D662)</f>
        <v>2</v>
      </c>
      <c r="C662" t="str">
        <f>IF(COUNTIF($A:$A,A662)=1,
"Unique",
IF(COUNTIFS($A:$A,A662,$N:$N,N662,$AF:$AF,AF662,$AJ:$AJ,AJ662)&gt;1,
"Exact Duplicate",
"Conflicting Duplicate"))</f>
        <v>Unique</v>
      </c>
      <c r="D662" t="s">
        <v>171</v>
      </c>
      <c r="E662" t="s">
        <v>3114</v>
      </c>
      <c r="F662" s="3">
        <v>45853</v>
      </c>
      <c r="G662" s="3">
        <v>45853</v>
      </c>
      <c r="H662" s="5" t="str">
        <f t="shared" si="180"/>
        <v>July</v>
      </c>
      <c r="I662" s="5">
        <f t="shared" si="181"/>
        <v>2025</v>
      </c>
      <c r="J662" t="str">
        <f>IF(F662="","Missing Date",
IF(ISNUMBER(F662),"Valid","Invalid Date"))</f>
        <v>Valid</v>
      </c>
      <c r="K662" t="str">
        <f t="shared" si="182"/>
        <v>Valid</v>
      </c>
      <c r="L662">
        <f>G662-F662</f>
        <v>0</v>
      </c>
      <c r="M662" t="s">
        <v>3115</v>
      </c>
      <c r="N662" t="s">
        <v>61</v>
      </c>
      <c r="O662" t="str">
        <f t="shared" si="183"/>
        <v>Arjun Bose</v>
      </c>
      <c r="P662" t="s">
        <v>41</v>
      </c>
      <c r="Q662" t="str">
        <f t="shared" si="184"/>
        <v>Small Business</v>
      </c>
      <c r="R662" t="s">
        <v>42</v>
      </c>
      <c r="S662" t="str">
        <f t="shared" si="185"/>
        <v>East</v>
      </c>
      <c r="T662" t="s">
        <v>311</v>
      </c>
      <c r="U662" t="str">
        <f t="shared" si="186"/>
        <v>Jharkhand</v>
      </c>
      <c r="V662" t="s">
        <v>312</v>
      </c>
      <c r="W662" t="str">
        <f t="shared" si="187"/>
        <v>Ranchi</v>
      </c>
      <c r="X662" t="s">
        <v>86</v>
      </c>
      <c r="Y662" t="str">
        <f t="shared" si="188"/>
        <v>Technology</v>
      </c>
      <c r="Z662" t="s">
        <v>223</v>
      </c>
      <c r="AA662" t="str">
        <f t="shared" si="189"/>
        <v>Phones</v>
      </c>
      <c r="AB662" t="s">
        <v>3116</v>
      </c>
      <c r="AC662" t="s">
        <v>48</v>
      </c>
      <c r="AD662" t="str">
        <f t="shared" si="190"/>
        <v>Same Day</v>
      </c>
      <c r="AE662">
        <v>4</v>
      </c>
      <c r="AF662">
        <v>4442.91</v>
      </c>
      <c r="AG662">
        <v>0.1</v>
      </c>
      <c r="AH662">
        <v>0.1</v>
      </c>
      <c r="AI662" t="str">
        <f t="shared" si="191"/>
        <v>Valid</v>
      </c>
      <c r="AJ662">
        <v>15994.48</v>
      </c>
      <c r="AK662">
        <f t="shared" si="192"/>
        <v>15994.476000000001</v>
      </c>
      <c r="AL662">
        <v>9224.2800000000007</v>
      </c>
      <c r="AM662">
        <v>6770.2</v>
      </c>
      <c r="AN662">
        <f t="shared" si="193"/>
        <v>6770.1959999999999</v>
      </c>
      <c r="AO662">
        <f t="shared" si="194"/>
        <v>-9224.2800000000007</v>
      </c>
      <c r="AP662" t="s">
        <v>34</v>
      </c>
      <c r="AQ662" t="str">
        <f t="shared" si="195"/>
        <v>Paid</v>
      </c>
      <c r="AR662" t="s">
        <v>35</v>
      </c>
      <c r="AS662" t="str">
        <f t="shared" si="196"/>
        <v>Completed</v>
      </c>
      <c r="AT662" t="str">
        <f t="shared" si="197"/>
        <v>Clean</v>
      </c>
    </row>
    <row r="663" spans="1:46">
      <c r="A663" t="s">
        <v>3117</v>
      </c>
      <c r="B663">
        <f>COUNTIF($D$2:D663,D663)</f>
        <v>1</v>
      </c>
      <c r="C663" t="str">
        <f>IF(COUNTIF($A:$A,A663)=1,
"Unique",
IF(COUNTIFS($A:$A,A663,$N:$N,N663,$AF:$AF,AF663,$AJ:$AJ,AJ663)&gt;1,
"Exact Duplicate",
"Conflicting Duplicate"))</f>
        <v>Unique</v>
      </c>
      <c r="D663" t="s">
        <v>3118</v>
      </c>
      <c r="E663" t="s">
        <v>3119</v>
      </c>
      <c r="F663" s="3">
        <v>45429</v>
      </c>
      <c r="G663" s="3">
        <v>45434</v>
      </c>
      <c r="H663" s="5" t="str">
        <f t="shared" si="180"/>
        <v>May</v>
      </c>
      <c r="I663" s="5">
        <f t="shared" si="181"/>
        <v>2024</v>
      </c>
      <c r="J663" t="str">
        <f>IF(F663="","Missing Date",
IF(ISNUMBER(F663),"Valid","Invalid Date"))</f>
        <v>Valid</v>
      </c>
      <c r="K663" t="str">
        <f t="shared" si="182"/>
        <v>Valid</v>
      </c>
      <c r="L663">
        <f>G663-F663</f>
        <v>5</v>
      </c>
      <c r="M663" t="s">
        <v>3120</v>
      </c>
      <c r="N663" t="s">
        <v>168</v>
      </c>
      <c r="O663" t="str">
        <f t="shared" si="183"/>
        <v>Sneha Kapoor</v>
      </c>
      <c r="P663" t="s">
        <v>26</v>
      </c>
      <c r="Q663" t="str">
        <f t="shared" si="184"/>
        <v>Consumer</v>
      </c>
      <c r="R663" t="s">
        <v>62</v>
      </c>
      <c r="S663" t="str">
        <f t="shared" si="185"/>
        <v>South</v>
      </c>
      <c r="T663" t="s">
        <v>100</v>
      </c>
      <c r="U663" t="str">
        <f t="shared" si="186"/>
        <v>Andhra Pradesh</v>
      </c>
      <c r="V663" t="s">
        <v>101</v>
      </c>
      <c r="W663" t="str">
        <f t="shared" si="187"/>
        <v>Vijayawada</v>
      </c>
      <c r="X663" t="s">
        <v>86</v>
      </c>
      <c r="Y663" t="str">
        <f t="shared" si="188"/>
        <v>Technology</v>
      </c>
      <c r="Z663" t="s">
        <v>382</v>
      </c>
      <c r="AA663" t="str">
        <f t="shared" si="189"/>
        <v>Machines</v>
      </c>
      <c r="AB663" t="s">
        <v>3121</v>
      </c>
      <c r="AC663" t="s">
        <v>33</v>
      </c>
      <c r="AD663" t="str">
        <f t="shared" si="190"/>
        <v>Second Class</v>
      </c>
      <c r="AE663">
        <v>7</v>
      </c>
      <c r="AF663">
        <v>232.5</v>
      </c>
      <c r="AG663">
        <v>0</v>
      </c>
      <c r="AH663">
        <v>0</v>
      </c>
      <c r="AI663" t="str">
        <f t="shared" si="191"/>
        <v>Valid</v>
      </c>
      <c r="AJ663">
        <v>1627.5</v>
      </c>
      <c r="AK663">
        <f t="shared" si="192"/>
        <v>1627.5</v>
      </c>
      <c r="AL663">
        <v>939.9</v>
      </c>
      <c r="AM663">
        <v>687.6</v>
      </c>
      <c r="AN663">
        <f t="shared" si="193"/>
        <v>687.6</v>
      </c>
      <c r="AO663">
        <f t="shared" si="194"/>
        <v>-939.9</v>
      </c>
      <c r="AP663" t="s">
        <v>34</v>
      </c>
      <c r="AQ663" t="str">
        <f t="shared" si="195"/>
        <v>Paid</v>
      </c>
      <c r="AR663" t="s">
        <v>35</v>
      </c>
      <c r="AS663" t="str">
        <f t="shared" si="196"/>
        <v>Completed</v>
      </c>
      <c r="AT663" t="str">
        <f t="shared" si="197"/>
        <v>Clean</v>
      </c>
    </row>
    <row r="664" spans="1:46">
      <c r="A664" t="s">
        <v>3122</v>
      </c>
      <c r="B664">
        <f>COUNTIF($D$2:D664,D664)</f>
        <v>1</v>
      </c>
      <c r="C664" t="str">
        <f>IF(COUNTIF($A:$A,A664)=1,
"Unique",
IF(COUNTIFS($A:$A,A664,$N:$N,N664,$AF:$AF,AF664,$AJ:$AJ,AJ664)&gt;1,
"Exact Duplicate",
"Conflicting Duplicate"))</f>
        <v>Unique</v>
      </c>
      <c r="D664" t="s">
        <v>3123</v>
      </c>
      <c r="E664" t="s">
        <v>3124</v>
      </c>
      <c r="F664" s="3">
        <v>45305</v>
      </c>
      <c r="G664" s="3">
        <v>45309</v>
      </c>
      <c r="H664" s="5" t="str">
        <f t="shared" si="180"/>
        <v>January</v>
      </c>
      <c r="I664" s="5">
        <f t="shared" si="181"/>
        <v>2024</v>
      </c>
      <c r="J664" t="str">
        <f>IF(F664="","Missing Date",
IF(ISNUMBER(F664),"Valid","Invalid Date"))</f>
        <v>Valid</v>
      </c>
      <c r="K664" t="str">
        <f t="shared" si="182"/>
        <v>Valid</v>
      </c>
      <c r="L664">
        <f>G664-F664</f>
        <v>4</v>
      </c>
      <c r="M664" t="s">
        <v>3125</v>
      </c>
      <c r="N664" t="s">
        <v>40</v>
      </c>
      <c r="O664" t="str">
        <f t="shared" si="183"/>
        <v>Mira Das</v>
      </c>
      <c r="P664" t="s">
        <v>115</v>
      </c>
      <c r="Q664" t="str">
        <f t="shared" si="184"/>
        <v>Home Office</v>
      </c>
      <c r="R664" t="s">
        <v>73</v>
      </c>
      <c r="S664" t="str">
        <f t="shared" si="185"/>
        <v>West</v>
      </c>
      <c r="T664" t="s">
        <v>28</v>
      </c>
      <c r="U664" t="str">
        <f t="shared" si="186"/>
        <v>Rajasthan</v>
      </c>
      <c r="V664" t="s">
        <v>135</v>
      </c>
      <c r="W664" t="str">
        <f t="shared" si="187"/>
        <v>Udaipur</v>
      </c>
      <c r="X664" t="s">
        <v>86</v>
      </c>
      <c r="Y664" t="str">
        <f t="shared" si="188"/>
        <v>Technology</v>
      </c>
      <c r="Z664" t="s">
        <v>382</v>
      </c>
      <c r="AA664" t="str">
        <f t="shared" si="189"/>
        <v>Machines</v>
      </c>
      <c r="AB664" t="s">
        <v>3126</v>
      </c>
      <c r="AC664" t="s">
        <v>48</v>
      </c>
      <c r="AD664" t="str">
        <f t="shared" si="190"/>
        <v>Same Day</v>
      </c>
      <c r="AE664">
        <v>6</v>
      </c>
      <c r="AF664">
        <v>1784.8</v>
      </c>
      <c r="AG664">
        <v>0.1</v>
      </c>
      <c r="AH664">
        <v>0.1</v>
      </c>
      <c r="AI664" t="str">
        <f t="shared" si="191"/>
        <v>Valid</v>
      </c>
      <c r="AJ664">
        <v>9637.92</v>
      </c>
      <c r="AK664">
        <f t="shared" si="192"/>
        <v>9637.92</v>
      </c>
      <c r="AL664">
        <v>7329.29</v>
      </c>
      <c r="AM664">
        <v>2308.63</v>
      </c>
      <c r="AN664">
        <f t="shared" si="193"/>
        <v>2308.63</v>
      </c>
      <c r="AO664">
        <f t="shared" si="194"/>
        <v>-7329.29</v>
      </c>
      <c r="AP664" t="s">
        <v>34</v>
      </c>
      <c r="AQ664" t="str">
        <f t="shared" si="195"/>
        <v>Paid</v>
      </c>
      <c r="AR664" t="s">
        <v>35</v>
      </c>
      <c r="AS664" t="str">
        <f t="shared" si="196"/>
        <v>Completed</v>
      </c>
      <c r="AT664" t="str">
        <f t="shared" si="197"/>
        <v>Clean</v>
      </c>
    </row>
    <row r="665" spans="1:46">
      <c r="A665" t="s">
        <v>3127</v>
      </c>
      <c r="B665">
        <f>COUNTIF($D$2:D665,D665)</f>
        <v>2</v>
      </c>
      <c r="C665" t="str">
        <f>IF(COUNTIF($A:$A,A665)=1,
"Unique",
IF(COUNTIFS($A:$A,A665,$N:$N,N665,$AF:$AF,AF665,$AJ:$AJ,AJ665)&gt;1,
"Exact Duplicate",
"Conflicting Duplicate"))</f>
        <v>Unique</v>
      </c>
      <c r="D665" t="s">
        <v>1225</v>
      </c>
      <c r="E665" t="s">
        <v>2682</v>
      </c>
      <c r="F665" s="3">
        <v>45414</v>
      </c>
      <c r="G665" s="3">
        <v>45509</v>
      </c>
      <c r="H665" s="5" t="str">
        <f t="shared" si="180"/>
        <v>May</v>
      </c>
      <c r="I665" s="5">
        <f t="shared" si="181"/>
        <v>2024</v>
      </c>
      <c r="J665" t="str">
        <f>IF(F665="","Missing Date",
IF(ISNUMBER(F665),"Valid","Invalid Date"))</f>
        <v>Valid</v>
      </c>
      <c r="K665" t="str">
        <f t="shared" si="182"/>
        <v>Valid</v>
      </c>
      <c r="L665">
        <f>G665-F665</f>
        <v>95</v>
      </c>
      <c r="M665" t="s">
        <v>3128</v>
      </c>
      <c r="N665" t="s">
        <v>148</v>
      </c>
      <c r="O665" t="str">
        <f t="shared" si="183"/>
        <v>Rahul Verma</v>
      </c>
      <c r="P665" t="s">
        <v>115</v>
      </c>
      <c r="Q665" t="str">
        <f t="shared" si="184"/>
        <v>Home Office</v>
      </c>
      <c r="R665" t="s">
        <v>42</v>
      </c>
      <c r="S665" t="str">
        <f t="shared" si="185"/>
        <v>East</v>
      </c>
      <c r="T665" t="s">
        <v>311</v>
      </c>
      <c r="U665" t="str">
        <f t="shared" si="186"/>
        <v>Jharkhand</v>
      </c>
      <c r="V665" t="s">
        <v>312</v>
      </c>
      <c r="W665" t="str">
        <f t="shared" si="187"/>
        <v>Ranchi</v>
      </c>
      <c r="X665" t="s">
        <v>86</v>
      </c>
      <c r="Y665" t="str">
        <f t="shared" si="188"/>
        <v>Technology</v>
      </c>
      <c r="Z665" t="s">
        <v>94</v>
      </c>
      <c r="AA665" t="str">
        <f t="shared" si="189"/>
        <v>Copiers</v>
      </c>
      <c r="AB665" t="s">
        <v>3129</v>
      </c>
      <c r="AC665" t="s">
        <v>33</v>
      </c>
      <c r="AD665" t="str">
        <f t="shared" si="190"/>
        <v>Second Class</v>
      </c>
      <c r="AE665">
        <v>2</v>
      </c>
      <c r="AF665">
        <v>3185.01</v>
      </c>
      <c r="AG665">
        <v>-0.24</v>
      </c>
      <c r="AH665">
        <v>-0.24</v>
      </c>
      <c r="AI665" t="str">
        <f t="shared" si="191"/>
        <v>Invalid - Negative Discount</v>
      </c>
      <c r="AJ665">
        <v>4777.5200000000004</v>
      </c>
      <c r="AK665">
        <f t="shared" si="192"/>
        <v>7898.8248000000003</v>
      </c>
      <c r="AL665">
        <v>3152.98</v>
      </c>
      <c r="AM665">
        <v>1624.54</v>
      </c>
      <c r="AN665">
        <f t="shared" si="193"/>
        <v>4745.8448000000008</v>
      </c>
      <c r="AO665">
        <f t="shared" si="194"/>
        <v>-3152.9799999999996</v>
      </c>
      <c r="AP665" t="s">
        <v>34</v>
      </c>
      <c r="AQ665" t="str">
        <f t="shared" si="195"/>
        <v>Paid</v>
      </c>
      <c r="AR665" t="s">
        <v>35</v>
      </c>
      <c r="AS665" t="str">
        <f t="shared" si="196"/>
        <v>Completed</v>
      </c>
      <c r="AT665" t="str">
        <f t="shared" si="197"/>
        <v>Clean</v>
      </c>
    </row>
    <row r="666" spans="1:46">
      <c r="A666" t="s">
        <v>3130</v>
      </c>
      <c r="B666">
        <f>COUNTIF($D$2:D666,D666)</f>
        <v>1</v>
      </c>
      <c r="C666" t="str">
        <f>IF(COUNTIF($A:$A,A666)=1,
"Unique",
IF(COUNTIFS($A:$A,A666,$N:$N,N666,$AF:$AF,AF666,$AJ:$AJ,AJ666)&gt;1,
"Exact Duplicate",
"Conflicting Duplicate"))</f>
        <v>Unique</v>
      </c>
      <c r="D666" t="s">
        <v>3131</v>
      </c>
      <c r="E666" t="s">
        <v>3132</v>
      </c>
      <c r="F666" s="2">
        <v>45485</v>
      </c>
      <c r="G666" s="2">
        <v>45577</v>
      </c>
      <c r="H666" s="5" t="str">
        <f t="shared" si="180"/>
        <v>July</v>
      </c>
      <c r="I666" s="5">
        <f t="shared" si="181"/>
        <v>2024</v>
      </c>
      <c r="J666" t="str">
        <f>IF(F666="","Missing Date",
IF(ISNUMBER(F666),"Valid","Invalid Date"))</f>
        <v>Valid</v>
      </c>
      <c r="K666" t="str">
        <f t="shared" si="182"/>
        <v>Valid</v>
      </c>
      <c r="L666">
        <f>G666-F666</f>
        <v>92</v>
      </c>
      <c r="M666" t="s">
        <v>3133</v>
      </c>
      <c r="N666" t="s">
        <v>40</v>
      </c>
      <c r="O666" t="str">
        <f t="shared" si="183"/>
        <v>Mira Das</v>
      </c>
      <c r="P666" t="s">
        <v>115</v>
      </c>
      <c r="Q666" t="str">
        <f t="shared" si="184"/>
        <v>Home Office</v>
      </c>
      <c r="R666" t="s">
        <v>62</v>
      </c>
      <c r="S666" t="str">
        <f t="shared" si="185"/>
        <v>South</v>
      </c>
      <c r="T666" t="s">
        <v>63</v>
      </c>
      <c r="U666" t="str">
        <f t="shared" si="186"/>
        <v>Telangana</v>
      </c>
      <c r="V666" t="s">
        <v>64</v>
      </c>
      <c r="W666" t="str">
        <f t="shared" si="187"/>
        <v>Hyderabad</v>
      </c>
      <c r="X666" t="s">
        <v>86</v>
      </c>
      <c r="Y666" t="str">
        <f t="shared" si="188"/>
        <v>Technology</v>
      </c>
      <c r="Z666" t="s">
        <v>87</v>
      </c>
      <c r="AA666" t="str">
        <f t="shared" si="189"/>
        <v>Accessories</v>
      </c>
      <c r="AB666" t="s">
        <v>3134</v>
      </c>
      <c r="AC666" t="s">
        <v>67</v>
      </c>
      <c r="AD666" t="str">
        <f t="shared" si="190"/>
        <v>Standard Class</v>
      </c>
      <c r="AE666">
        <v>1</v>
      </c>
      <c r="AF666">
        <v>1908.83</v>
      </c>
      <c r="AG666">
        <v>0.2</v>
      </c>
      <c r="AH666">
        <v>0.2</v>
      </c>
      <c r="AI666" t="str">
        <f t="shared" si="191"/>
        <v>Valid</v>
      </c>
      <c r="AJ666">
        <v>1527.06</v>
      </c>
      <c r="AK666">
        <f t="shared" si="192"/>
        <v>1527.0640000000001</v>
      </c>
      <c r="AL666">
        <v>1055.8900000000001</v>
      </c>
      <c r="AM666">
        <v>471.17</v>
      </c>
      <c r="AN666">
        <f t="shared" si="193"/>
        <v>471.17399999999998</v>
      </c>
      <c r="AO666">
        <f t="shared" si="194"/>
        <v>-1055.8900000000001</v>
      </c>
      <c r="AP666" t="s">
        <v>34</v>
      </c>
      <c r="AQ666" t="str">
        <f t="shared" si="195"/>
        <v>Paid</v>
      </c>
      <c r="AR666" t="s">
        <v>35</v>
      </c>
      <c r="AS666" t="str">
        <f t="shared" si="196"/>
        <v>Completed</v>
      </c>
      <c r="AT666" t="str">
        <f t="shared" si="197"/>
        <v>Clean</v>
      </c>
    </row>
    <row r="667" spans="1:46">
      <c r="A667" t="s">
        <v>3135</v>
      </c>
      <c r="B667">
        <f>COUNTIF($D$2:D667,D667)</f>
        <v>1</v>
      </c>
      <c r="C667" t="str">
        <f>IF(COUNTIF($A:$A,A667)=1,
"Unique",
IF(COUNTIFS($A:$A,A667,$N:$N,N667,$AF:$AF,AF667,$AJ:$AJ,AJ667)&gt;1,
"Exact Duplicate",
"Conflicting Duplicate"))</f>
        <v>Unique</v>
      </c>
      <c r="D667" t="s">
        <v>3136</v>
      </c>
      <c r="E667" t="s">
        <v>3137</v>
      </c>
      <c r="F667" s="3">
        <v>45670</v>
      </c>
      <c r="G667" s="3">
        <v>45670</v>
      </c>
      <c r="H667" s="5" t="str">
        <f t="shared" si="180"/>
        <v>January</v>
      </c>
      <c r="I667" s="5">
        <f t="shared" si="181"/>
        <v>2025</v>
      </c>
      <c r="J667" t="str">
        <f>IF(F667="","Missing Date",
IF(ISNUMBER(F667),"Valid","Invalid Date"))</f>
        <v>Valid</v>
      </c>
      <c r="K667" t="str">
        <f t="shared" si="182"/>
        <v>Valid</v>
      </c>
      <c r="L667">
        <f>G667-F667</f>
        <v>0</v>
      </c>
      <c r="M667" t="s">
        <v>3138</v>
      </c>
      <c r="N667" t="s">
        <v>148</v>
      </c>
      <c r="O667" t="str">
        <f t="shared" si="183"/>
        <v>Rahul Verma</v>
      </c>
      <c r="P667" t="s">
        <v>115</v>
      </c>
      <c r="Q667" t="str">
        <f t="shared" si="184"/>
        <v>Home Office</v>
      </c>
      <c r="R667" t="s">
        <v>73</v>
      </c>
      <c r="S667" t="str">
        <f t="shared" si="185"/>
        <v>West</v>
      </c>
      <c r="T667" t="s">
        <v>235</v>
      </c>
      <c r="U667" t="str">
        <f t="shared" si="186"/>
        <v>Gujarat</v>
      </c>
      <c r="V667" t="s">
        <v>236</v>
      </c>
      <c r="W667" t="str">
        <f t="shared" si="187"/>
        <v>Ahmedabad</v>
      </c>
      <c r="X667" t="s">
        <v>30</v>
      </c>
      <c r="Y667" t="str">
        <f t="shared" si="188"/>
        <v>Office Supplies</v>
      </c>
      <c r="Z667" t="s">
        <v>54</v>
      </c>
      <c r="AA667" t="str">
        <f t="shared" si="189"/>
        <v>Art</v>
      </c>
      <c r="AB667" t="s">
        <v>3139</v>
      </c>
      <c r="AC667" t="s">
        <v>67</v>
      </c>
      <c r="AD667" t="str">
        <f t="shared" si="190"/>
        <v>Standard Class</v>
      </c>
      <c r="AE667">
        <v>3</v>
      </c>
      <c r="AF667">
        <v>2110.52</v>
      </c>
      <c r="AG667">
        <v>0.1</v>
      </c>
      <c r="AH667">
        <v>0.1</v>
      </c>
      <c r="AI667" t="str">
        <f t="shared" si="191"/>
        <v>Valid</v>
      </c>
      <c r="AJ667">
        <v>5698.4</v>
      </c>
      <c r="AK667">
        <f t="shared" si="192"/>
        <v>5698.4039999999995</v>
      </c>
      <c r="AL667">
        <v>3640.89</v>
      </c>
      <c r="AM667">
        <v>2057.5100000000002</v>
      </c>
      <c r="AN667">
        <f t="shared" si="193"/>
        <v>2057.5139999999997</v>
      </c>
      <c r="AO667">
        <f t="shared" si="194"/>
        <v>-3640.89</v>
      </c>
      <c r="AP667" t="s">
        <v>200</v>
      </c>
      <c r="AQ667" t="str">
        <f t="shared" si="195"/>
        <v>Failed</v>
      </c>
      <c r="AR667" t="s">
        <v>78</v>
      </c>
      <c r="AS667" t="str">
        <f t="shared" si="196"/>
        <v>Cancelled</v>
      </c>
      <c r="AT667" t="str">
        <f t="shared" si="197"/>
        <v>Clean</v>
      </c>
    </row>
    <row r="668" spans="1:46">
      <c r="A668" t="s">
        <v>3140</v>
      </c>
      <c r="B668">
        <f>COUNTIF($D$2:D668,D668)</f>
        <v>2</v>
      </c>
      <c r="C668" t="str">
        <f>IF(COUNTIF($A:$A,A668)=1,
"Unique",
IF(COUNTIFS($A:$A,A668,$N:$N,N668,$AF:$AF,AF668,$AJ:$AJ,AJ668)&gt;1,
"Exact Duplicate",
"Conflicting Duplicate"))</f>
        <v>Unique</v>
      </c>
      <c r="D668" t="s">
        <v>2152</v>
      </c>
      <c r="E668" t="s">
        <v>2094</v>
      </c>
      <c r="F668" s="2">
        <v>45464</v>
      </c>
      <c r="G668" s="3">
        <v>45469</v>
      </c>
      <c r="H668" s="5" t="str">
        <f t="shared" si="180"/>
        <v>June</v>
      </c>
      <c r="I668" s="5">
        <f t="shared" si="181"/>
        <v>2024</v>
      </c>
      <c r="J668" t="str">
        <f>IF(F668="","Missing Date",
IF(ISNUMBER(F668),"Valid","Invalid Date"))</f>
        <v>Valid</v>
      </c>
      <c r="K668" t="str">
        <f t="shared" si="182"/>
        <v>Valid</v>
      </c>
      <c r="L668">
        <f>G668-F668</f>
        <v>5</v>
      </c>
      <c r="M668" t="s">
        <v>3141</v>
      </c>
      <c r="N668" t="s">
        <v>180</v>
      </c>
      <c r="O668" t="str">
        <f t="shared" si="183"/>
        <v>Rohan Mehta</v>
      </c>
      <c r="P668" t="s">
        <v>41</v>
      </c>
      <c r="Q668" t="str">
        <f t="shared" si="184"/>
        <v>Small Business</v>
      </c>
      <c r="R668" t="s">
        <v>27</v>
      </c>
      <c r="S668" t="str">
        <f t="shared" si="185"/>
        <v>North</v>
      </c>
      <c r="T668" t="s">
        <v>154</v>
      </c>
      <c r="U668" t="str">
        <f t="shared" si="186"/>
        <v>Punjab</v>
      </c>
      <c r="V668" t="s">
        <v>155</v>
      </c>
      <c r="W668" t="str">
        <f t="shared" si="187"/>
        <v>Ludhiana</v>
      </c>
      <c r="X668" t="s">
        <v>86</v>
      </c>
      <c r="Y668" t="str">
        <f t="shared" si="188"/>
        <v>Technology</v>
      </c>
      <c r="Z668" t="s">
        <v>94</v>
      </c>
      <c r="AA668" t="str">
        <f t="shared" si="189"/>
        <v>Copiers</v>
      </c>
      <c r="AB668" t="s">
        <v>3142</v>
      </c>
      <c r="AC668" t="s">
        <v>48</v>
      </c>
      <c r="AD668" t="str">
        <f t="shared" si="190"/>
        <v>Same Day</v>
      </c>
      <c r="AE668">
        <v>1</v>
      </c>
      <c r="AF668">
        <v>279.83</v>
      </c>
      <c r="AG668">
        <v>0.05</v>
      </c>
      <c r="AH668">
        <v>0.05</v>
      </c>
      <c r="AI668" t="str">
        <f t="shared" si="191"/>
        <v>Valid</v>
      </c>
      <c r="AJ668">
        <v>265.83999999999997</v>
      </c>
      <c r="AK668">
        <f t="shared" si="192"/>
        <v>265.83849999999995</v>
      </c>
      <c r="AL668">
        <v>223.49</v>
      </c>
      <c r="AM668">
        <v>42.35</v>
      </c>
      <c r="AN668">
        <f t="shared" si="193"/>
        <v>42.348499999999945</v>
      </c>
      <c r="AO668">
        <f t="shared" si="194"/>
        <v>-223.49</v>
      </c>
      <c r="AP668" t="s">
        <v>34</v>
      </c>
      <c r="AQ668" t="str">
        <f t="shared" si="195"/>
        <v>Paid</v>
      </c>
      <c r="AR668" t="s">
        <v>35</v>
      </c>
      <c r="AS668" t="str">
        <f t="shared" si="196"/>
        <v>Completed</v>
      </c>
      <c r="AT668" t="str">
        <f t="shared" si="197"/>
        <v>Clean</v>
      </c>
    </row>
    <row r="669" spans="1:46">
      <c r="A669" t="s">
        <v>3143</v>
      </c>
      <c r="B669">
        <f>COUNTIF($D$2:D669,D669)</f>
        <v>2</v>
      </c>
      <c r="C669" t="str">
        <f>IF(COUNTIF($A:$A,A669)=1,
"Unique",
IF(COUNTIFS($A:$A,A669,$N:$N,N669,$AF:$AF,AF669,$AJ:$AJ,AJ669)&gt;1,
"Exact Duplicate",
"Conflicting Duplicate"))</f>
        <v>Unique</v>
      </c>
      <c r="D669" t="s">
        <v>3144</v>
      </c>
      <c r="E669" t="s">
        <v>3145</v>
      </c>
      <c r="F669" s="3">
        <v>45797</v>
      </c>
      <c r="G669" s="3">
        <v>45804</v>
      </c>
      <c r="H669" s="5" t="str">
        <f t="shared" si="180"/>
        <v>May</v>
      </c>
      <c r="I669" s="5">
        <f t="shared" si="181"/>
        <v>2025</v>
      </c>
      <c r="J669" t="str">
        <f>IF(F669="","Missing Date",
IF(ISNUMBER(F669),"Valid","Invalid Date"))</f>
        <v>Valid</v>
      </c>
      <c r="K669" t="str">
        <f t="shared" si="182"/>
        <v>Valid</v>
      </c>
      <c r="L669">
        <f>G669-F669</f>
        <v>7</v>
      </c>
      <c r="M669" t="s">
        <v>3146</v>
      </c>
      <c r="N669" t="s">
        <v>210</v>
      </c>
      <c r="O669" t="str">
        <f t="shared" si="183"/>
        <v>Diya Patel</v>
      </c>
      <c r="P669" t="s">
        <v>41</v>
      </c>
      <c r="Q669" t="str">
        <f t="shared" si="184"/>
        <v>Small Business</v>
      </c>
      <c r="R669" t="s">
        <v>42</v>
      </c>
      <c r="S669" t="str">
        <f t="shared" si="185"/>
        <v>East</v>
      </c>
      <c r="T669" t="s">
        <v>186</v>
      </c>
      <c r="U669" t="str">
        <f t="shared" si="186"/>
        <v>Bihar</v>
      </c>
      <c r="V669" t="s">
        <v>187</v>
      </c>
      <c r="W669" t="str">
        <f t="shared" si="187"/>
        <v>Patna</v>
      </c>
      <c r="X669" t="s">
        <v>86</v>
      </c>
      <c r="Y669" t="str">
        <f t="shared" si="188"/>
        <v>Technology</v>
      </c>
      <c r="Z669" t="s">
        <v>382</v>
      </c>
      <c r="AA669" t="str">
        <f t="shared" si="189"/>
        <v>Machines</v>
      </c>
      <c r="AB669" t="s">
        <v>3147</v>
      </c>
      <c r="AC669" t="s">
        <v>67</v>
      </c>
      <c r="AD669" t="str">
        <f t="shared" si="190"/>
        <v>Standard Class</v>
      </c>
      <c r="AE669">
        <v>1</v>
      </c>
      <c r="AF669">
        <v>3959.14</v>
      </c>
      <c r="AG669">
        <v>0</v>
      </c>
      <c r="AH669">
        <v>0</v>
      </c>
      <c r="AI669" t="str">
        <f t="shared" si="191"/>
        <v>Valid</v>
      </c>
      <c r="AJ669">
        <v>3959.14</v>
      </c>
      <c r="AK669">
        <f t="shared" si="192"/>
        <v>3959.14</v>
      </c>
      <c r="AL669">
        <v>3239.53</v>
      </c>
      <c r="AM669">
        <v>719.61</v>
      </c>
      <c r="AN669">
        <f t="shared" si="193"/>
        <v>719.60999999999967</v>
      </c>
      <c r="AO669">
        <f t="shared" si="194"/>
        <v>-3239.53</v>
      </c>
      <c r="AP669" t="s">
        <v>137</v>
      </c>
      <c r="AQ669" t="str">
        <f t="shared" si="195"/>
        <v>Pending</v>
      </c>
      <c r="AR669" t="s">
        <v>125</v>
      </c>
      <c r="AS669" t="str">
        <f t="shared" si="196"/>
        <v>Returned</v>
      </c>
      <c r="AT669" t="str">
        <f t="shared" si="197"/>
        <v>Clean</v>
      </c>
    </row>
    <row r="670" spans="1:46">
      <c r="A670" t="s">
        <v>3148</v>
      </c>
      <c r="B670">
        <f>COUNTIF($D$2:D670,D670)</f>
        <v>1</v>
      </c>
      <c r="C670" t="str">
        <f>IF(COUNTIF($A:$A,A670)=1,
"Unique",
IF(COUNTIFS($A:$A,A670,$N:$N,N670,$AF:$AF,AF670,$AJ:$AJ,AJ670)&gt;1,
"Exact Duplicate",
"Conflicting Duplicate"))</f>
        <v>Unique</v>
      </c>
      <c r="D670" t="s">
        <v>3149</v>
      </c>
      <c r="E670" t="s">
        <v>221</v>
      </c>
      <c r="F670" s="3">
        <v>45617</v>
      </c>
      <c r="G670" s="2">
        <v>45619</v>
      </c>
      <c r="H670" s="5" t="str">
        <f t="shared" si="180"/>
        <v>November</v>
      </c>
      <c r="I670" s="5">
        <f t="shared" si="181"/>
        <v>2024</v>
      </c>
      <c r="J670" t="str">
        <f>IF(F670="","Missing Date",
IF(ISNUMBER(F670),"Valid","Invalid Date"))</f>
        <v>Valid</v>
      </c>
      <c r="K670" t="str">
        <f t="shared" si="182"/>
        <v>Valid</v>
      </c>
      <c r="L670">
        <f>G670-F670</f>
        <v>2</v>
      </c>
      <c r="M670" t="s">
        <v>3150</v>
      </c>
      <c r="N670" t="s">
        <v>40</v>
      </c>
      <c r="O670" t="str">
        <f t="shared" si="183"/>
        <v>Mira Das</v>
      </c>
      <c r="P670" t="s">
        <v>108</v>
      </c>
      <c r="Q670" t="str">
        <f t="shared" si="184"/>
        <v>Corporate</v>
      </c>
      <c r="R670" t="s">
        <v>73</v>
      </c>
      <c r="S670" t="str">
        <f t="shared" si="185"/>
        <v>West</v>
      </c>
      <c r="T670" t="s">
        <v>235</v>
      </c>
      <c r="U670" t="str">
        <f t="shared" si="186"/>
        <v>Gujarat</v>
      </c>
      <c r="V670" t="s">
        <v>236</v>
      </c>
      <c r="W670" t="str">
        <f t="shared" si="187"/>
        <v>Ahmedabad</v>
      </c>
      <c r="X670" t="s">
        <v>30</v>
      </c>
      <c r="Y670" t="str">
        <f t="shared" si="188"/>
        <v>Office Supplies</v>
      </c>
      <c r="Z670" t="s">
        <v>31</v>
      </c>
      <c r="AA670" t="str">
        <f t="shared" si="189"/>
        <v>Paper</v>
      </c>
      <c r="AB670" t="s">
        <v>3151</v>
      </c>
      <c r="AC670" t="s">
        <v>33</v>
      </c>
      <c r="AD670" t="str">
        <f t="shared" si="190"/>
        <v>Second Class</v>
      </c>
      <c r="AE670">
        <v>5</v>
      </c>
      <c r="AF670">
        <v>600.46</v>
      </c>
      <c r="AG670">
        <v>0.2</v>
      </c>
      <c r="AH670">
        <v>0.2</v>
      </c>
      <c r="AI670" t="str">
        <f t="shared" si="191"/>
        <v>Valid</v>
      </c>
      <c r="AJ670">
        <v>2401.84</v>
      </c>
      <c r="AK670">
        <f t="shared" si="192"/>
        <v>2401.84</v>
      </c>
      <c r="AL670">
        <v>1873.11</v>
      </c>
      <c r="AM670">
        <v>528.73</v>
      </c>
      <c r="AN670">
        <f t="shared" si="193"/>
        <v>528.73000000000025</v>
      </c>
      <c r="AO670">
        <f t="shared" si="194"/>
        <v>-1873.11</v>
      </c>
      <c r="AP670" t="s">
        <v>34</v>
      </c>
      <c r="AQ670" t="str">
        <f t="shared" si="195"/>
        <v>Paid</v>
      </c>
      <c r="AR670" t="s">
        <v>35</v>
      </c>
      <c r="AS670" t="str">
        <f t="shared" si="196"/>
        <v>Completed</v>
      </c>
      <c r="AT670" t="str">
        <f t="shared" si="197"/>
        <v>Clean</v>
      </c>
    </row>
    <row r="671" spans="1:46">
      <c r="A671" t="s">
        <v>3152</v>
      </c>
      <c r="B671">
        <f>COUNTIF($D$2:D671,D671)</f>
        <v>2</v>
      </c>
      <c r="C671" t="str">
        <f>IF(COUNTIF($A:$A,A671)=1,
"Unique",
IF(COUNTIFS($A:$A,A671,$N:$N,N671,$AF:$AF,AF671,$AJ:$AJ,AJ671)&gt;1,
"Exact Duplicate",
"Conflicting Duplicate"))</f>
        <v>Unique</v>
      </c>
      <c r="D671" t="s">
        <v>3153</v>
      </c>
      <c r="E671" t="s">
        <v>3154</v>
      </c>
      <c r="F671" s="3">
        <v>45375</v>
      </c>
      <c r="G671" s="2">
        <v>45295</v>
      </c>
      <c r="H671" s="5" t="str">
        <f t="shared" si="180"/>
        <v>March</v>
      </c>
      <c r="I671" s="5">
        <f t="shared" si="181"/>
        <v>2024</v>
      </c>
      <c r="J671" t="str">
        <f>IF(F671="","Missing Date",
IF(ISNUMBER(F671),"Valid","Invalid Date"))</f>
        <v>Valid</v>
      </c>
      <c r="K671" t="str">
        <f t="shared" si="182"/>
        <v>Valid</v>
      </c>
      <c r="L671">
        <f>G671-F671</f>
        <v>-80</v>
      </c>
      <c r="M671" t="s">
        <v>3155</v>
      </c>
      <c r="N671" t="s">
        <v>72</v>
      </c>
      <c r="O671" t="str">
        <f t="shared" si="183"/>
        <v>Ananya Rao</v>
      </c>
      <c r="P671" t="s">
        <v>115</v>
      </c>
      <c r="Q671" t="str">
        <f t="shared" si="184"/>
        <v>Home Office</v>
      </c>
      <c r="R671" t="s">
        <v>73</v>
      </c>
      <c r="S671" t="str">
        <f t="shared" si="185"/>
        <v>West</v>
      </c>
      <c r="T671" t="s">
        <v>74</v>
      </c>
      <c r="U671" t="str">
        <f t="shared" si="186"/>
        <v>Maharashtra</v>
      </c>
      <c r="V671" t="s">
        <v>75</v>
      </c>
      <c r="W671" t="str">
        <f t="shared" si="187"/>
        <v>Mumbai</v>
      </c>
      <c r="X671" t="s">
        <v>45</v>
      </c>
      <c r="Y671" t="str">
        <f t="shared" si="188"/>
        <v>Furniture</v>
      </c>
      <c r="Z671" t="s">
        <v>46</v>
      </c>
      <c r="AA671" t="str">
        <f t="shared" si="189"/>
        <v>Tables</v>
      </c>
      <c r="AB671" t="s">
        <v>3156</v>
      </c>
      <c r="AC671" t="s">
        <v>33</v>
      </c>
      <c r="AD671" t="str">
        <f t="shared" si="190"/>
        <v>Second Class</v>
      </c>
      <c r="AE671">
        <v>4</v>
      </c>
      <c r="AF671">
        <v>1700.72</v>
      </c>
      <c r="AG671">
        <v>0.25</v>
      </c>
      <c r="AH671">
        <v>0.25</v>
      </c>
      <c r="AI671" t="str">
        <f t="shared" si="191"/>
        <v>Valid</v>
      </c>
      <c r="AJ671">
        <v>5102.16</v>
      </c>
      <c r="AK671">
        <f t="shared" si="192"/>
        <v>5102.16</v>
      </c>
      <c r="AL671">
        <v>3226.45</v>
      </c>
      <c r="AM671">
        <v>1875.71</v>
      </c>
      <c r="AN671">
        <f t="shared" si="193"/>
        <v>1875.71</v>
      </c>
      <c r="AO671">
        <f t="shared" si="194"/>
        <v>-3226.45</v>
      </c>
      <c r="AP671" t="s">
        <v>34</v>
      </c>
      <c r="AQ671" t="str">
        <f t="shared" si="195"/>
        <v>Paid</v>
      </c>
      <c r="AR671" t="s">
        <v>35</v>
      </c>
      <c r="AS671" t="str">
        <f t="shared" si="196"/>
        <v>Completed</v>
      </c>
      <c r="AT671" t="str">
        <f t="shared" si="197"/>
        <v>Clean</v>
      </c>
    </row>
    <row r="672" spans="1:46">
      <c r="A672" t="s">
        <v>3157</v>
      </c>
      <c r="B672">
        <f>COUNTIF($D$2:D672,D672)</f>
        <v>1</v>
      </c>
      <c r="C672" t="str">
        <f>IF(COUNTIF($A:$A,A672)=1,
"Unique",
IF(COUNTIFS($A:$A,A672,$N:$N,N672,$AF:$AF,AF672,$AJ:$AJ,AJ672)&gt;1,
"Exact Duplicate",
"Conflicting Duplicate"))</f>
        <v>Unique</v>
      </c>
      <c r="D672" t="s">
        <v>3158</v>
      </c>
      <c r="E672" t="s">
        <v>2956</v>
      </c>
      <c r="F672" s="3">
        <v>45690</v>
      </c>
      <c r="G672" s="2">
        <v>45810</v>
      </c>
      <c r="H672" s="5" t="str">
        <f t="shared" si="180"/>
        <v>February</v>
      </c>
      <c r="I672" s="5">
        <f t="shared" si="181"/>
        <v>2025</v>
      </c>
      <c r="J672" t="str">
        <f>IF(F672="","Missing Date",
IF(ISNUMBER(F672),"Valid","Invalid Date"))</f>
        <v>Valid</v>
      </c>
      <c r="K672" t="str">
        <f t="shared" si="182"/>
        <v>Valid</v>
      </c>
      <c r="L672">
        <f>G672-F672</f>
        <v>120</v>
      </c>
      <c r="M672" t="s">
        <v>2431</v>
      </c>
      <c r="N672" t="s">
        <v>168</v>
      </c>
      <c r="O672" t="str">
        <f t="shared" si="183"/>
        <v>Sneha Kapoor</v>
      </c>
      <c r="P672" t="s">
        <v>108</v>
      </c>
      <c r="Q672" t="str">
        <f t="shared" si="184"/>
        <v>Corporate</v>
      </c>
      <c r="R672" t="s">
        <v>27</v>
      </c>
      <c r="S672" t="str">
        <f t="shared" si="185"/>
        <v>North</v>
      </c>
      <c r="T672" t="s">
        <v>174</v>
      </c>
      <c r="U672" t="str">
        <f t="shared" si="186"/>
        <v>Uttar Pradesh</v>
      </c>
      <c r="V672" t="s">
        <v>175</v>
      </c>
      <c r="W672" t="str">
        <f t="shared" si="187"/>
        <v>Noida</v>
      </c>
      <c r="X672" t="s">
        <v>45</v>
      </c>
      <c r="Y672" t="str">
        <f t="shared" si="188"/>
        <v>Furniture</v>
      </c>
      <c r="Z672" t="s">
        <v>46</v>
      </c>
      <c r="AA672" t="str">
        <f t="shared" si="189"/>
        <v>Tables</v>
      </c>
      <c r="AB672" t="s">
        <v>3159</v>
      </c>
      <c r="AC672" t="s">
        <v>67</v>
      </c>
      <c r="AD672" t="str">
        <f t="shared" si="190"/>
        <v>Standard Class</v>
      </c>
      <c r="AE672">
        <v>8</v>
      </c>
      <c r="AF672">
        <v>857.86</v>
      </c>
      <c r="AG672">
        <v>0.1</v>
      </c>
      <c r="AH672">
        <v>0.1</v>
      </c>
      <c r="AI672" t="str">
        <f t="shared" si="191"/>
        <v>Valid</v>
      </c>
      <c r="AJ672">
        <v>6176.59</v>
      </c>
      <c r="AK672">
        <f t="shared" si="192"/>
        <v>6176.5920000000006</v>
      </c>
      <c r="AL672">
        <v>3560.96</v>
      </c>
      <c r="AM672">
        <v>2615.63</v>
      </c>
      <c r="AN672">
        <f t="shared" si="193"/>
        <v>2615.6320000000005</v>
      </c>
      <c r="AO672">
        <f t="shared" si="194"/>
        <v>-3560.96</v>
      </c>
      <c r="AP672" t="s">
        <v>34</v>
      </c>
      <c r="AQ672" t="str">
        <f t="shared" si="195"/>
        <v>Paid</v>
      </c>
      <c r="AR672" t="s">
        <v>35</v>
      </c>
      <c r="AS672" t="str">
        <f t="shared" si="196"/>
        <v>Completed</v>
      </c>
      <c r="AT672" t="str">
        <f t="shared" si="197"/>
        <v>Clean</v>
      </c>
    </row>
    <row r="673" spans="1:46">
      <c r="A673" t="s">
        <v>3160</v>
      </c>
      <c r="B673">
        <f>COUNTIF($D$2:D673,D673)</f>
        <v>2</v>
      </c>
      <c r="C673" t="str">
        <f>IF(COUNTIF($A:$A,A673)=1,
"Unique",
IF(COUNTIFS($A:$A,A673,$N:$N,N673,$AF:$AF,AF673,$AJ:$AJ,AJ673)&gt;1,
"Exact Duplicate",
"Conflicting Duplicate"))</f>
        <v>Unique</v>
      </c>
      <c r="D673" t="s">
        <v>3161</v>
      </c>
      <c r="E673" t="s">
        <v>3162</v>
      </c>
      <c r="F673" s="3">
        <v>45373</v>
      </c>
      <c r="G673" s="3">
        <v>45378</v>
      </c>
      <c r="H673" s="5" t="str">
        <f t="shared" si="180"/>
        <v>March</v>
      </c>
      <c r="I673" s="5">
        <f t="shared" si="181"/>
        <v>2024</v>
      </c>
      <c r="J673" t="str">
        <f>IF(F673="","Missing Date",
IF(ISNUMBER(F673),"Valid","Invalid Date"))</f>
        <v>Valid</v>
      </c>
      <c r="K673" t="str">
        <f t="shared" si="182"/>
        <v>Valid</v>
      </c>
      <c r="L673">
        <f>G673-F673</f>
        <v>5</v>
      </c>
      <c r="M673" t="s">
        <v>3163</v>
      </c>
      <c r="N673" t="s">
        <v>107</v>
      </c>
      <c r="O673" t="str">
        <f t="shared" si="183"/>
        <v>Aditi Sen</v>
      </c>
      <c r="P673" t="s">
        <v>115</v>
      </c>
      <c r="Q673" t="str">
        <f t="shared" si="184"/>
        <v>Home Office</v>
      </c>
      <c r="R673" t="s">
        <v>73</v>
      </c>
      <c r="S673" t="str">
        <f t="shared" si="185"/>
        <v>West</v>
      </c>
      <c r="T673" t="s">
        <v>249</v>
      </c>
      <c r="U673" t="str">
        <f t="shared" si="186"/>
        <v>Goa</v>
      </c>
      <c r="V673" t="s">
        <v>250</v>
      </c>
      <c r="W673" t="str">
        <f t="shared" si="187"/>
        <v>Panaji</v>
      </c>
      <c r="X673" t="s">
        <v>86</v>
      </c>
      <c r="Y673" t="str">
        <f t="shared" si="188"/>
        <v>Technology</v>
      </c>
      <c r="Z673" t="s">
        <v>3164</v>
      </c>
      <c r="AA673" t="str">
        <f t="shared" si="189"/>
        <v>Copiers</v>
      </c>
      <c r="AB673" t="s">
        <v>3165</v>
      </c>
      <c r="AC673" t="s">
        <v>33</v>
      </c>
      <c r="AD673" t="str">
        <f t="shared" si="190"/>
        <v>Second Class</v>
      </c>
      <c r="AE673">
        <v>9</v>
      </c>
      <c r="AF673">
        <v>3649.51</v>
      </c>
      <c r="AG673">
        <v>0.05</v>
      </c>
      <c r="AH673">
        <v>0.05</v>
      </c>
      <c r="AI673" t="str">
        <f t="shared" si="191"/>
        <v>Valid</v>
      </c>
      <c r="AJ673">
        <v>31203.31</v>
      </c>
      <c r="AK673">
        <f t="shared" si="192"/>
        <v>31203.310500000003</v>
      </c>
      <c r="AL673">
        <v>17738.13</v>
      </c>
      <c r="AM673">
        <v>13465.18</v>
      </c>
      <c r="AN673">
        <f t="shared" si="193"/>
        <v>13465.180500000002</v>
      </c>
      <c r="AO673">
        <f t="shared" si="194"/>
        <v>-17738.13</v>
      </c>
      <c r="AP673" t="s">
        <v>34</v>
      </c>
      <c r="AQ673" t="str">
        <f t="shared" si="195"/>
        <v>Paid</v>
      </c>
      <c r="AR673" t="s">
        <v>35</v>
      </c>
      <c r="AS673" t="str">
        <f t="shared" si="196"/>
        <v>Completed</v>
      </c>
      <c r="AT673" t="str">
        <f t="shared" si="197"/>
        <v>Clean</v>
      </c>
    </row>
    <row r="674" spans="1:46">
      <c r="A674" t="s">
        <v>3166</v>
      </c>
      <c r="B674">
        <f>COUNTIF($D$2:D674,D674)</f>
        <v>2</v>
      </c>
      <c r="C674" t="str">
        <f>IF(COUNTIF($A:$A,A674)=1,
"Unique",
IF(COUNTIFS($A:$A,A674,$N:$N,N674,$AF:$AF,AF674,$AJ:$AJ,AJ674)&gt;1,
"Exact Duplicate",
"Conflicting Duplicate"))</f>
        <v>Unique</v>
      </c>
      <c r="D674" t="s">
        <v>3167</v>
      </c>
      <c r="E674" t="s">
        <v>3168</v>
      </c>
      <c r="F674" s="3">
        <v>45391</v>
      </c>
      <c r="G674" s="3">
        <v>45421</v>
      </c>
      <c r="H674" s="5" t="str">
        <f t="shared" si="180"/>
        <v>April</v>
      </c>
      <c r="I674" s="5">
        <f t="shared" si="181"/>
        <v>2024</v>
      </c>
      <c r="J674" t="str">
        <f>IF(F674="","Missing Date",
IF(ISNUMBER(F674),"Valid","Invalid Date"))</f>
        <v>Valid</v>
      </c>
      <c r="K674" t="str">
        <f t="shared" si="182"/>
        <v>Valid</v>
      </c>
      <c r="L674">
        <f>G674-F674</f>
        <v>30</v>
      </c>
      <c r="M674" t="s">
        <v>3169</v>
      </c>
      <c r="N674" t="s">
        <v>107</v>
      </c>
      <c r="O674" t="str">
        <f t="shared" si="183"/>
        <v>Aditi Sen</v>
      </c>
      <c r="P674" t="s">
        <v>108</v>
      </c>
      <c r="Q674" t="str">
        <f t="shared" si="184"/>
        <v>Corporate</v>
      </c>
      <c r="R674" t="s">
        <v>73</v>
      </c>
      <c r="S674" t="str">
        <f t="shared" si="185"/>
        <v>West</v>
      </c>
      <c r="T674" t="s">
        <v>84</v>
      </c>
      <c r="U674" t="str">
        <f t="shared" si="186"/>
        <v>Madhya Pradesh</v>
      </c>
      <c r="V674" t="s">
        <v>85</v>
      </c>
      <c r="W674" t="str">
        <f t="shared" si="187"/>
        <v>Indore</v>
      </c>
      <c r="X674" t="s">
        <v>45</v>
      </c>
      <c r="Y674" t="str">
        <f t="shared" si="188"/>
        <v>Furniture</v>
      </c>
      <c r="Z674" t="s">
        <v>76</v>
      </c>
      <c r="AA674" t="str">
        <f t="shared" si="189"/>
        <v>Chairs</v>
      </c>
      <c r="AB674" t="s">
        <v>3170</v>
      </c>
      <c r="AC674" t="s">
        <v>67</v>
      </c>
      <c r="AD674" t="str">
        <f t="shared" si="190"/>
        <v>Standard Class</v>
      </c>
      <c r="AE674">
        <v>5</v>
      </c>
      <c r="AF674">
        <v>2528.5300000000002</v>
      </c>
      <c r="AG674">
        <v>0.05</v>
      </c>
      <c r="AH674">
        <v>0.05</v>
      </c>
      <c r="AI674" t="str">
        <f t="shared" si="191"/>
        <v>Valid</v>
      </c>
      <c r="AJ674">
        <v>12010.52</v>
      </c>
      <c r="AK674">
        <f t="shared" si="192"/>
        <v>12010.5175</v>
      </c>
      <c r="AL674">
        <v>7864.61</v>
      </c>
      <c r="AM674">
        <v>4145.91</v>
      </c>
      <c r="AN674">
        <f t="shared" si="193"/>
        <v>4145.9075000000003</v>
      </c>
      <c r="AO674">
        <f t="shared" si="194"/>
        <v>-7864.61</v>
      </c>
      <c r="AP674" t="s">
        <v>34</v>
      </c>
      <c r="AQ674" t="str">
        <f t="shared" si="195"/>
        <v>Paid</v>
      </c>
      <c r="AR674" t="s">
        <v>125</v>
      </c>
      <c r="AS674" t="str">
        <f t="shared" si="196"/>
        <v>Returned</v>
      </c>
      <c r="AT674" t="str">
        <f t="shared" si="197"/>
        <v>Clean</v>
      </c>
    </row>
    <row r="675" spans="1:46">
      <c r="A675" t="s">
        <v>3171</v>
      </c>
      <c r="B675">
        <f>COUNTIF($D$2:D675,D675)</f>
        <v>3</v>
      </c>
      <c r="C675" t="str">
        <f>IF(COUNTIF($A:$A,A675)=1,
"Unique",
IF(COUNTIFS($A:$A,A675,$N:$N,N675,$AF:$AF,AF675,$AJ:$AJ,AJ675)&gt;1,
"Exact Duplicate",
"Conflicting Duplicate"))</f>
        <v>Unique</v>
      </c>
      <c r="D675" t="s">
        <v>2401</v>
      </c>
      <c r="E675" t="s">
        <v>3172</v>
      </c>
      <c r="F675" s="3">
        <v>45701</v>
      </c>
      <c r="G675" s="2">
        <v>45704</v>
      </c>
      <c r="H675" s="5" t="str">
        <f t="shared" si="180"/>
        <v>February</v>
      </c>
      <c r="I675" s="5">
        <f t="shared" si="181"/>
        <v>2025</v>
      </c>
      <c r="J675" t="str">
        <f>IF(F675="","Missing Date",
IF(ISNUMBER(F675),"Valid","Invalid Date"))</f>
        <v>Valid</v>
      </c>
      <c r="K675" t="str">
        <f t="shared" si="182"/>
        <v>Valid</v>
      </c>
      <c r="L675">
        <f>G675-F675</f>
        <v>3</v>
      </c>
      <c r="M675" t="s">
        <v>3173</v>
      </c>
      <c r="N675" t="s">
        <v>61</v>
      </c>
      <c r="O675" t="str">
        <f t="shared" si="183"/>
        <v>Arjun Bose</v>
      </c>
      <c r="P675" t="s">
        <v>41</v>
      </c>
      <c r="Q675" t="str">
        <f t="shared" si="184"/>
        <v>Small Business</v>
      </c>
      <c r="R675" t="s">
        <v>73</v>
      </c>
      <c r="S675" t="str">
        <f t="shared" si="185"/>
        <v>West</v>
      </c>
      <c r="T675" t="s">
        <v>28</v>
      </c>
      <c r="U675" t="str">
        <f t="shared" si="186"/>
        <v>Rajasthan</v>
      </c>
      <c r="V675" t="s">
        <v>135</v>
      </c>
      <c r="W675" t="str">
        <f t="shared" si="187"/>
        <v>Udaipur</v>
      </c>
      <c r="X675" t="s">
        <v>45</v>
      </c>
      <c r="Y675" t="str">
        <f t="shared" si="188"/>
        <v>Furniture</v>
      </c>
      <c r="Z675" t="s">
        <v>204</v>
      </c>
      <c r="AA675" t="str">
        <f t="shared" si="189"/>
        <v>Bookcases</v>
      </c>
      <c r="AB675" t="s">
        <v>3174</v>
      </c>
      <c r="AC675" t="s">
        <v>33</v>
      </c>
      <c r="AD675" t="str">
        <f t="shared" si="190"/>
        <v>Second Class</v>
      </c>
      <c r="AE675">
        <v>4</v>
      </c>
      <c r="AF675">
        <v>4072.9</v>
      </c>
      <c r="AG675">
        <v>0.15</v>
      </c>
      <c r="AH675">
        <v>0.15</v>
      </c>
      <c r="AI675" t="str">
        <f t="shared" si="191"/>
        <v>Valid</v>
      </c>
      <c r="AJ675">
        <v>13847.86</v>
      </c>
      <c r="AK675">
        <f t="shared" si="192"/>
        <v>13847.86</v>
      </c>
      <c r="AL675">
        <v>8471.7800000000007</v>
      </c>
      <c r="AM675">
        <v>5376.08</v>
      </c>
      <c r="AN675">
        <f t="shared" si="193"/>
        <v>5376.08</v>
      </c>
      <c r="AO675">
        <f t="shared" si="194"/>
        <v>-8471.7800000000007</v>
      </c>
      <c r="AP675" t="s">
        <v>34</v>
      </c>
      <c r="AQ675" t="str">
        <f t="shared" si="195"/>
        <v>Paid</v>
      </c>
      <c r="AR675" t="s">
        <v>35</v>
      </c>
      <c r="AS675" t="str">
        <f t="shared" si="196"/>
        <v>Completed</v>
      </c>
      <c r="AT675" t="str">
        <f t="shared" si="197"/>
        <v>Clean</v>
      </c>
    </row>
    <row r="676" spans="1:46">
      <c r="A676" t="s">
        <v>3175</v>
      </c>
      <c r="B676">
        <f>COUNTIF($D$2:D676,D676)</f>
        <v>1</v>
      </c>
      <c r="C676" t="str">
        <f>IF(COUNTIF($A:$A,A676)=1,
"Unique",
IF(COUNTIFS($A:$A,A676,$N:$N,N676,$AF:$AF,AF676,$AJ:$AJ,AJ676)&gt;1,
"Exact Duplicate",
"Conflicting Duplicate"))</f>
        <v>Unique</v>
      </c>
      <c r="D676" t="s">
        <v>3176</v>
      </c>
      <c r="E676" t="s">
        <v>3177</v>
      </c>
      <c r="F676" s="3">
        <v>45430</v>
      </c>
      <c r="G676" s="3">
        <v>45433</v>
      </c>
      <c r="H676" s="5" t="str">
        <f t="shared" si="180"/>
        <v>May</v>
      </c>
      <c r="I676" s="5">
        <f t="shared" si="181"/>
        <v>2024</v>
      </c>
      <c r="J676" t="str">
        <f>IF(F676="","Missing Date",
IF(ISNUMBER(F676),"Valid","Invalid Date"))</f>
        <v>Valid</v>
      </c>
      <c r="K676" t="str">
        <f t="shared" si="182"/>
        <v>Valid</v>
      </c>
      <c r="L676">
        <f>G676-F676</f>
        <v>3</v>
      </c>
      <c r="M676" t="s">
        <v>3178</v>
      </c>
      <c r="N676" t="s">
        <v>83</v>
      </c>
      <c r="O676" t="str">
        <f t="shared" si="183"/>
        <v>Vikram Iyer</v>
      </c>
      <c r="P676" t="s">
        <v>108</v>
      </c>
      <c r="Q676" t="str">
        <f t="shared" si="184"/>
        <v>Corporate</v>
      </c>
      <c r="R676" t="s">
        <v>42</v>
      </c>
      <c r="S676" t="str">
        <f t="shared" si="185"/>
        <v>East</v>
      </c>
      <c r="T676" t="s">
        <v>311</v>
      </c>
      <c r="U676" t="str">
        <f t="shared" si="186"/>
        <v>Jharkhand</v>
      </c>
      <c r="V676" t="s">
        <v>312</v>
      </c>
      <c r="W676" t="str">
        <f t="shared" si="187"/>
        <v>Ranchi</v>
      </c>
      <c r="X676" t="s">
        <v>86</v>
      </c>
      <c r="Y676" t="str">
        <f t="shared" si="188"/>
        <v>Technology</v>
      </c>
      <c r="Z676" t="s">
        <v>87</v>
      </c>
      <c r="AA676" t="str">
        <f t="shared" si="189"/>
        <v>Accessories</v>
      </c>
      <c r="AB676" t="s">
        <v>3179</v>
      </c>
      <c r="AC676" t="s">
        <v>33</v>
      </c>
      <c r="AD676" t="str">
        <f t="shared" si="190"/>
        <v>Second Class</v>
      </c>
      <c r="AE676">
        <v>1</v>
      </c>
      <c r="AF676">
        <v>1033.71</v>
      </c>
      <c r="AG676">
        <v>0</v>
      </c>
      <c r="AH676">
        <v>0</v>
      </c>
      <c r="AI676" t="str">
        <f t="shared" si="191"/>
        <v>Valid</v>
      </c>
      <c r="AJ676">
        <v>1033.71</v>
      </c>
      <c r="AK676">
        <f t="shared" si="192"/>
        <v>1033.71</v>
      </c>
      <c r="AL676">
        <v>630.82000000000005</v>
      </c>
      <c r="AM676">
        <v>402.89</v>
      </c>
      <c r="AN676">
        <f t="shared" si="193"/>
        <v>402.89</v>
      </c>
      <c r="AO676">
        <f t="shared" si="194"/>
        <v>-630.82000000000005</v>
      </c>
      <c r="AP676" t="s">
        <v>137</v>
      </c>
      <c r="AQ676" t="str">
        <f t="shared" si="195"/>
        <v>Pending</v>
      </c>
      <c r="AR676" t="s">
        <v>125</v>
      </c>
      <c r="AS676" t="str">
        <f t="shared" si="196"/>
        <v>Returned</v>
      </c>
      <c r="AT676" t="str">
        <f t="shared" si="197"/>
        <v>Clean</v>
      </c>
    </row>
    <row r="677" spans="1:46">
      <c r="A677" t="s">
        <v>3180</v>
      </c>
      <c r="B677">
        <f>COUNTIF($D$2:D677,D677)</f>
        <v>2</v>
      </c>
      <c r="C677" t="str">
        <f>IF(COUNTIF($A:$A,A677)=1,
"Unique",
IF(COUNTIFS($A:$A,A677,$N:$N,N677,$AF:$AF,AF677,$AJ:$AJ,AJ677)&gt;1,
"Exact Duplicate",
"Conflicting Duplicate"))</f>
        <v>Unique</v>
      </c>
      <c r="D677" t="s">
        <v>3181</v>
      </c>
      <c r="E677" t="s">
        <v>3182</v>
      </c>
      <c r="F677" s="3">
        <v>45844</v>
      </c>
      <c r="G677" s="3">
        <v>45818</v>
      </c>
      <c r="H677" s="5" t="str">
        <f t="shared" si="180"/>
        <v>July</v>
      </c>
      <c r="I677" s="5">
        <f t="shared" si="181"/>
        <v>2025</v>
      </c>
      <c r="J677" t="str">
        <f>IF(F677="","Missing Date",
IF(ISNUMBER(F677),"Valid","Invalid Date"))</f>
        <v>Valid</v>
      </c>
      <c r="K677" t="str">
        <f t="shared" si="182"/>
        <v>Valid</v>
      </c>
      <c r="L677">
        <f>G677-F677</f>
        <v>-26</v>
      </c>
      <c r="M677" t="s">
        <v>3033</v>
      </c>
      <c r="N677" t="s">
        <v>162</v>
      </c>
      <c r="O677" t="str">
        <f t="shared" si="183"/>
        <v>Aarav Sharma</v>
      </c>
      <c r="P677" t="s">
        <v>26</v>
      </c>
      <c r="Q677" t="str">
        <f t="shared" si="184"/>
        <v>Consumer</v>
      </c>
      <c r="R677" t="s">
        <v>27</v>
      </c>
      <c r="S677" t="str">
        <f t="shared" si="185"/>
        <v>North</v>
      </c>
      <c r="T677" t="s">
        <v>28</v>
      </c>
      <c r="U677" t="str">
        <f t="shared" si="186"/>
        <v>Rajasthan</v>
      </c>
      <c r="V677" t="s">
        <v>29</v>
      </c>
      <c r="W677" t="str">
        <f t="shared" si="187"/>
        <v>Jaipur</v>
      </c>
      <c r="X677" t="s">
        <v>45</v>
      </c>
      <c r="Y677" t="str">
        <f t="shared" si="188"/>
        <v>Furniture</v>
      </c>
      <c r="Z677" t="s">
        <v>65</v>
      </c>
      <c r="AA677" t="str">
        <f t="shared" si="189"/>
        <v>Furnishings</v>
      </c>
      <c r="AB677" t="s">
        <v>3183</v>
      </c>
      <c r="AC677" t="s">
        <v>48</v>
      </c>
      <c r="AD677" t="str">
        <f t="shared" si="190"/>
        <v>Same Day</v>
      </c>
      <c r="AE677">
        <v>3</v>
      </c>
      <c r="AF677">
        <v>963.26</v>
      </c>
      <c r="AG677">
        <v>0</v>
      </c>
      <c r="AH677">
        <v>0</v>
      </c>
      <c r="AI677" t="str">
        <f t="shared" si="191"/>
        <v>Valid</v>
      </c>
      <c r="AJ677">
        <v>2889.78</v>
      </c>
      <c r="AK677">
        <f t="shared" si="192"/>
        <v>2889.7799999999997</v>
      </c>
      <c r="AL677">
        <v>1811.23</v>
      </c>
      <c r="AM677">
        <v>1078.55</v>
      </c>
      <c r="AN677">
        <f t="shared" si="193"/>
        <v>1078.5499999999997</v>
      </c>
      <c r="AO677">
        <f t="shared" si="194"/>
        <v>-1811.23</v>
      </c>
      <c r="AP677" t="s">
        <v>34</v>
      </c>
      <c r="AQ677" t="str">
        <f t="shared" si="195"/>
        <v>Paid</v>
      </c>
      <c r="AR677" t="s">
        <v>35</v>
      </c>
      <c r="AS677" t="str">
        <f t="shared" si="196"/>
        <v>Completed</v>
      </c>
      <c r="AT677" t="str">
        <f t="shared" si="197"/>
        <v>Clean</v>
      </c>
    </row>
    <row r="678" spans="1:46">
      <c r="A678" t="s">
        <v>3184</v>
      </c>
      <c r="B678">
        <f>COUNTIF($D$2:D678,D678)</f>
        <v>1</v>
      </c>
      <c r="C678" t="str">
        <f>IF(COUNTIF($A:$A,A678)=1,
"Unique",
IF(COUNTIFS($A:$A,A678,$N:$N,N678,$AF:$AF,AF678,$AJ:$AJ,AJ678)&gt;1,
"Exact Duplicate",
"Conflicting Duplicate"))</f>
        <v>Exact Duplicate</v>
      </c>
      <c r="D678" t="s">
        <v>3185</v>
      </c>
      <c r="E678" t="s">
        <v>3186</v>
      </c>
      <c r="F678" s="3">
        <v>45911</v>
      </c>
      <c r="G678" s="3">
        <v>45918</v>
      </c>
      <c r="H678" s="5" t="str">
        <f t="shared" si="180"/>
        <v>September</v>
      </c>
      <c r="I678" s="5">
        <f t="shared" si="181"/>
        <v>2025</v>
      </c>
      <c r="J678" t="str">
        <f>IF(F678="","Missing Date",
IF(ISNUMBER(F678),"Valid","Invalid Date"))</f>
        <v>Valid</v>
      </c>
      <c r="K678" t="str">
        <f t="shared" si="182"/>
        <v>Valid</v>
      </c>
      <c r="L678">
        <f>G678-F678</f>
        <v>7</v>
      </c>
      <c r="M678" t="s">
        <v>3187</v>
      </c>
      <c r="N678" t="s">
        <v>148</v>
      </c>
      <c r="O678" t="str">
        <f t="shared" si="183"/>
        <v>Rahul Verma</v>
      </c>
      <c r="P678" t="s">
        <v>41</v>
      </c>
      <c r="Q678" t="str">
        <f t="shared" si="184"/>
        <v>Small Business</v>
      </c>
      <c r="R678" t="s">
        <v>27</v>
      </c>
      <c r="S678" t="str">
        <f t="shared" si="185"/>
        <v>North</v>
      </c>
      <c r="T678" t="s">
        <v>506</v>
      </c>
      <c r="U678" t="str">
        <f t="shared" si="186"/>
        <v>Delhi</v>
      </c>
      <c r="V678" t="s">
        <v>507</v>
      </c>
      <c r="W678" t="str">
        <f t="shared" si="187"/>
        <v>New Delhi</v>
      </c>
      <c r="X678" t="s">
        <v>86</v>
      </c>
      <c r="Y678" t="str">
        <f t="shared" si="188"/>
        <v>Technology</v>
      </c>
      <c r="Z678" t="s">
        <v>223</v>
      </c>
      <c r="AA678" t="str">
        <f t="shared" si="189"/>
        <v>Phones</v>
      </c>
      <c r="AB678" t="s">
        <v>3188</v>
      </c>
      <c r="AC678" t="s">
        <v>48</v>
      </c>
      <c r="AD678" t="str">
        <f t="shared" si="190"/>
        <v>Same Day</v>
      </c>
      <c r="AE678">
        <v>7</v>
      </c>
      <c r="AF678">
        <v>3411.21</v>
      </c>
      <c r="AG678">
        <v>0.15</v>
      </c>
      <c r="AH678">
        <v>0.15</v>
      </c>
      <c r="AI678" t="str">
        <f t="shared" si="191"/>
        <v>Valid</v>
      </c>
      <c r="AJ678">
        <v>20296.7</v>
      </c>
      <c r="AK678">
        <f t="shared" si="192"/>
        <v>20296.699499999999</v>
      </c>
      <c r="AL678">
        <v>14920.87</v>
      </c>
      <c r="AM678">
        <v>5375.83</v>
      </c>
      <c r="AN678">
        <f t="shared" si="193"/>
        <v>5375.829499999998</v>
      </c>
      <c r="AO678">
        <f t="shared" si="194"/>
        <v>-14920.87</v>
      </c>
      <c r="AP678" t="s">
        <v>34</v>
      </c>
      <c r="AQ678" t="str">
        <f t="shared" si="195"/>
        <v>Paid</v>
      </c>
      <c r="AR678" t="s">
        <v>35</v>
      </c>
      <c r="AS678" t="str">
        <f t="shared" si="196"/>
        <v>Completed</v>
      </c>
      <c r="AT678" t="str">
        <f t="shared" si="197"/>
        <v>Clean</v>
      </c>
    </row>
    <row r="679" spans="1:46">
      <c r="A679" t="s">
        <v>3189</v>
      </c>
      <c r="B679">
        <f>COUNTIF($D$2:D679,D679)</f>
        <v>1</v>
      </c>
      <c r="C679" t="str">
        <f>IF(COUNTIF($A:$A,A679)=1,
"Unique",
IF(COUNTIFS($A:$A,A679,$N:$N,N679,$AF:$AF,AF679,$AJ:$AJ,AJ679)&gt;1,
"Exact Duplicate",
"Conflicting Duplicate"))</f>
        <v>Unique</v>
      </c>
      <c r="D679" t="s">
        <v>3190</v>
      </c>
      <c r="E679" t="s">
        <v>3191</v>
      </c>
      <c r="F679" s="3">
        <v>45465</v>
      </c>
      <c r="G679" s="3">
        <v>45470</v>
      </c>
      <c r="H679" s="5" t="str">
        <f t="shared" si="180"/>
        <v>June</v>
      </c>
      <c r="I679" s="5">
        <f t="shared" si="181"/>
        <v>2024</v>
      </c>
      <c r="J679" t="str">
        <f>IF(F679="","Missing Date",
IF(ISNUMBER(F679),"Valid","Invalid Date"))</f>
        <v>Valid</v>
      </c>
      <c r="K679" t="str">
        <f t="shared" si="182"/>
        <v>Valid</v>
      </c>
      <c r="L679">
        <f>G679-F679</f>
        <v>5</v>
      </c>
      <c r="M679" t="s">
        <v>24</v>
      </c>
      <c r="N679" t="s">
        <v>53</v>
      </c>
      <c r="O679" t="str">
        <f t="shared" si="183"/>
        <v>Isha Nair</v>
      </c>
      <c r="P679" t="s">
        <v>115</v>
      </c>
      <c r="Q679" t="str">
        <f t="shared" si="184"/>
        <v>Home Office</v>
      </c>
      <c r="R679" t="s">
        <v>62</v>
      </c>
      <c r="S679" t="str">
        <f t="shared" si="185"/>
        <v>South</v>
      </c>
      <c r="T679" t="s">
        <v>229</v>
      </c>
      <c r="U679" t="str">
        <f t="shared" si="186"/>
        <v>Karnataka</v>
      </c>
      <c r="V679" t="s">
        <v>230</v>
      </c>
      <c r="W679" t="str">
        <f t="shared" si="187"/>
        <v>Bengaluru</v>
      </c>
      <c r="X679" t="s">
        <v>45</v>
      </c>
      <c r="Y679" t="str">
        <f t="shared" si="188"/>
        <v>Furniture</v>
      </c>
      <c r="Z679" t="s">
        <v>76</v>
      </c>
      <c r="AA679" t="str">
        <f t="shared" si="189"/>
        <v>Chairs</v>
      </c>
      <c r="AB679" t="s">
        <v>3192</v>
      </c>
      <c r="AC679" t="s">
        <v>48</v>
      </c>
      <c r="AD679" t="str">
        <f t="shared" si="190"/>
        <v>Same Day</v>
      </c>
      <c r="AE679">
        <v>7</v>
      </c>
      <c r="AF679">
        <v>2623.48</v>
      </c>
      <c r="AG679">
        <v>0</v>
      </c>
      <c r="AH679">
        <v>0</v>
      </c>
      <c r="AI679" t="str">
        <f t="shared" si="191"/>
        <v>Valid</v>
      </c>
      <c r="AJ679">
        <v>18364.36</v>
      </c>
      <c r="AK679">
        <f t="shared" si="192"/>
        <v>18364.36</v>
      </c>
      <c r="AL679">
        <v>15445.81</v>
      </c>
      <c r="AM679">
        <v>2918.55</v>
      </c>
      <c r="AN679">
        <f t="shared" si="193"/>
        <v>2918.5500000000011</v>
      </c>
      <c r="AO679">
        <f t="shared" si="194"/>
        <v>-15445.81</v>
      </c>
      <c r="AP679" t="s">
        <v>34</v>
      </c>
      <c r="AQ679" t="str">
        <f t="shared" si="195"/>
        <v>Paid</v>
      </c>
      <c r="AR679" t="s">
        <v>35</v>
      </c>
      <c r="AS679" t="str">
        <f t="shared" si="196"/>
        <v>Completed</v>
      </c>
      <c r="AT679" t="str">
        <f t="shared" si="197"/>
        <v>Clean</v>
      </c>
    </row>
    <row r="680" spans="1:46">
      <c r="A680" t="s">
        <v>3193</v>
      </c>
      <c r="B680">
        <f>COUNTIF($D$2:D680,D680)</f>
        <v>1</v>
      </c>
      <c r="C680" t="str">
        <f>IF(COUNTIF($A:$A,A680)=1,
"Unique",
IF(COUNTIFS($A:$A,A680,$N:$N,N680,$AF:$AF,AF680,$AJ:$AJ,AJ680)&gt;1,
"Exact Duplicate",
"Conflicting Duplicate"))</f>
        <v>Unique</v>
      </c>
      <c r="D680" t="s">
        <v>3194</v>
      </c>
      <c r="E680" t="s">
        <v>3195</v>
      </c>
      <c r="F680" s="3">
        <v>45620</v>
      </c>
      <c r="G680" s="3">
        <v>45627</v>
      </c>
      <c r="H680" s="5" t="str">
        <f t="shared" si="180"/>
        <v>November</v>
      </c>
      <c r="I680" s="5">
        <f t="shared" si="181"/>
        <v>2024</v>
      </c>
      <c r="J680" t="str">
        <f>IF(F680="","Missing Date",
IF(ISNUMBER(F680),"Valid","Invalid Date"))</f>
        <v>Valid</v>
      </c>
      <c r="K680" t="str">
        <f t="shared" si="182"/>
        <v>Valid</v>
      </c>
      <c r="L680">
        <f>G680-F680</f>
        <v>7</v>
      </c>
      <c r="M680" t="s">
        <v>3196</v>
      </c>
      <c r="N680" t="s">
        <v>366</v>
      </c>
      <c r="O680" t="str">
        <f t="shared" si="183"/>
        <v>Kabir Singh</v>
      </c>
      <c r="P680" t="s">
        <v>108</v>
      </c>
      <c r="Q680" t="str">
        <f t="shared" si="184"/>
        <v>Corporate</v>
      </c>
      <c r="R680" t="s">
        <v>62</v>
      </c>
      <c r="S680" t="str">
        <f t="shared" si="185"/>
        <v>South</v>
      </c>
      <c r="T680" t="s">
        <v>229</v>
      </c>
      <c r="U680" t="str">
        <f t="shared" si="186"/>
        <v>Karnataka</v>
      </c>
      <c r="V680" t="s">
        <v>230</v>
      </c>
      <c r="W680" t="str">
        <f t="shared" si="187"/>
        <v>Bengaluru</v>
      </c>
      <c r="X680" t="s">
        <v>45</v>
      </c>
      <c r="Y680" t="str">
        <f t="shared" si="188"/>
        <v>Furniture</v>
      </c>
      <c r="Z680" t="s">
        <v>46</v>
      </c>
      <c r="AA680" t="str">
        <f t="shared" si="189"/>
        <v>Tables</v>
      </c>
      <c r="AB680" t="s">
        <v>3197</v>
      </c>
      <c r="AC680" t="s">
        <v>33</v>
      </c>
      <c r="AD680" t="str">
        <f t="shared" si="190"/>
        <v>Second Class</v>
      </c>
      <c r="AE680">
        <v>9</v>
      </c>
      <c r="AF680">
        <v>2763.61</v>
      </c>
      <c r="AG680">
        <v>0.15</v>
      </c>
      <c r="AH680">
        <v>0.15</v>
      </c>
      <c r="AI680" t="str">
        <f t="shared" si="191"/>
        <v>Valid</v>
      </c>
      <c r="AJ680">
        <v>21141.62</v>
      </c>
      <c r="AK680">
        <f t="shared" si="192"/>
        <v>21141.6165</v>
      </c>
      <c r="AL680">
        <v>11676.33</v>
      </c>
      <c r="AM680">
        <v>9465.2900000000009</v>
      </c>
      <c r="AN680">
        <f t="shared" si="193"/>
        <v>9465.2865000000002</v>
      </c>
      <c r="AO680">
        <f t="shared" si="194"/>
        <v>-11676.33</v>
      </c>
      <c r="AP680" t="s">
        <v>34</v>
      </c>
      <c r="AQ680" t="str">
        <f t="shared" si="195"/>
        <v>Paid</v>
      </c>
      <c r="AR680" t="s">
        <v>35</v>
      </c>
      <c r="AS680" t="str">
        <f t="shared" si="196"/>
        <v>Completed</v>
      </c>
      <c r="AT680" t="str">
        <f t="shared" si="197"/>
        <v>Clean</v>
      </c>
    </row>
    <row r="681" spans="1:46">
      <c r="A681" t="s">
        <v>3198</v>
      </c>
      <c r="B681">
        <f>COUNTIF($D$2:D681,D681)</f>
        <v>2</v>
      </c>
      <c r="C681" t="str">
        <f>IF(COUNTIF($A:$A,A681)=1,
"Unique",
IF(COUNTIFS($A:$A,A681,$N:$N,N681,$AF:$AF,AF681,$AJ:$AJ,AJ681)&gt;1,
"Exact Duplicate",
"Conflicting Duplicate"))</f>
        <v>Unique</v>
      </c>
      <c r="D681" t="s">
        <v>3199</v>
      </c>
      <c r="E681" t="s">
        <v>640</v>
      </c>
      <c r="F681" s="3">
        <v>45885</v>
      </c>
      <c r="G681" s="3">
        <v>45892</v>
      </c>
      <c r="H681" s="5" t="str">
        <f t="shared" si="180"/>
        <v>August</v>
      </c>
      <c r="I681" s="5">
        <f t="shared" si="181"/>
        <v>2025</v>
      </c>
      <c r="J681" t="str">
        <f>IF(F681="","Missing Date",
IF(ISNUMBER(F681),"Valid","Invalid Date"))</f>
        <v>Valid</v>
      </c>
      <c r="K681" t="str">
        <f t="shared" si="182"/>
        <v>Valid</v>
      </c>
      <c r="L681">
        <f>G681-F681</f>
        <v>7</v>
      </c>
      <c r="M681" t="s">
        <v>3200</v>
      </c>
      <c r="N681" t="s">
        <v>180</v>
      </c>
      <c r="O681" t="str">
        <f t="shared" si="183"/>
        <v>Rohan Mehta</v>
      </c>
      <c r="P681" t="s">
        <v>108</v>
      </c>
      <c r="Q681" t="str">
        <f t="shared" si="184"/>
        <v>Corporate</v>
      </c>
      <c r="R681" t="s">
        <v>27</v>
      </c>
      <c r="S681" t="str">
        <f t="shared" si="185"/>
        <v>North</v>
      </c>
      <c r="T681" t="s">
        <v>154</v>
      </c>
      <c r="U681" t="str">
        <f t="shared" si="186"/>
        <v>Punjab</v>
      </c>
      <c r="V681" t="s">
        <v>155</v>
      </c>
      <c r="W681" t="str">
        <f t="shared" si="187"/>
        <v>Ludhiana</v>
      </c>
      <c r="X681" t="s">
        <v>86</v>
      </c>
      <c r="Y681" t="str">
        <f t="shared" si="188"/>
        <v>Technology</v>
      </c>
      <c r="Z681" t="s">
        <v>94</v>
      </c>
      <c r="AA681" t="str">
        <f t="shared" si="189"/>
        <v>Copiers</v>
      </c>
      <c r="AB681" t="s">
        <v>3201</v>
      </c>
      <c r="AC681" t="s">
        <v>48</v>
      </c>
      <c r="AD681" t="str">
        <f t="shared" si="190"/>
        <v>Same Day</v>
      </c>
      <c r="AE681">
        <v>4</v>
      </c>
      <c r="AF681">
        <v>1410.57</v>
      </c>
      <c r="AG681" t="s">
        <v>681</v>
      </c>
      <c r="AH681">
        <v>0.7</v>
      </c>
      <c r="AI681" t="str">
        <f t="shared" si="191"/>
        <v>Invalid - Above Range</v>
      </c>
      <c r="AJ681">
        <v>5360.17</v>
      </c>
      <c r="AK681">
        <f t="shared" si="192"/>
        <v>1692.6840000000002</v>
      </c>
      <c r="AL681">
        <v>3881.51</v>
      </c>
      <c r="AM681">
        <v>1478.66</v>
      </c>
      <c r="AN681">
        <f t="shared" si="193"/>
        <v>-2188.826</v>
      </c>
      <c r="AO681">
        <f t="shared" si="194"/>
        <v>-3881.51</v>
      </c>
      <c r="AP681" t="s">
        <v>124</v>
      </c>
      <c r="AQ681" t="str">
        <f t="shared" si="195"/>
        <v>Refunded</v>
      </c>
      <c r="AR681" t="s">
        <v>78</v>
      </c>
      <c r="AS681" t="str">
        <f t="shared" si="196"/>
        <v>Cancelled</v>
      </c>
      <c r="AT681" t="str">
        <f t="shared" si="197"/>
        <v>Clean</v>
      </c>
    </row>
    <row r="682" spans="1:46">
      <c r="A682" t="s">
        <v>3202</v>
      </c>
      <c r="B682">
        <f>COUNTIF($D$2:D682,D682)</f>
        <v>4</v>
      </c>
      <c r="C682" t="str">
        <f>IF(COUNTIF($A:$A,A682)=1,
"Unique",
IF(COUNTIFS($A:$A,A682,$N:$N,N682,$AF:$AF,AF682,$AJ:$AJ,AJ682)&gt;1,
"Exact Duplicate",
"Conflicting Duplicate"))</f>
        <v>Unique</v>
      </c>
      <c r="D682" t="s">
        <v>274</v>
      </c>
      <c r="E682" t="s">
        <v>577</v>
      </c>
      <c r="F682" s="2">
        <v>45441</v>
      </c>
      <c r="G682" s="2">
        <v>45418</v>
      </c>
      <c r="H682" s="5" t="str">
        <f t="shared" si="180"/>
        <v>May</v>
      </c>
      <c r="I682" s="5">
        <f t="shared" si="181"/>
        <v>2024</v>
      </c>
      <c r="J682" t="str">
        <f>IF(F682="","Missing Date",
IF(ISNUMBER(F682),"Valid","Invalid Date"))</f>
        <v>Valid</v>
      </c>
      <c r="K682" t="str">
        <f t="shared" si="182"/>
        <v>Valid</v>
      </c>
      <c r="L682">
        <f>G682-F682</f>
        <v>-23</v>
      </c>
      <c r="M682" t="s">
        <v>3203</v>
      </c>
      <c r="N682" t="s">
        <v>366</v>
      </c>
      <c r="O682" t="str">
        <f t="shared" si="183"/>
        <v>Kabir Singh</v>
      </c>
      <c r="P682" t="s">
        <v>108</v>
      </c>
      <c r="Q682" t="str">
        <f t="shared" si="184"/>
        <v>Corporate</v>
      </c>
      <c r="R682" t="s">
        <v>62</v>
      </c>
      <c r="S682" t="str">
        <f t="shared" si="185"/>
        <v>South</v>
      </c>
      <c r="T682" t="s">
        <v>339</v>
      </c>
      <c r="U682" t="str">
        <f t="shared" si="186"/>
        <v>Tamil Nadu</v>
      </c>
      <c r="V682" t="s">
        <v>340</v>
      </c>
      <c r="W682" t="str">
        <f t="shared" si="187"/>
        <v>Chennai</v>
      </c>
      <c r="X682" t="s">
        <v>86</v>
      </c>
      <c r="Y682" t="str">
        <f t="shared" si="188"/>
        <v>Technology</v>
      </c>
      <c r="Z682" t="s">
        <v>87</v>
      </c>
      <c r="AA682" t="str">
        <f t="shared" si="189"/>
        <v>Accessories</v>
      </c>
      <c r="AB682" t="s">
        <v>3204</v>
      </c>
      <c r="AC682" t="s">
        <v>56</v>
      </c>
      <c r="AD682" t="str">
        <f t="shared" si="190"/>
        <v>First Class</v>
      </c>
      <c r="AE682">
        <v>4</v>
      </c>
      <c r="AF682">
        <v>3700.24</v>
      </c>
      <c r="AG682">
        <v>0</v>
      </c>
      <c r="AH682">
        <v>0</v>
      </c>
      <c r="AI682" t="str">
        <f t="shared" si="191"/>
        <v>Valid</v>
      </c>
      <c r="AJ682">
        <v>14800.96</v>
      </c>
      <c r="AK682">
        <f t="shared" si="192"/>
        <v>14800.96</v>
      </c>
      <c r="AL682">
        <v>12048.39</v>
      </c>
      <c r="AM682">
        <v>2752.57</v>
      </c>
      <c r="AN682">
        <f t="shared" si="193"/>
        <v>2752.5699999999997</v>
      </c>
      <c r="AO682">
        <f t="shared" si="194"/>
        <v>-12048.39</v>
      </c>
      <c r="AP682" t="s">
        <v>34</v>
      </c>
      <c r="AQ682" t="str">
        <f t="shared" si="195"/>
        <v>Paid</v>
      </c>
      <c r="AR682" t="s">
        <v>35</v>
      </c>
      <c r="AS682" t="str">
        <f t="shared" si="196"/>
        <v>Completed</v>
      </c>
      <c r="AT682" t="str">
        <f t="shared" si="197"/>
        <v>Clean</v>
      </c>
    </row>
    <row r="683" spans="1:46">
      <c r="A683" t="s">
        <v>3205</v>
      </c>
      <c r="B683">
        <f>COUNTIF($D$2:D683,D683)</f>
        <v>3</v>
      </c>
      <c r="C683" t="str">
        <f>IF(COUNTIF($A:$A,A683)=1,
"Unique",
IF(COUNTIFS($A:$A,A683,$N:$N,N683,$AF:$AF,AF683,$AJ:$AJ,AJ683)&gt;1,
"Exact Duplicate",
"Conflicting Duplicate"))</f>
        <v>Unique</v>
      </c>
      <c r="D683" t="s">
        <v>3206</v>
      </c>
      <c r="E683" t="s">
        <v>3207</v>
      </c>
      <c r="F683" s="3">
        <v>45477</v>
      </c>
      <c r="G683" s="3">
        <v>45572</v>
      </c>
      <c r="H683" s="5" t="str">
        <f t="shared" si="180"/>
        <v>July</v>
      </c>
      <c r="I683" s="5">
        <f t="shared" si="181"/>
        <v>2024</v>
      </c>
      <c r="J683" t="str">
        <f>IF(F683="","Missing Date",
IF(ISNUMBER(F683),"Valid","Invalid Date"))</f>
        <v>Valid</v>
      </c>
      <c r="K683" t="str">
        <f t="shared" si="182"/>
        <v>Valid</v>
      </c>
      <c r="L683">
        <f>G683-F683</f>
        <v>95</v>
      </c>
      <c r="M683" t="s">
        <v>3208</v>
      </c>
      <c r="N683" t="s">
        <v>83</v>
      </c>
      <c r="O683" t="str">
        <f t="shared" si="183"/>
        <v>Vikram Iyer</v>
      </c>
      <c r="P683" t="s">
        <v>108</v>
      </c>
      <c r="Q683" t="str">
        <f t="shared" si="184"/>
        <v>Corporate</v>
      </c>
      <c r="R683" t="s">
        <v>27</v>
      </c>
      <c r="S683" t="str">
        <f t="shared" si="185"/>
        <v>North</v>
      </c>
      <c r="T683" t="s">
        <v>506</v>
      </c>
      <c r="U683" t="str">
        <f t="shared" si="186"/>
        <v>Delhi</v>
      </c>
      <c r="V683" t="s">
        <v>507</v>
      </c>
      <c r="W683" t="str">
        <f t="shared" si="187"/>
        <v>New Delhi</v>
      </c>
      <c r="X683" t="s">
        <v>45</v>
      </c>
      <c r="Y683" t="str">
        <f t="shared" si="188"/>
        <v>Furniture</v>
      </c>
      <c r="Z683" t="s">
        <v>46</v>
      </c>
      <c r="AA683" t="str">
        <f t="shared" si="189"/>
        <v>Tables</v>
      </c>
      <c r="AB683" t="s">
        <v>3209</v>
      </c>
      <c r="AC683" t="s">
        <v>33</v>
      </c>
      <c r="AD683" t="str">
        <f t="shared" si="190"/>
        <v>Second Class</v>
      </c>
      <c r="AE683">
        <v>5</v>
      </c>
      <c r="AF683">
        <v>1200.27</v>
      </c>
      <c r="AG683">
        <v>0</v>
      </c>
      <c r="AH683">
        <v>0</v>
      </c>
      <c r="AI683" t="str">
        <f t="shared" si="191"/>
        <v>Valid</v>
      </c>
      <c r="AJ683">
        <v>6001.35</v>
      </c>
      <c r="AK683">
        <f t="shared" si="192"/>
        <v>6001.35</v>
      </c>
      <c r="AL683">
        <v>4182.99</v>
      </c>
      <c r="AM683">
        <v>1818.36</v>
      </c>
      <c r="AN683">
        <f t="shared" si="193"/>
        <v>1818.3600000000006</v>
      </c>
      <c r="AO683">
        <f t="shared" si="194"/>
        <v>-4182.99</v>
      </c>
      <c r="AP683" t="s">
        <v>34</v>
      </c>
      <c r="AQ683" t="str">
        <f t="shared" si="195"/>
        <v>Paid</v>
      </c>
      <c r="AR683" t="s">
        <v>78</v>
      </c>
      <c r="AS683" t="str">
        <f t="shared" si="196"/>
        <v>Cancelled</v>
      </c>
      <c r="AT683" t="str">
        <f t="shared" si="197"/>
        <v>Clean</v>
      </c>
    </row>
    <row r="684" spans="1:46">
      <c r="A684" t="s">
        <v>3210</v>
      </c>
      <c r="B684">
        <f>COUNTIF($D$2:D684,D684)</f>
        <v>3</v>
      </c>
      <c r="C684" t="str">
        <f>IF(COUNTIF($A:$A,A684)=1,
"Unique",
IF(COUNTIFS($A:$A,A684,$N:$N,N684,$AF:$AF,AF684,$AJ:$AJ,AJ684)&gt;1,
"Exact Duplicate",
"Conflicting Duplicate"))</f>
        <v>Unique</v>
      </c>
      <c r="D684" t="s">
        <v>344</v>
      </c>
      <c r="E684" t="s">
        <v>2883</v>
      </c>
      <c r="F684" s="2">
        <v>45779</v>
      </c>
      <c r="G684" s="3">
        <v>45779</v>
      </c>
      <c r="H684" s="5" t="str">
        <f t="shared" si="180"/>
        <v>May</v>
      </c>
      <c r="I684" s="5">
        <f t="shared" si="181"/>
        <v>2025</v>
      </c>
      <c r="J684" t="str">
        <f>IF(F684="","Missing Date",
IF(ISNUMBER(F684),"Valid","Invalid Date"))</f>
        <v>Valid</v>
      </c>
      <c r="K684" t="str">
        <f t="shared" si="182"/>
        <v>Valid</v>
      </c>
      <c r="L684">
        <f>G684-F684</f>
        <v>0</v>
      </c>
      <c r="M684" t="s">
        <v>3211</v>
      </c>
      <c r="N684" t="s">
        <v>3212</v>
      </c>
      <c r="O684" t="str">
        <f t="shared" si="183"/>
        <v>Ananya Rao</v>
      </c>
      <c r="P684" t="s">
        <v>108</v>
      </c>
      <c r="Q684" t="str">
        <f t="shared" si="184"/>
        <v>Corporate</v>
      </c>
      <c r="R684" t="s">
        <v>27</v>
      </c>
      <c r="S684" t="str">
        <f t="shared" si="185"/>
        <v>North</v>
      </c>
      <c r="T684" t="s">
        <v>323</v>
      </c>
      <c r="U684" t="str">
        <f t="shared" si="186"/>
        <v>Haryana</v>
      </c>
      <c r="V684" t="s">
        <v>324</v>
      </c>
      <c r="W684" t="str">
        <f t="shared" si="187"/>
        <v>Gurugram</v>
      </c>
      <c r="X684" t="s">
        <v>30</v>
      </c>
      <c r="Y684" t="str">
        <f t="shared" si="188"/>
        <v>Office Supplies</v>
      </c>
      <c r="Z684" t="s">
        <v>156</v>
      </c>
      <c r="AA684" t="str">
        <f t="shared" si="189"/>
        <v>Storage</v>
      </c>
      <c r="AB684" t="s">
        <v>3213</v>
      </c>
      <c r="AC684" t="s">
        <v>48</v>
      </c>
      <c r="AD684" t="str">
        <f t="shared" si="190"/>
        <v>Same Day</v>
      </c>
      <c r="AE684">
        <v>3</v>
      </c>
      <c r="AF684">
        <v>2590.7800000000002</v>
      </c>
      <c r="AG684" t="s">
        <v>4104</v>
      </c>
      <c r="AH684" t="s">
        <v>4104</v>
      </c>
      <c r="AI684" t="str">
        <f t="shared" si="191"/>
        <v>Invalid - Above Range</v>
      </c>
      <c r="AJ684">
        <v>7383.72</v>
      </c>
      <c r="AK684" t="s">
        <v>4104</v>
      </c>
      <c r="AL684">
        <v>4113.66</v>
      </c>
      <c r="AM684">
        <v>3270.06</v>
      </c>
      <c r="AN684" t="s">
        <v>4104</v>
      </c>
      <c r="AO684" t="s">
        <v>4104</v>
      </c>
      <c r="AP684" t="s">
        <v>34</v>
      </c>
      <c r="AQ684" t="str">
        <f t="shared" si="195"/>
        <v>Paid</v>
      </c>
      <c r="AR684" t="s">
        <v>35</v>
      </c>
      <c r="AS684" t="str">
        <f t="shared" si="196"/>
        <v>Completed</v>
      </c>
      <c r="AT684" t="str">
        <f t="shared" si="197"/>
        <v>Needs Review</v>
      </c>
    </row>
    <row r="685" spans="1:46">
      <c r="A685" t="s">
        <v>3214</v>
      </c>
      <c r="B685">
        <f>COUNTIF($D$2:D685,D685)</f>
        <v>2</v>
      </c>
      <c r="C685" t="str">
        <f>IF(COUNTIF($A:$A,A685)=1,
"Unique",
IF(COUNTIFS($A:$A,A685,$N:$N,N685,$AF:$AF,AF685,$AJ:$AJ,AJ685)&gt;1,
"Exact Duplicate",
"Conflicting Duplicate"))</f>
        <v>Unique</v>
      </c>
      <c r="D685" t="s">
        <v>3215</v>
      </c>
      <c r="E685" t="s">
        <v>1729</v>
      </c>
      <c r="F685" s="3">
        <v>45858</v>
      </c>
      <c r="G685" s="3">
        <v>45862</v>
      </c>
      <c r="H685" s="5" t="str">
        <f t="shared" si="180"/>
        <v>July</v>
      </c>
      <c r="I685" s="5">
        <f t="shared" si="181"/>
        <v>2025</v>
      </c>
      <c r="J685" t="str">
        <f>IF(F685="","Missing Date",
IF(ISNUMBER(F685),"Valid","Invalid Date"))</f>
        <v>Valid</v>
      </c>
      <c r="K685" t="str">
        <f t="shared" si="182"/>
        <v>Valid</v>
      </c>
      <c r="L685">
        <f>G685-F685</f>
        <v>4</v>
      </c>
      <c r="M685" t="s">
        <v>3216</v>
      </c>
      <c r="N685" t="s">
        <v>61</v>
      </c>
      <c r="O685" t="str">
        <f t="shared" si="183"/>
        <v>Arjun Bose</v>
      </c>
      <c r="P685" t="s">
        <v>41</v>
      </c>
      <c r="Q685" t="str">
        <f t="shared" si="184"/>
        <v>Small Business</v>
      </c>
      <c r="R685" t="s">
        <v>62</v>
      </c>
      <c r="S685" t="str">
        <f t="shared" si="185"/>
        <v>South</v>
      </c>
      <c r="T685" t="s">
        <v>63</v>
      </c>
      <c r="U685" t="str">
        <f t="shared" si="186"/>
        <v>Telangana</v>
      </c>
      <c r="V685" t="s">
        <v>64</v>
      </c>
      <c r="W685" t="str">
        <f t="shared" si="187"/>
        <v>Hyderabad</v>
      </c>
      <c r="X685" t="s">
        <v>45</v>
      </c>
      <c r="Y685" t="str">
        <f t="shared" si="188"/>
        <v>Furniture</v>
      </c>
      <c r="Z685" t="s">
        <v>65</v>
      </c>
      <c r="AA685" t="str">
        <f t="shared" si="189"/>
        <v>Furnishings</v>
      </c>
      <c r="AB685" t="s">
        <v>3217</v>
      </c>
      <c r="AC685" t="s">
        <v>33</v>
      </c>
      <c r="AD685" t="str">
        <f t="shared" si="190"/>
        <v>Second Class</v>
      </c>
      <c r="AE685">
        <v>6</v>
      </c>
      <c r="AF685">
        <v>1646.45</v>
      </c>
      <c r="AG685">
        <v>0.2</v>
      </c>
      <c r="AH685">
        <v>0.2</v>
      </c>
      <c r="AI685" t="str">
        <f t="shared" si="191"/>
        <v>Valid</v>
      </c>
      <c r="AJ685">
        <v>7902.96</v>
      </c>
      <c r="AK685">
        <f t="shared" si="192"/>
        <v>7902.9600000000009</v>
      </c>
      <c r="AL685">
        <v>5512.03</v>
      </c>
      <c r="AM685">
        <v>2390.9299999999998</v>
      </c>
      <c r="AN685">
        <f t="shared" si="193"/>
        <v>2390.9300000000012</v>
      </c>
      <c r="AO685">
        <f t="shared" si="194"/>
        <v>-5512.03</v>
      </c>
      <c r="AP685" t="s">
        <v>124</v>
      </c>
      <c r="AQ685" t="str">
        <f t="shared" si="195"/>
        <v>Refunded</v>
      </c>
      <c r="AR685" t="s">
        <v>78</v>
      </c>
      <c r="AS685" t="str">
        <f t="shared" si="196"/>
        <v>Cancelled</v>
      </c>
      <c r="AT685" t="str">
        <f t="shared" si="197"/>
        <v>Clean</v>
      </c>
    </row>
    <row r="686" spans="1:46">
      <c r="A686" t="s">
        <v>3218</v>
      </c>
      <c r="B686">
        <f>COUNTIF($D$2:D686,D686)</f>
        <v>1</v>
      </c>
      <c r="C686" t="str">
        <f>IF(COUNTIF($A:$A,A686)=1,
"Unique",
IF(COUNTIFS($A:$A,A686,$N:$N,N686,$AF:$AF,AF686,$AJ:$AJ,AJ686)&gt;1,
"Exact Duplicate",
"Conflicting Duplicate"))</f>
        <v>Unique</v>
      </c>
      <c r="D686" t="s">
        <v>3219</v>
      </c>
      <c r="E686" t="s">
        <v>494</v>
      </c>
      <c r="F686" s="3">
        <v>45859</v>
      </c>
      <c r="G686" s="3">
        <v>45859</v>
      </c>
      <c r="H686" s="5" t="str">
        <f t="shared" si="180"/>
        <v>July</v>
      </c>
      <c r="I686" s="5">
        <f t="shared" si="181"/>
        <v>2025</v>
      </c>
      <c r="J686" t="str">
        <f>IF(F686="","Missing Date",
IF(ISNUMBER(F686),"Valid","Invalid Date"))</f>
        <v>Valid</v>
      </c>
      <c r="K686" t="str">
        <f t="shared" si="182"/>
        <v>Valid</v>
      </c>
      <c r="L686">
        <f>G686-F686</f>
        <v>0</v>
      </c>
      <c r="M686" t="s">
        <v>3220</v>
      </c>
      <c r="N686" t="s">
        <v>53</v>
      </c>
      <c r="O686" t="str">
        <f t="shared" si="183"/>
        <v>Isha Nair</v>
      </c>
      <c r="P686" t="s">
        <v>115</v>
      </c>
      <c r="Q686" t="str">
        <f t="shared" si="184"/>
        <v>Home Office</v>
      </c>
      <c r="R686" t="s">
        <v>62</v>
      </c>
      <c r="S686" t="str">
        <f t="shared" si="185"/>
        <v>South</v>
      </c>
      <c r="T686" t="s">
        <v>339</v>
      </c>
      <c r="U686" t="str">
        <f t="shared" si="186"/>
        <v>Tamil Nadu</v>
      </c>
      <c r="V686" t="s">
        <v>340</v>
      </c>
      <c r="W686" t="str">
        <f t="shared" si="187"/>
        <v>Chennai</v>
      </c>
      <c r="X686" t="s">
        <v>45</v>
      </c>
      <c r="Y686" t="str">
        <f t="shared" si="188"/>
        <v>Furniture</v>
      </c>
      <c r="Z686" t="s">
        <v>204</v>
      </c>
      <c r="AA686" t="str">
        <f t="shared" si="189"/>
        <v>Bookcases</v>
      </c>
      <c r="AB686" t="s">
        <v>3221</v>
      </c>
      <c r="AC686" t="s">
        <v>56</v>
      </c>
      <c r="AD686" t="str">
        <f t="shared" si="190"/>
        <v>First Class</v>
      </c>
      <c r="AE686">
        <v>7</v>
      </c>
      <c r="AF686">
        <v>4396.6499999999996</v>
      </c>
      <c r="AG686">
        <v>0.2</v>
      </c>
      <c r="AH686">
        <v>0.2</v>
      </c>
      <c r="AI686" t="str">
        <f t="shared" si="191"/>
        <v>Valid</v>
      </c>
      <c r="AJ686">
        <v>24621.24</v>
      </c>
      <c r="AK686">
        <f t="shared" si="192"/>
        <v>24621.239999999998</v>
      </c>
      <c r="AL686">
        <v>17155.48</v>
      </c>
      <c r="AM686">
        <v>7465.76</v>
      </c>
      <c r="AN686">
        <f t="shared" si="193"/>
        <v>7465.7599999999984</v>
      </c>
      <c r="AO686">
        <f t="shared" si="194"/>
        <v>-17155.48</v>
      </c>
      <c r="AP686" t="s">
        <v>124</v>
      </c>
      <c r="AQ686" t="str">
        <f t="shared" si="195"/>
        <v>Refunded</v>
      </c>
      <c r="AR686" t="s">
        <v>78</v>
      </c>
      <c r="AS686" t="str">
        <f t="shared" si="196"/>
        <v>Cancelled</v>
      </c>
      <c r="AT686" t="str">
        <f t="shared" si="197"/>
        <v>Clean</v>
      </c>
    </row>
    <row r="687" spans="1:46">
      <c r="A687" t="s">
        <v>3222</v>
      </c>
      <c r="B687">
        <f>COUNTIF($D$2:D687,D687)</f>
        <v>2</v>
      </c>
      <c r="C687" t="str">
        <f>IF(COUNTIF($A:$A,A687)=1,
"Unique",
IF(COUNTIFS($A:$A,A687,$N:$N,N687,$AF:$AF,AF687,$AJ:$AJ,AJ687)&gt;1,
"Exact Duplicate",
"Conflicting Duplicate"))</f>
        <v>Unique</v>
      </c>
      <c r="D687" t="s">
        <v>3223</v>
      </c>
      <c r="E687" t="s">
        <v>499</v>
      </c>
      <c r="F687" s="2">
        <v>45667</v>
      </c>
      <c r="G687" s="3">
        <v>45726</v>
      </c>
      <c r="H687" s="5" t="str">
        <f t="shared" si="180"/>
        <v>January</v>
      </c>
      <c r="I687" s="5">
        <f t="shared" si="181"/>
        <v>2025</v>
      </c>
      <c r="J687" t="str">
        <f>IF(F687="","Missing Date",
IF(ISNUMBER(F687),"Valid","Invalid Date"))</f>
        <v>Valid</v>
      </c>
      <c r="K687" t="str">
        <f t="shared" si="182"/>
        <v>Valid</v>
      </c>
      <c r="L687">
        <f>G687-F687</f>
        <v>59</v>
      </c>
      <c r="M687" t="s">
        <v>2734</v>
      </c>
      <c r="N687" t="s">
        <v>93</v>
      </c>
      <c r="O687" t="str">
        <f t="shared" si="183"/>
        <v>Neha Gupta</v>
      </c>
      <c r="P687" t="s">
        <v>108</v>
      </c>
      <c r="Q687" t="str">
        <f t="shared" si="184"/>
        <v>Corporate</v>
      </c>
      <c r="R687" t="s">
        <v>73</v>
      </c>
      <c r="S687" t="str">
        <f t="shared" si="185"/>
        <v>West</v>
      </c>
      <c r="T687" t="s">
        <v>249</v>
      </c>
      <c r="U687" t="str">
        <f t="shared" si="186"/>
        <v>Goa</v>
      </c>
      <c r="V687" t="s">
        <v>250</v>
      </c>
      <c r="W687" t="str">
        <f t="shared" si="187"/>
        <v>Panaji</v>
      </c>
      <c r="X687" t="s">
        <v>30</v>
      </c>
      <c r="Y687" t="str">
        <f t="shared" si="188"/>
        <v>Office Supplies</v>
      </c>
      <c r="Z687" t="s">
        <v>54</v>
      </c>
      <c r="AA687" t="str">
        <f t="shared" si="189"/>
        <v>Art</v>
      </c>
      <c r="AB687" t="s">
        <v>3224</v>
      </c>
      <c r="AC687" t="s">
        <v>67</v>
      </c>
      <c r="AD687" t="str">
        <f t="shared" si="190"/>
        <v>Standard Class</v>
      </c>
      <c r="AE687">
        <v>9</v>
      </c>
      <c r="AF687">
        <v>818.15</v>
      </c>
      <c r="AG687">
        <v>0.55000000000000004</v>
      </c>
      <c r="AH687">
        <v>0.55000000000000004</v>
      </c>
      <c r="AI687" t="str">
        <f t="shared" si="191"/>
        <v>Valid</v>
      </c>
      <c r="AJ687">
        <v>6627.01</v>
      </c>
      <c r="AK687">
        <f t="shared" si="192"/>
        <v>3313.5074999999993</v>
      </c>
      <c r="AL687">
        <v>5606.79</v>
      </c>
      <c r="AM687">
        <v>1020.22</v>
      </c>
      <c r="AN687">
        <f t="shared" si="193"/>
        <v>-2293.2825000000007</v>
      </c>
      <c r="AO687">
        <f t="shared" si="194"/>
        <v>-5606.79</v>
      </c>
      <c r="AP687" t="s">
        <v>200</v>
      </c>
      <c r="AQ687" t="str">
        <f t="shared" si="195"/>
        <v>Failed</v>
      </c>
      <c r="AR687" t="s">
        <v>78</v>
      </c>
      <c r="AS687" t="str">
        <f t="shared" si="196"/>
        <v>Cancelled</v>
      </c>
      <c r="AT687" t="str">
        <f t="shared" si="197"/>
        <v>Clean</v>
      </c>
    </row>
    <row r="688" spans="1:46">
      <c r="A688" t="s">
        <v>3225</v>
      </c>
      <c r="B688">
        <f>COUNTIF($D$2:D688,D688)</f>
        <v>1</v>
      </c>
      <c r="C688" t="str">
        <f>IF(COUNTIF($A:$A,A688)=1,
"Unique",
IF(COUNTIFS($A:$A,A688,$N:$N,N688,$AF:$AF,AF688,$AJ:$AJ,AJ688)&gt;1,
"Exact Duplicate",
"Conflicting Duplicate"))</f>
        <v>Unique</v>
      </c>
      <c r="D688" t="s">
        <v>3226</v>
      </c>
      <c r="E688" t="s">
        <v>2170</v>
      </c>
      <c r="F688" s="3">
        <v>45376</v>
      </c>
      <c r="G688" s="3">
        <v>45384</v>
      </c>
      <c r="H688" s="5" t="str">
        <f t="shared" si="180"/>
        <v>March</v>
      </c>
      <c r="I688" s="5">
        <f t="shared" si="181"/>
        <v>2024</v>
      </c>
      <c r="J688" t="str">
        <f>IF(F688="","Missing Date",
IF(ISNUMBER(F688),"Valid","Invalid Date"))</f>
        <v>Valid</v>
      </c>
      <c r="K688" t="str">
        <f t="shared" si="182"/>
        <v>Valid</v>
      </c>
      <c r="L688">
        <f>G688-F688</f>
        <v>8</v>
      </c>
      <c r="M688" t="s">
        <v>3227</v>
      </c>
      <c r="N688" t="s">
        <v>168</v>
      </c>
      <c r="O688" t="str">
        <f t="shared" si="183"/>
        <v>Sneha Kapoor</v>
      </c>
      <c r="P688" t="s">
        <v>115</v>
      </c>
      <c r="Q688" t="str">
        <f t="shared" si="184"/>
        <v>Home Office</v>
      </c>
      <c r="R688" t="s">
        <v>62</v>
      </c>
      <c r="S688" t="str">
        <f t="shared" si="185"/>
        <v>South</v>
      </c>
      <c r="T688" t="s">
        <v>339</v>
      </c>
      <c r="U688" t="str">
        <f t="shared" si="186"/>
        <v>Tamil Nadu</v>
      </c>
      <c r="V688" t="s">
        <v>340</v>
      </c>
      <c r="W688" t="str">
        <f t="shared" si="187"/>
        <v>Chennai</v>
      </c>
      <c r="X688" t="s">
        <v>86</v>
      </c>
      <c r="Y688" t="str">
        <f t="shared" si="188"/>
        <v>Technology</v>
      </c>
      <c r="Z688" t="s">
        <v>94</v>
      </c>
      <c r="AA688" t="str">
        <f t="shared" si="189"/>
        <v>Copiers</v>
      </c>
      <c r="AB688" t="s">
        <v>3228</v>
      </c>
      <c r="AC688" t="s">
        <v>67</v>
      </c>
      <c r="AD688" t="str">
        <f t="shared" si="190"/>
        <v>Standard Class</v>
      </c>
      <c r="AE688">
        <v>2</v>
      </c>
      <c r="AF688">
        <v>2349.13</v>
      </c>
      <c r="AG688">
        <v>0</v>
      </c>
      <c r="AH688">
        <v>0</v>
      </c>
      <c r="AI688" t="str">
        <f t="shared" si="191"/>
        <v>Valid</v>
      </c>
      <c r="AJ688">
        <v>4698.26</v>
      </c>
      <c r="AK688">
        <f t="shared" si="192"/>
        <v>4698.26</v>
      </c>
      <c r="AL688">
        <v>2654.92</v>
      </c>
      <c r="AM688">
        <v>2043.34</v>
      </c>
      <c r="AN688">
        <f t="shared" si="193"/>
        <v>2043.3400000000001</v>
      </c>
      <c r="AO688">
        <f t="shared" si="194"/>
        <v>-2654.92</v>
      </c>
      <c r="AP688" t="s">
        <v>34</v>
      </c>
      <c r="AQ688" t="str">
        <f t="shared" si="195"/>
        <v>Paid</v>
      </c>
      <c r="AR688" t="s">
        <v>35</v>
      </c>
      <c r="AS688" t="str">
        <f t="shared" si="196"/>
        <v>Completed</v>
      </c>
      <c r="AT688" t="str">
        <f t="shared" si="197"/>
        <v>Clean</v>
      </c>
    </row>
    <row r="689" spans="1:46">
      <c r="A689" t="s">
        <v>3229</v>
      </c>
      <c r="B689">
        <f>COUNTIF($D$2:D689,D689)</f>
        <v>2</v>
      </c>
      <c r="C689" t="str">
        <f>IF(COUNTIF($A:$A,A689)=1,
"Unique",
IF(COUNTIFS($A:$A,A689,$N:$N,N689,$AF:$AF,AF689,$AJ:$AJ,AJ689)&gt;1,
"Exact Duplicate",
"Conflicting Duplicate"))</f>
        <v>Unique</v>
      </c>
      <c r="D689" t="s">
        <v>1191</v>
      </c>
      <c r="E689" t="s">
        <v>3230</v>
      </c>
      <c r="F689" s="2">
        <v>45879</v>
      </c>
      <c r="G689" s="3">
        <v>45943</v>
      </c>
      <c r="H689" s="5" t="str">
        <f t="shared" si="180"/>
        <v>August</v>
      </c>
      <c r="I689" s="5">
        <f t="shared" si="181"/>
        <v>2025</v>
      </c>
      <c r="J689" t="str">
        <f>IF(F689="","Missing Date",
IF(ISNUMBER(F689),"Valid","Invalid Date"))</f>
        <v>Valid</v>
      </c>
      <c r="K689" t="str">
        <f t="shared" si="182"/>
        <v>Valid</v>
      </c>
      <c r="L689">
        <f>G689-F689</f>
        <v>64</v>
      </c>
      <c r="M689" t="s">
        <v>3231</v>
      </c>
      <c r="N689" t="s">
        <v>40</v>
      </c>
      <c r="O689" t="str">
        <f t="shared" si="183"/>
        <v>Mira Das</v>
      </c>
      <c r="P689" t="s">
        <v>115</v>
      </c>
      <c r="Q689" t="str">
        <f t="shared" si="184"/>
        <v>Home Office</v>
      </c>
      <c r="R689" t="s">
        <v>27</v>
      </c>
      <c r="S689" t="str">
        <f t="shared" si="185"/>
        <v>North</v>
      </c>
      <c r="T689" t="s">
        <v>154</v>
      </c>
      <c r="U689" t="str">
        <f t="shared" si="186"/>
        <v>Punjab</v>
      </c>
      <c r="V689" t="s">
        <v>155</v>
      </c>
      <c r="W689" t="str">
        <f t="shared" si="187"/>
        <v>Ludhiana</v>
      </c>
      <c r="X689" t="s">
        <v>45</v>
      </c>
      <c r="Y689" t="str">
        <f t="shared" si="188"/>
        <v>Furniture</v>
      </c>
      <c r="Z689" t="s">
        <v>46</v>
      </c>
      <c r="AA689" t="str">
        <f t="shared" si="189"/>
        <v>Tables</v>
      </c>
      <c r="AB689" t="s">
        <v>3232</v>
      </c>
      <c r="AC689" t="s">
        <v>56</v>
      </c>
      <c r="AD689" t="str">
        <f t="shared" si="190"/>
        <v>First Class</v>
      </c>
      <c r="AE689">
        <v>4</v>
      </c>
      <c r="AF689">
        <v>172.05</v>
      </c>
      <c r="AG689">
        <v>0</v>
      </c>
      <c r="AH689">
        <v>0</v>
      </c>
      <c r="AI689" t="str">
        <f t="shared" si="191"/>
        <v>Valid</v>
      </c>
      <c r="AJ689">
        <v>688.2</v>
      </c>
      <c r="AK689">
        <f t="shared" si="192"/>
        <v>688.2</v>
      </c>
      <c r="AL689">
        <v>497.68</v>
      </c>
      <c r="AM689">
        <v>190.52</v>
      </c>
      <c r="AN689">
        <f t="shared" si="193"/>
        <v>190.52000000000004</v>
      </c>
      <c r="AO689">
        <f t="shared" si="194"/>
        <v>-497.68</v>
      </c>
      <c r="AP689" t="s">
        <v>200</v>
      </c>
      <c r="AQ689" t="str">
        <f t="shared" si="195"/>
        <v>Failed</v>
      </c>
      <c r="AR689" t="s">
        <v>78</v>
      </c>
      <c r="AS689" t="str">
        <f t="shared" si="196"/>
        <v>Cancelled</v>
      </c>
      <c r="AT689" t="str">
        <f t="shared" si="197"/>
        <v>Clean</v>
      </c>
    </row>
    <row r="690" spans="1:46">
      <c r="A690" t="s">
        <v>3233</v>
      </c>
      <c r="B690">
        <f>COUNTIF($D$2:D690,D690)</f>
        <v>2</v>
      </c>
      <c r="C690" t="str">
        <f>IF(COUNTIF($A:$A,A690)=1,
"Unique",
IF(COUNTIFS($A:$A,A690,$N:$N,N690,$AF:$AF,AF690,$AJ:$AJ,AJ690)&gt;1,
"Exact Duplicate",
"Conflicting Duplicate"))</f>
        <v>Unique</v>
      </c>
      <c r="D690" t="s">
        <v>1162</v>
      </c>
      <c r="E690" t="s">
        <v>3234</v>
      </c>
      <c r="F690" s="2">
        <v>45714</v>
      </c>
      <c r="G690" s="2">
        <v>45715</v>
      </c>
      <c r="H690" s="5" t="str">
        <f t="shared" si="180"/>
        <v>February</v>
      </c>
      <c r="I690" s="5">
        <f t="shared" si="181"/>
        <v>2025</v>
      </c>
      <c r="J690" t="str">
        <f>IF(F690="","Missing Date",
IF(ISNUMBER(F690),"Valid","Invalid Date"))</f>
        <v>Valid</v>
      </c>
      <c r="K690" t="str">
        <f t="shared" si="182"/>
        <v>Valid</v>
      </c>
      <c r="L690">
        <f>G690-F690</f>
        <v>1</v>
      </c>
      <c r="M690" t="s">
        <v>3235</v>
      </c>
      <c r="N690" t="s">
        <v>93</v>
      </c>
      <c r="O690" t="str">
        <f t="shared" si="183"/>
        <v>Neha Gupta</v>
      </c>
      <c r="P690" t="s">
        <v>115</v>
      </c>
      <c r="Q690" t="str">
        <f t="shared" si="184"/>
        <v>Home Office</v>
      </c>
      <c r="R690" t="s">
        <v>27</v>
      </c>
      <c r="S690" t="str">
        <f t="shared" si="185"/>
        <v>North</v>
      </c>
      <c r="T690" t="s">
        <v>323</v>
      </c>
      <c r="U690" t="str">
        <f t="shared" si="186"/>
        <v>Haryana</v>
      </c>
      <c r="V690" t="s">
        <v>324</v>
      </c>
      <c r="W690" t="str">
        <f t="shared" si="187"/>
        <v>Gurugram</v>
      </c>
      <c r="X690" t="s">
        <v>30</v>
      </c>
      <c r="Y690" t="str">
        <f t="shared" si="188"/>
        <v>Office Supplies</v>
      </c>
      <c r="Z690" t="s">
        <v>54</v>
      </c>
      <c r="AA690" t="str">
        <f t="shared" si="189"/>
        <v>Art</v>
      </c>
      <c r="AB690" t="s">
        <v>3236</v>
      </c>
      <c r="AC690" t="s">
        <v>33</v>
      </c>
      <c r="AD690" t="str">
        <f t="shared" si="190"/>
        <v>Second Class</v>
      </c>
      <c r="AE690">
        <v>6</v>
      </c>
      <c r="AF690">
        <v>3037.66</v>
      </c>
      <c r="AG690">
        <v>0.15</v>
      </c>
      <c r="AH690">
        <v>0.15</v>
      </c>
      <c r="AI690" t="str">
        <f t="shared" si="191"/>
        <v>Valid</v>
      </c>
      <c r="AJ690">
        <v>15492.07</v>
      </c>
      <c r="AK690">
        <f t="shared" si="192"/>
        <v>15492.065999999999</v>
      </c>
      <c r="AL690">
        <v>12581.23</v>
      </c>
      <c r="AM690">
        <v>2910.84</v>
      </c>
      <c r="AN690">
        <f t="shared" si="193"/>
        <v>2910.8359999999993</v>
      </c>
      <c r="AO690">
        <f t="shared" si="194"/>
        <v>-12581.23</v>
      </c>
      <c r="AP690" t="s">
        <v>34</v>
      </c>
      <c r="AQ690" t="str">
        <f t="shared" si="195"/>
        <v>Paid</v>
      </c>
      <c r="AR690" t="s">
        <v>35</v>
      </c>
      <c r="AS690" t="str">
        <f t="shared" si="196"/>
        <v>Completed</v>
      </c>
      <c r="AT690" t="str">
        <f t="shared" si="197"/>
        <v>Clean</v>
      </c>
    </row>
    <row r="691" spans="1:46">
      <c r="A691" t="s">
        <v>3237</v>
      </c>
      <c r="B691">
        <f>COUNTIF($D$2:D691,D691)</f>
        <v>2</v>
      </c>
      <c r="C691" t="str">
        <f>IF(COUNTIF($A:$A,A691)=1,
"Unique",
IF(COUNTIFS($A:$A,A691,$N:$N,N691,$AF:$AF,AF691,$AJ:$AJ,AJ691)&gt;1,
"Exact Duplicate",
"Conflicting Duplicate"))</f>
        <v>Unique</v>
      </c>
      <c r="D691" t="s">
        <v>3238</v>
      </c>
      <c r="E691" t="s">
        <v>3239</v>
      </c>
      <c r="F691" s="3">
        <v>45422</v>
      </c>
      <c r="G691" s="2">
        <v>45453</v>
      </c>
      <c r="H691" s="5" t="str">
        <f t="shared" si="180"/>
        <v>May</v>
      </c>
      <c r="I691" s="5">
        <f t="shared" si="181"/>
        <v>2024</v>
      </c>
      <c r="J691" t="str">
        <f>IF(F691="","Missing Date",
IF(ISNUMBER(F691),"Valid","Invalid Date"))</f>
        <v>Valid</v>
      </c>
      <c r="K691" t="str">
        <f t="shared" si="182"/>
        <v>Valid</v>
      </c>
      <c r="L691">
        <f>G691-F691</f>
        <v>31</v>
      </c>
      <c r="M691" t="s">
        <v>3240</v>
      </c>
      <c r="N691" t="s">
        <v>180</v>
      </c>
      <c r="O691" t="str">
        <f t="shared" si="183"/>
        <v>Rohan Mehta</v>
      </c>
      <c r="P691" t="s">
        <v>41</v>
      </c>
      <c r="Q691" t="str">
        <f t="shared" si="184"/>
        <v>Small Business</v>
      </c>
      <c r="R691" t="s">
        <v>27</v>
      </c>
      <c r="S691" t="str">
        <f t="shared" si="185"/>
        <v>North</v>
      </c>
      <c r="T691" t="s">
        <v>154</v>
      </c>
      <c r="U691" t="str">
        <f t="shared" si="186"/>
        <v>Punjab</v>
      </c>
      <c r="V691" t="s">
        <v>155</v>
      </c>
      <c r="W691" t="str">
        <f t="shared" si="187"/>
        <v>Ludhiana</v>
      </c>
      <c r="X691" t="s">
        <v>45</v>
      </c>
      <c r="Y691" t="str">
        <f t="shared" si="188"/>
        <v>Furniture</v>
      </c>
      <c r="Z691" t="s">
        <v>46</v>
      </c>
      <c r="AA691" t="str">
        <f t="shared" si="189"/>
        <v>Tables</v>
      </c>
      <c r="AB691" t="s">
        <v>3241</v>
      </c>
      <c r="AC691" t="s">
        <v>67</v>
      </c>
      <c r="AD691" t="str">
        <f t="shared" si="190"/>
        <v>Standard Class</v>
      </c>
      <c r="AE691">
        <v>9</v>
      </c>
      <c r="AF691">
        <v>489.58</v>
      </c>
      <c r="AG691">
        <v>0.15</v>
      </c>
      <c r="AH691">
        <v>0.15</v>
      </c>
      <c r="AI691" t="str">
        <f t="shared" si="191"/>
        <v>Valid</v>
      </c>
      <c r="AJ691">
        <v>3745.29</v>
      </c>
      <c r="AK691">
        <f t="shared" si="192"/>
        <v>3745.2870000000003</v>
      </c>
      <c r="AL691">
        <v>2302.65</v>
      </c>
      <c r="AM691">
        <v>1442.64</v>
      </c>
      <c r="AN691">
        <f t="shared" si="193"/>
        <v>1442.6370000000002</v>
      </c>
      <c r="AO691">
        <f t="shared" si="194"/>
        <v>-2302.65</v>
      </c>
      <c r="AP691" t="s">
        <v>200</v>
      </c>
      <c r="AQ691" t="str">
        <f t="shared" si="195"/>
        <v>Failed</v>
      </c>
      <c r="AR691" t="s">
        <v>78</v>
      </c>
      <c r="AS691" t="str">
        <f t="shared" si="196"/>
        <v>Cancelled</v>
      </c>
      <c r="AT691" t="str">
        <f t="shared" si="197"/>
        <v>Clean</v>
      </c>
    </row>
    <row r="692" spans="1:46">
      <c r="A692" t="s">
        <v>3242</v>
      </c>
      <c r="B692">
        <f>COUNTIF($D$2:D692,D692)</f>
        <v>2</v>
      </c>
      <c r="C692" t="str">
        <f>IF(COUNTIF($A:$A,A692)=1,
"Unique",
IF(COUNTIFS($A:$A,A692,$N:$N,N692,$AF:$AF,AF692,$AJ:$AJ,AJ692)&gt;1,
"Exact Duplicate",
"Conflicting Duplicate"))</f>
        <v>Unique</v>
      </c>
      <c r="D692" t="s">
        <v>877</v>
      </c>
      <c r="E692" t="s">
        <v>3243</v>
      </c>
      <c r="F692" s="3">
        <v>45546</v>
      </c>
      <c r="G692" s="3">
        <v>45550</v>
      </c>
      <c r="H692" s="5" t="str">
        <f t="shared" si="180"/>
        <v>September</v>
      </c>
      <c r="I692" s="5">
        <f t="shared" si="181"/>
        <v>2024</v>
      </c>
      <c r="J692" t="str">
        <f>IF(F692="","Missing Date",
IF(ISNUMBER(F692),"Valid","Invalid Date"))</f>
        <v>Valid</v>
      </c>
      <c r="K692" t="str">
        <f t="shared" si="182"/>
        <v>Valid</v>
      </c>
      <c r="L692">
        <f>G692-F692</f>
        <v>4</v>
      </c>
      <c r="M692" t="s">
        <v>3244</v>
      </c>
      <c r="N692" t="s">
        <v>168</v>
      </c>
      <c r="O692" t="str">
        <f t="shared" si="183"/>
        <v>Sneha Kapoor</v>
      </c>
      <c r="P692" t="s">
        <v>108</v>
      </c>
      <c r="Q692" t="str">
        <f t="shared" si="184"/>
        <v>Corporate</v>
      </c>
      <c r="R692" t="s">
        <v>62</v>
      </c>
      <c r="S692" t="str">
        <f t="shared" si="185"/>
        <v>South</v>
      </c>
      <c r="T692" t="s">
        <v>339</v>
      </c>
      <c r="U692" t="str">
        <f t="shared" si="186"/>
        <v>Tamil Nadu</v>
      </c>
      <c r="V692" t="s">
        <v>340</v>
      </c>
      <c r="W692" t="str">
        <f t="shared" si="187"/>
        <v>Chennai</v>
      </c>
      <c r="X692" t="s">
        <v>30</v>
      </c>
      <c r="Y692" t="str">
        <f t="shared" si="188"/>
        <v>Office Supplies</v>
      </c>
      <c r="Z692" t="s">
        <v>54</v>
      </c>
      <c r="AA692" t="str">
        <f t="shared" si="189"/>
        <v>Art</v>
      </c>
      <c r="AB692" t="s">
        <v>3245</v>
      </c>
      <c r="AC692" t="s">
        <v>67</v>
      </c>
      <c r="AD692" t="str">
        <f t="shared" si="190"/>
        <v>Standard Class</v>
      </c>
      <c r="AE692">
        <v>4</v>
      </c>
      <c r="AF692">
        <v>865.63</v>
      </c>
      <c r="AG692">
        <v>0</v>
      </c>
      <c r="AH692">
        <v>0</v>
      </c>
      <c r="AI692" t="str">
        <f t="shared" si="191"/>
        <v>Valid</v>
      </c>
      <c r="AJ692">
        <v>3462.52</v>
      </c>
      <c r="AK692">
        <f t="shared" si="192"/>
        <v>3462.52</v>
      </c>
      <c r="AL692">
        <v>2797.29</v>
      </c>
      <c r="AM692">
        <v>665.23</v>
      </c>
      <c r="AN692">
        <f t="shared" si="193"/>
        <v>665.23</v>
      </c>
      <c r="AO692">
        <f t="shared" si="194"/>
        <v>-2797.29</v>
      </c>
      <c r="AP692" t="s">
        <v>200</v>
      </c>
      <c r="AQ692" t="str">
        <f t="shared" si="195"/>
        <v>Failed</v>
      </c>
      <c r="AR692" t="s">
        <v>125</v>
      </c>
      <c r="AS692" t="str">
        <f t="shared" si="196"/>
        <v>Returned</v>
      </c>
      <c r="AT692" t="str">
        <f t="shared" si="197"/>
        <v>Clean</v>
      </c>
    </row>
    <row r="693" spans="1:46">
      <c r="A693" t="s">
        <v>3246</v>
      </c>
      <c r="B693">
        <f>COUNTIF($D$2:D693,D693)</f>
        <v>2</v>
      </c>
      <c r="C693" t="str">
        <f>IF(COUNTIF($A:$A,A693)=1,
"Unique",
IF(COUNTIFS($A:$A,A693,$N:$N,N693,$AF:$AF,AF693,$AJ:$AJ,AJ693)&gt;1,
"Exact Duplicate",
"Conflicting Duplicate"))</f>
        <v>Unique</v>
      </c>
      <c r="D693" t="s">
        <v>2461</v>
      </c>
      <c r="E693" t="s">
        <v>3247</v>
      </c>
      <c r="F693" s="3">
        <v>45641</v>
      </c>
      <c r="G693" s="3">
        <v>45642</v>
      </c>
      <c r="H693" s="5" t="str">
        <f t="shared" si="180"/>
        <v>December</v>
      </c>
      <c r="I693" s="5">
        <f t="shared" si="181"/>
        <v>2024</v>
      </c>
      <c r="J693" t="str">
        <f>IF(F693="","Missing Date",
IF(ISNUMBER(F693),"Valid","Invalid Date"))</f>
        <v>Valid</v>
      </c>
      <c r="K693" t="str">
        <f t="shared" si="182"/>
        <v>Valid</v>
      </c>
      <c r="L693">
        <f>G693-F693</f>
        <v>1</v>
      </c>
      <c r="M693" t="s">
        <v>3248</v>
      </c>
      <c r="N693" t="s">
        <v>180</v>
      </c>
      <c r="O693" t="str">
        <f t="shared" si="183"/>
        <v>Rohan Mehta</v>
      </c>
      <c r="P693" t="s">
        <v>26</v>
      </c>
      <c r="Q693" t="str">
        <f t="shared" si="184"/>
        <v>Consumer</v>
      </c>
      <c r="R693" t="s">
        <v>42</v>
      </c>
      <c r="S693" t="str">
        <f t="shared" si="185"/>
        <v>East</v>
      </c>
      <c r="T693" t="s">
        <v>43</v>
      </c>
      <c r="U693" t="str">
        <f t="shared" si="186"/>
        <v>Odisha</v>
      </c>
      <c r="V693" t="s">
        <v>44</v>
      </c>
      <c r="W693" t="str">
        <f t="shared" si="187"/>
        <v>Bhubaneswar</v>
      </c>
      <c r="X693" t="s">
        <v>86</v>
      </c>
      <c r="Y693" t="str">
        <f t="shared" si="188"/>
        <v>Technology</v>
      </c>
      <c r="Z693" t="s">
        <v>94</v>
      </c>
      <c r="AA693" t="str">
        <f t="shared" si="189"/>
        <v>Copiers</v>
      </c>
      <c r="AB693" t="s">
        <v>3249</v>
      </c>
      <c r="AC693" t="s">
        <v>33</v>
      </c>
      <c r="AD693" t="str">
        <f t="shared" si="190"/>
        <v>Second Class</v>
      </c>
      <c r="AE693">
        <v>6</v>
      </c>
      <c r="AF693">
        <v>1538.1</v>
      </c>
      <c r="AG693">
        <v>0.05</v>
      </c>
      <c r="AH693">
        <v>0.05</v>
      </c>
      <c r="AI693" t="str">
        <f t="shared" si="191"/>
        <v>Valid</v>
      </c>
      <c r="AJ693">
        <v>8767.17</v>
      </c>
      <c r="AK693">
        <f t="shared" si="192"/>
        <v>8767.1699999999983</v>
      </c>
      <c r="AL693">
        <v>5098.2</v>
      </c>
      <c r="AM693">
        <v>3668.97</v>
      </c>
      <c r="AN693">
        <f t="shared" si="193"/>
        <v>3668.9699999999984</v>
      </c>
      <c r="AO693">
        <f t="shared" si="194"/>
        <v>-5098.2</v>
      </c>
      <c r="AP693" t="s">
        <v>34</v>
      </c>
      <c r="AQ693" t="str">
        <f t="shared" si="195"/>
        <v>Paid</v>
      </c>
      <c r="AR693" t="s">
        <v>35</v>
      </c>
      <c r="AS693" t="str">
        <f t="shared" si="196"/>
        <v>Completed</v>
      </c>
      <c r="AT693" t="str">
        <f t="shared" si="197"/>
        <v>Clean</v>
      </c>
    </row>
    <row r="694" spans="1:46">
      <c r="A694" t="s">
        <v>3250</v>
      </c>
      <c r="B694">
        <f>COUNTIF($D$2:D694,D694)</f>
        <v>3</v>
      </c>
      <c r="C694" t="str">
        <f>IF(COUNTIF($A:$A,A694)=1,
"Unique",
IF(COUNTIFS($A:$A,A694,$N:$N,N694,$AF:$AF,AF694,$AJ:$AJ,AJ694)&gt;1,
"Exact Duplicate",
"Conflicting Duplicate"))</f>
        <v>Unique</v>
      </c>
      <c r="D694" t="s">
        <v>227</v>
      </c>
      <c r="E694" t="s">
        <v>3251</v>
      </c>
      <c r="F694" s="3">
        <v>45787</v>
      </c>
      <c r="G694" s="3">
        <v>45940</v>
      </c>
      <c r="H694" s="5" t="str">
        <f t="shared" si="180"/>
        <v>May</v>
      </c>
      <c r="I694" s="5">
        <f t="shared" si="181"/>
        <v>2025</v>
      </c>
      <c r="J694" t="str">
        <f>IF(F694="","Missing Date",
IF(ISNUMBER(F694),"Valid","Invalid Date"))</f>
        <v>Valid</v>
      </c>
      <c r="K694" t="str">
        <f t="shared" si="182"/>
        <v>Valid</v>
      </c>
      <c r="L694">
        <f>G694-F694</f>
        <v>153</v>
      </c>
      <c r="M694" t="s">
        <v>3252</v>
      </c>
      <c r="N694" t="s">
        <v>53</v>
      </c>
      <c r="O694" t="str">
        <f t="shared" si="183"/>
        <v>Isha Nair</v>
      </c>
      <c r="P694" t="s">
        <v>1781</v>
      </c>
      <c r="Q694" t="str">
        <f t="shared" si="184"/>
        <v>Corporate</v>
      </c>
      <c r="R694" t="s">
        <v>62</v>
      </c>
      <c r="S694" t="str">
        <f t="shared" si="185"/>
        <v>South</v>
      </c>
      <c r="T694" t="s">
        <v>229</v>
      </c>
      <c r="U694" t="str">
        <f t="shared" si="186"/>
        <v>Karnataka</v>
      </c>
      <c r="V694" t="s">
        <v>230</v>
      </c>
      <c r="W694" t="str">
        <f t="shared" si="187"/>
        <v>Bengaluru</v>
      </c>
      <c r="X694" t="s">
        <v>45</v>
      </c>
      <c r="Y694" t="str">
        <f t="shared" si="188"/>
        <v>Furniture</v>
      </c>
      <c r="Z694" t="s">
        <v>65</v>
      </c>
      <c r="AA694" t="str">
        <f t="shared" si="189"/>
        <v>Furnishings</v>
      </c>
      <c r="AB694" t="s">
        <v>3253</v>
      </c>
      <c r="AC694" t="s">
        <v>33</v>
      </c>
      <c r="AD694" t="str">
        <f t="shared" si="190"/>
        <v>Second Class</v>
      </c>
      <c r="AE694">
        <v>4</v>
      </c>
      <c r="AF694">
        <v>2365.6799999999998</v>
      </c>
      <c r="AG694">
        <v>0.1</v>
      </c>
      <c r="AH694">
        <v>0.1</v>
      </c>
      <c r="AI694" t="str">
        <f t="shared" si="191"/>
        <v>Valid</v>
      </c>
      <c r="AJ694">
        <v>8516.4500000000007</v>
      </c>
      <c r="AK694">
        <f t="shared" si="192"/>
        <v>8516.4480000000003</v>
      </c>
      <c r="AL694">
        <v>5903.81</v>
      </c>
      <c r="AM694">
        <v>2612.64</v>
      </c>
      <c r="AN694">
        <f t="shared" si="193"/>
        <v>2612.6379999999999</v>
      </c>
      <c r="AO694">
        <f t="shared" si="194"/>
        <v>-5903.81</v>
      </c>
      <c r="AP694" t="s">
        <v>34</v>
      </c>
      <c r="AQ694" t="str">
        <f t="shared" si="195"/>
        <v>Paid</v>
      </c>
      <c r="AR694" t="s">
        <v>35</v>
      </c>
      <c r="AS694" t="str">
        <f t="shared" si="196"/>
        <v>Completed</v>
      </c>
      <c r="AT694" t="str">
        <f t="shared" si="197"/>
        <v>Clean</v>
      </c>
    </row>
    <row r="695" spans="1:46">
      <c r="A695" t="s">
        <v>3254</v>
      </c>
      <c r="B695">
        <f>COUNTIF($D$2:D695,D695)</f>
        <v>1</v>
      </c>
      <c r="C695" t="str">
        <f>IF(COUNTIF($A:$A,A695)=1,
"Unique",
IF(COUNTIFS($A:$A,A695,$N:$N,N695,$AF:$AF,AF695,$AJ:$AJ,AJ695)&gt;1,
"Exact Duplicate",
"Conflicting Duplicate"))</f>
        <v>Unique</v>
      </c>
      <c r="D695" t="s">
        <v>3255</v>
      </c>
      <c r="E695" t="s">
        <v>2498</v>
      </c>
      <c r="F695" s="3">
        <v>45720</v>
      </c>
      <c r="G695" s="3">
        <v>45965</v>
      </c>
      <c r="H695" s="5" t="str">
        <f t="shared" si="180"/>
        <v>March</v>
      </c>
      <c r="I695" s="5">
        <f t="shared" si="181"/>
        <v>2025</v>
      </c>
      <c r="J695" t="str">
        <f>IF(F695="","Missing Date",
IF(ISNUMBER(F695),"Valid","Invalid Date"))</f>
        <v>Valid</v>
      </c>
      <c r="K695" t="str">
        <f t="shared" si="182"/>
        <v>Valid</v>
      </c>
      <c r="L695">
        <f>G695-F695</f>
        <v>245</v>
      </c>
      <c r="M695" t="s">
        <v>3256</v>
      </c>
      <c r="N695" t="s">
        <v>61</v>
      </c>
      <c r="O695" t="str">
        <f t="shared" si="183"/>
        <v>Arjun Bose</v>
      </c>
      <c r="P695" t="s">
        <v>26</v>
      </c>
      <c r="Q695" t="str">
        <f t="shared" si="184"/>
        <v>Consumer</v>
      </c>
      <c r="R695" t="s">
        <v>62</v>
      </c>
      <c r="S695" t="str">
        <f t="shared" si="185"/>
        <v>South</v>
      </c>
      <c r="T695" t="s">
        <v>339</v>
      </c>
      <c r="U695" t="str">
        <f t="shared" si="186"/>
        <v>Tamil Nadu</v>
      </c>
      <c r="V695" t="s">
        <v>340</v>
      </c>
      <c r="W695" t="str">
        <f t="shared" si="187"/>
        <v>Chennai</v>
      </c>
      <c r="X695" t="s">
        <v>45</v>
      </c>
      <c r="Y695" t="str">
        <f t="shared" si="188"/>
        <v>Furniture</v>
      </c>
      <c r="Z695" t="s">
        <v>204</v>
      </c>
      <c r="AA695" t="str">
        <f t="shared" si="189"/>
        <v>Bookcases</v>
      </c>
      <c r="AB695" t="s">
        <v>3257</v>
      </c>
      <c r="AC695" t="s">
        <v>33</v>
      </c>
      <c r="AD695" t="str">
        <f t="shared" si="190"/>
        <v>Second Class</v>
      </c>
      <c r="AE695">
        <v>3</v>
      </c>
      <c r="AF695">
        <v>4149.7700000000004</v>
      </c>
      <c r="AG695">
        <v>0.05</v>
      </c>
      <c r="AH695">
        <v>0.05</v>
      </c>
      <c r="AI695" t="str">
        <f t="shared" si="191"/>
        <v>Valid</v>
      </c>
      <c r="AJ695">
        <v>11826.84</v>
      </c>
      <c r="AK695">
        <f t="shared" si="192"/>
        <v>11826.844500000001</v>
      </c>
      <c r="AL695">
        <v>8035.96</v>
      </c>
      <c r="AM695">
        <v>3790.88</v>
      </c>
      <c r="AN695">
        <f t="shared" si="193"/>
        <v>3790.884500000001</v>
      </c>
      <c r="AO695">
        <f t="shared" si="194"/>
        <v>-8035.96</v>
      </c>
      <c r="AP695" t="s">
        <v>34</v>
      </c>
      <c r="AQ695" t="str">
        <f t="shared" si="195"/>
        <v>Paid</v>
      </c>
      <c r="AR695" t="s">
        <v>35</v>
      </c>
      <c r="AS695" t="str">
        <f t="shared" si="196"/>
        <v>Completed</v>
      </c>
      <c r="AT695" t="str">
        <f t="shared" si="197"/>
        <v>Clean</v>
      </c>
    </row>
    <row r="696" spans="1:46">
      <c r="A696" t="s">
        <v>3258</v>
      </c>
      <c r="B696">
        <f>COUNTIF($D$2:D696,D696)</f>
        <v>1</v>
      </c>
      <c r="C696" t="str">
        <f>IF(COUNTIF($A:$A,A696)=1,
"Unique",
IF(COUNTIFS($A:$A,A696,$N:$N,N696,$AF:$AF,AF696,$AJ:$AJ,AJ696)&gt;1,
"Exact Duplicate",
"Conflicting Duplicate"))</f>
        <v>Exact Duplicate</v>
      </c>
      <c r="D696" t="s">
        <v>1730</v>
      </c>
      <c r="E696" t="s">
        <v>3079</v>
      </c>
      <c r="F696" s="3">
        <v>45665</v>
      </c>
      <c r="G696" s="3">
        <v>45908</v>
      </c>
      <c r="H696" s="5" t="str">
        <f t="shared" si="180"/>
        <v>January</v>
      </c>
      <c r="I696" s="5">
        <f t="shared" si="181"/>
        <v>2025</v>
      </c>
      <c r="J696" t="str">
        <f>IF(F696="","Missing Date",
IF(ISNUMBER(F696),"Valid","Invalid Date"))</f>
        <v>Valid</v>
      </c>
      <c r="K696" t="str">
        <f t="shared" si="182"/>
        <v>Valid</v>
      </c>
      <c r="L696">
        <f>G696-F696</f>
        <v>243</v>
      </c>
      <c r="M696" t="s">
        <v>1738</v>
      </c>
      <c r="N696" t="s">
        <v>53</v>
      </c>
      <c r="O696" t="str">
        <f t="shared" si="183"/>
        <v>Isha Nair</v>
      </c>
      <c r="P696" t="s">
        <v>26</v>
      </c>
      <c r="Q696" t="str">
        <f t="shared" si="184"/>
        <v>Consumer</v>
      </c>
      <c r="R696" t="s">
        <v>62</v>
      </c>
      <c r="S696" t="str">
        <f t="shared" si="185"/>
        <v>South</v>
      </c>
      <c r="T696" t="s">
        <v>100</v>
      </c>
      <c r="U696" t="str">
        <f t="shared" si="186"/>
        <v>Andhra Pradesh</v>
      </c>
      <c r="V696" t="s">
        <v>101</v>
      </c>
      <c r="W696" t="str">
        <f t="shared" si="187"/>
        <v>Vijayawada</v>
      </c>
      <c r="X696" t="s">
        <v>30</v>
      </c>
      <c r="Y696" t="str">
        <f t="shared" si="188"/>
        <v>Office Supplies</v>
      </c>
      <c r="Z696" t="s">
        <v>156</v>
      </c>
      <c r="AA696" t="str">
        <f t="shared" si="189"/>
        <v>Storage</v>
      </c>
      <c r="AB696" t="s">
        <v>3259</v>
      </c>
      <c r="AC696" t="s">
        <v>56</v>
      </c>
      <c r="AD696" t="str">
        <f t="shared" si="190"/>
        <v>First Class</v>
      </c>
      <c r="AE696">
        <v>5</v>
      </c>
      <c r="AF696">
        <v>2736.24</v>
      </c>
      <c r="AG696">
        <v>0.15</v>
      </c>
      <c r="AH696">
        <v>0.15</v>
      </c>
      <c r="AI696" t="str">
        <f t="shared" si="191"/>
        <v>Valid</v>
      </c>
      <c r="AJ696">
        <v>11629.02</v>
      </c>
      <c r="AK696">
        <f t="shared" si="192"/>
        <v>11629.019999999999</v>
      </c>
      <c r="AL696">
        <v>9627.2099999999991</v>
      </c>
      <c r="AM696">
        <v>2001.81</v>
      </c>
      <c r="AN696">
        <f t="shared" si="193"/>
        <v>2001.8099999999995</v>
      </c>
      <c r="AO696">
        <f t="shared" si="194"/>
        <v>-9627.2099999999991</v>
      </c>
      <c r="AP696" t="s">
        <v>34</v>
      </c>
      <c r="AQ696" t="str">
        <f t="shared" si="195"/>
        <v>Paid</v>
      </c>
      <c r="AR696" t="s">
        <v>35</v>
      </c>
      <c r="AS696" t="str">
        <f t="shared" si="196"/>
        <v>Completed</v>
      </c>
      <c r="AT696" t="str">
        <f t="shared" si="197"/>
        <v>Clean</v>
      </c>
    </row>
    <row r="697" spans="1:46">
      <c r="A697" t="s">
        <v>3260</v>
      </c>
      <c r="B697">
        <f>COUNTIF($D$2:D697,D697)</f>
        <v>4</v>
      </c>
      <c r="C697" t="str">
        <f>IF(COUNTIF($A:$A,A697)=1,
"Unique",
IF(COUNTIFS($A:$A,A697,$N:$N,N697,$AF:$AF,AF697,$AJ:$AJ,AJ697)&gt;1,
"Exact Duplicate",
"Conflicting Duplicate"))</f>
        <v>Unique</v>
      </c>
      <c r="D697" t="s">
        <v>3261</v>
      </c>
      <c r="E697" t="s">
        <v>2105</v>
      </c>
      <c r="F697" s="3">
        <v>45298</v>
      </c>
      <c r="G697" s="3">
        <v>45298</v>
      </c>
      <c r="H697" s="5" t="str">
        <f t="shared" si="180"/>
        <v>January</v>
      </c>
      <c r="I697" s="5">
        <f t="shared" si="181"/>
        <v>2024</v>
      </c>
      <c r="J697" t="str">
        <f>IF(F697="","Missing Date",
IF(ISNUMBER(F697),"Valid","Invalid Date"))</f>
        <v>Valid</v>
      </c>
      <c r="K697" t="str">
        <f t="shared" si="182"/>
        <v>Valid</v>
      </c>
      <c r="L697">
        <f>G697-F697</f>
        <v>0</v>
      </c>
      <c r="M697" t="s">
        <v>3262</v>
      </c>
      <c r="N697" t="s">
        <v>162</v>
      </c>
      <c r="O697" t="str">
        <f t="shared" si="183"/>
        <v>Aarav Sharma</v>
      </c>
      <c r="P697" t="s">
        <v>26</v>
      </c>
      <c r="Q697" t="str">
        <f t="shared" si="184"/>
        <v>Consumer</v>
      </c>
      <c r="R697" t="s">
        <v>73</v>
      </c>
      <c r="S697" t="str">
        <f t="shared" si="185"/>
        <v>West</v>
      </c>
      <c r="T697" t="s">
        <v>84</v>
      </c>
      <c r="U697" t="str">
        <f t="shared" si="186"/>
        <v>Madhya Pradesh</v>
      </c>
      <c r="V697" t="s">
        <v>85</v>
      </c>
      <c r="W697" t="str">
        <f t="shared" si="187"/>
        <v>Indore</v>
      </c>
      <c r="X697" t="s">
        <v>86</v>
      </c>
      <c r="Y697" t="str">
        <f t="shared" si="188"/>
        <v>Technology</v>
      </c>
      <c r="Z697" t="s">
        <v>382</v>
      </c>
      <c r="AA697" t="str">
        <f t="shared" si="189"/>
        <v>Machines</v>
      </c>
      <c r="AB697" t="s">
        <v>3263</v>
      </c>
      <c r="AC697" t="s">
        <v>67</v>
      </c>
      <c r="AD697" t="str">
        <f t="shared" si="190"/>
        <v>Standard Class</v>
      </c>
      <c r="AE697">
        <v>4</v>
      </c>
      <c r="AF697">
        <v>257.39</v>
      </c>
      <c r="AG697">
        <v>0</v>
      </c>
      <c r="AH697">
        <v>0</v>
      </c>
      <c r="AI697" t="str">
        <f t="shared" si="191"/>
        <v>Valid</v>
      </c>
      <c r="AJ697">
        <v>1029.56</v>
      </c>
      <c r="AK697">
        <f t="shared" si="192"/>
        <v>1029.56</v>
      </c>
      <c r="AL697">
        <v>626.33000000000004</v>
      </c>
      <c r="AM697">
        <v>403.23</v>
      </c>
      <c r="AN697">
        <f t="shared" si="193"/>
        <v>403.2299999999999</v>
      </c>
      <c r="AO697">
        <f t="shared" si="194"/>
        <v>-626.33000000000004</v>
      </c>
      <c r="AP697" t="s">
        <v>34</v>
      </c>
      <c r="AQ697" t="str">
        <f t="shared" si="195"/>
        <v>Paid</v>
      </c>
      <c r="AR697" t="s">
        <v>35</v>
      </c>
      <c r="AS697" t="str">
        <f t="shared" si="196"/>
        <v>Completed</v>
      </c>
      <c r="AT697" t="str">
        <f t="shared" si="197"/>
        <v>Clean</v>
      </c>
    </row>
    <row r="698" spans="1:46">
      <c r="A698" t="s">
        <v>3264</v>
      </c>
      <c r="B698">
        <f>COUNTIF($D$2:D698,D698)</f>
        <v>1</v>
      </c>
      <c r="C698" t="str">
        <f>IF(COUNTIF($A:$A,A698)=1,
"Unique",
IF(COUNTIFS($A:$A,A698,$N:$N,N698,$AF:$AF,AF698,$AJ:$AJ,AJ698)&gt;1,
"Exact Duplicate",
"Conflicting Duplicate"))</f>
        <v>Unique</v>
      </c>
      <c r="D698" t="s">
        <v>3265</v>
      </c>
      <c r="E698" t="s">
        <v>3266</v>
      </c>
      <c r="F698" s="2">
        <v>45922</v>
      </c>
      <c r="G698" s="2">
        <v>45925</v>
      </c>
      <c r="H698" s="5" t="str">
        <f t="shared" si="180"/>
        <v>September</v>
      </c>
      <c r="I698" s="5">
        <f t="shared" si="181"/>
        <v>2025</v>
      </c>
      <c r="J698" t="str">
        <f>IF(F698="","Missing Date",
IF(ISNUMBER(F698),"Valid","Invalid Date"))</f>
        <v>Valid</v>
      </c>
      <c r="K698" t="str">
        <f t="shared" si="182"/>
        <v>Valid</v>
      </c>
      <c r="L698">
        <f>G698-F698</f>
        <v>3</v>
      </c>
      <c r="M698" t="s">
        <v>3267</v>
      </c>
      <c r="N698" t="s">
        <v>53</v>
      </c>
      <c r="O698" t="str">
        <f t="shared" si="183"/>
        <v>Isha Nair</v>
      </c>
      <c r="P698" t="s">
        <v>41</v>
      </c>
      <c r="Q698" t="str">
        <f t="shared" si="184"/>
        <v>Small Business</v>
      </c>
      <c r="R698" t="s">
        <v>62</v>
      </c>
      <c r="S698" t="str">
        <f t="shared" si="185"/>
        <v>South</v>
      </c>
      <c r="T698" t="s">
        <v>242</v>
      </c>
      <c r="U698" t="str">
        <f t="shared" si="186"/>
        <v>Kerala</v>
      </c>
      <c r="V698" t="s">
        <v>243</v>
      </c>
      <c r="W698" t="str">
        <f t="shared" si="187"/>
        <v>Kochi</v>
      </c>
      <c r="X698" t="s">
        <v>86</v>
      </c>
      <c r="Y698" t="str">
        <f t="shared" si="188"/>
        <v>Technology</v>
      </c>
      <c r="Z698" t="s">
        <v>223</v>
      </c>
      <c r="AA698" t="str">
        <f t="shared" si="189"/>
        <v>Phones</v>
      </c>
      <c r="AB698" t="s">
        <v>3268</v>
      </c>
      <c r="AC698" t="s">
        <v>4104</v>
      </c>
      <c r="AD698" t="str">
        <f t="shared" si="190"/>
        <v>Unknown</v>
      </c>
      <c r="AE698">
        <v>4</v>
      </c>
      <c r="AF698">
        <v>1178.8399999999999</v>
      </c>
      <c r="AG698">
        <v>0.25</v>
      </c>
      <c r="AH698">
        <v>0.25</v>
      </c>
      <c r="AI698" t="str">
        <f t="shared" si="191"/>
        <v>Valid</v>
      </c>
      <c r="AJ698">
        <v>3536.52</v>
      </c>
      <c r="AK698">
        <f t="shared" si="192"/>
        <v>3536.5199999999995</v>
      </c>
      <c r="AL698">
        <v>2102.41</v>
      </c>
      <c r="AM698">
        <v>1363.28</v>
      </c>
      <c r="AN698">
        <f t="shared" si="193"/>
        <v>1434.1099999999997</v>
      </c>
      <c r="AO698">
        <f t="shared" si="194"/>
        <v>-2102.41</v>
      </c>
      <c r="AP698" t="s">
        <v>34</v>
      </c>
      <c r="AQ698" t="str">
        <f t="shared" si="195"/>
        <v>Paid</v>
      </c>
      <c r="AR698" t="s">
        <v>35</v>
      </c>
      <c r="AS698" t="str">
        <f t="shared" si="196"/>
        <v>Completed</v>
      </c>
      <c r="AT698" t="str">
        <f t="shared" si="197"/>
        <v>Clean</v>
      </c>
    </row>
    <row r="699" spans="1:46">
      <c r="A699" t="s">
        <v>3269</v>
      </c>
      <c r="B699">
        <f>COUNTIF($D$2:D699,D699)</f>
        <v>2</v>
      </c>
      <c r="C699" t="str">
        <f>IF(COUNTIF($A:$A,A699)=1,
"Unique",
IF(COUNTIFS($A:$A,A699,$N:$N,N699,$AF:$AF,AF699,$AJ:$AJ,AJ699)&gt;1,
"Exact Duplicate",
"Conflicting Duplicate"))</f>
        <v>Unique</v>
      </c>
      <c r="D699" t="s">
        <v>2323</v>
      </c>
      <c r="E699" t="s">
        <v>787</v>
      </c>
      <c r="F699" s="3">
        <v>45717</v>
      </c>
      <c r="G699" s="3">
        <v>45841</v>
      </c>
      <c r="H699" s="5" t="str">
        <f t="shared" si="180"/>
        <v>March</v>
      </c>
      <c r="I699" s="5">
        <f t="shared" si="181"/>
        <v>2025</v>
      </c>
      <c r="J699" t="str">
        <f>IF(F699="","Missing Date",
IF(ISNUMBER(F699),"Valid","Invalid Date"))</f>
        <v>Valid</v>
      </c>
      <c r="K699" t="str">
        <f t="shared" si="182"/>
        <v>Valid</v>
      </c>
      <c r="L699">
        <f>G699-F699</f>
        <v>124</v>
      </c>
      <c r="M699" t="s">
        <v>3270</v>
      </c>
      <c r="N699" t="s">
        <v>61</v>
      </c>
      <c r="O699" t="str">
        <f t="shared" si="183"/>
        <v>Arjun Bose</v>
      </c>
      <c r="P699" t="s">
        <v>108</v>
      </c>
      <c r="Q699" t="str">
        <f t="shared" si="184"/>
        <v>Corporate</v>
      </c>
      <c r="R699" t="s">
        <v>62</v>
      </c>
      <c r="S699" t="str">
        <f t="shared" si="185"/>
        <v>South</v>
      </c>
      <c r="T699" t="s">
        <v>100</v>
      </c>
      <c r="U699" t="str">
        <f t="shared" si="186"/>
        <v>Andhra Pradesh</v>
      </c>
      <c r="V699" t="s">
        <v>101</v>
      </c>
      <c r="W699" t="str">
        <f t="shared" si="187"/>
        <v>Vijayawada</v>
      </c>
      <c r="X699" t="s">
        <v>30</v>
      </c>
      <c r="Y699" t="str">
        <f t="shared" si="188"/>
        <v>Office Supplies</v>
      </c>
      <c r="Z699" t="s">
        <v>109</v>
      </c>
      <c r="AA699" t="str">
        <f t="shared" si="189"/>
        <v>Labels</v>
      </c>
      <c r="AB699" t="s">
        <v>3271</v>
      </c>
      <c r="AC699" t="s">
        <v>56</v>
      </c>
      <c r="AD699" t="str">
        <f t="shared" si="190"/>
        <v>First Class</v>
      </c>
      <c r="AE699">
        <v>7</v>
      </c>
      <c r="AF699">
        <v>567.15</v>
      </c>
      <c r="AG699" t="s">
        <v>4104</v>
      </c>
      <c r="AH699" t="s">
        <v>4104</v>
      </c>
      <c r="AI699" t="str">
        <f t="shared" si="191"/>
        <v>Invalid - Above Range</v>
      </c>
      <c r="AJ699">
        <v>2977.54</v>
      </c>
      <c r="AK699" t="s">
        <v>4104</v>
      </c>
      <c r="AL699">
        <v>1849.3</v>
      </c>
      <c r="AM699">
        <v>1128.24</v>
      </c>
      <c r="AN699" t="s">
        <v>4104</v>
      </c>
      <c r="AO699" t="s">
        <v>4104</v>
      </c>
      <c r="AP699" t="s">
        <v>124</v>
      </c>
      <c r="AQ699" t="str">
        <f t="shared" si="195"/>
        <v>Refunded</v>
      </c>
      <c r="AR699" t="s">
        <v>125</v>
      </c>
      <c r="AS699" t="str">
        <f t="shared" si="196"/>
        <v>Returned</v>
      </c>
      <c r="AT699" t="str">
        <f t="shared" si="197"/>
        <v>Needs Review</v>
      </c>
    </row>
    <row r="700" spans="1:46">
      <c r="A700" t="s">
        <v>3272</v>
      </c>
      <c r="B700">
        <f>COUNTIF($D$2:D700,D700)</f>
        <v>2</v>
      </c>
      <c r="C700" t="str">
        <f>IF(COUNTIF($A:$A,A700)=1,
"Unique",
IF(COUNTIFS($A:$A,A700,$N:$N,N700,$AF:$AF,AF700,$AJ:$AJ,AJ700)&gt;1,
"Exact Duplicate",
"Conflicting Duplicate"))</f>
        <v>Unique</v>
      </c>
      <c r="D700" t="s">
        <v>3273</v>
      </c>
      <c r="E700" t="s">
        <v>1741</v>
      </c>
      <c r="F700" s="3">
        <v>45549</v>
      </c>
      <c r="G700" s="3">
        <v>45549</v>
      </c>
      <c r="H700" s="5" t="str">
        <f t="shared" si="180"/>
        <v>September</v>
      </c>
      <c r="I700" s="5">
        <f t="shared" si="181"/>
        <v>2024</v>
      </c>
      <c r="J700" t="str">
        <f>IF(F700="","Missing Date",
IF(ISNUMBER(F700),"Valid","Invalid Date"))</f>
        <v>Valid</v>
      </c>
      <c r="K700" t="str">
        <f t="shared" si="182"/>
        <v>Valid</v>
      </c>
      <c r="L700">
        <f>G700-F700</f>
        <v>0</v>
      </c>
      <c r="M700" t="s">
        <v>3274</v>
      </c>
      <c r="N700" t="s">
        <v>40</v>
      </c>
      <c r="O700" t="str">
        <f t="shared" si="183"/>
        <v>Mira Das</v>
      </c>
      <c r="P700" t="s">
        <v>108</v>
      </c>
      <c r="Q700" t="str">
        <f t="shared" si="184"/>
        <v>Corporate</v>
      </c>
      <c r="R700" t="s">
        <v>27</v>
      </c>
      <c r="S700" t="str">
        <f t="shared" si="185"/>
        <v>North</v>
      </c>
      <c r="T700" t="s">
        <v>28</v>
      </c>
      <c r="U700" t="str">
        <f t="shared" si="186"/>
        <v>Rajasthan</v>
      </c>
      <c r="V700" t="s">
        <v>29</v>
      </c>
      <c r="W700" t="str">
        <f t="shared" si="187"/>
        <v>Jaipur</v>
      </c>
      <c r="X700" t="s">
        <v>86</v>
      </c>
      <c r="Y700" t="str">
        <f t="shared" si="188"/>
        <v>Technology</v>
      </c>
      <c r="Z700" t="s">
        <v>382</v>
      </c>
      <c r="AA700" t="str">
        <f t="shared" si="189"/>
        <v>Machines</v>
      </c>
      <c r="AB700" t="s">
        <v>3275</v>
      </c>
      <c r="AC700" t="s">
        <v>67</v>
      </c>
      <c r="AD700" t="str">
        <f t="shared" si="190"/>
        <v>Standard Class</v>
      </c>
      <c r="AE700">
        <v>8</v>
      </c>
      <c r="AF700">
        <v>4081.66</v>
      </c>
      <c r="AG700">
        <v>0.15</v>
      </c>
      <c r="AH700">
        <v>0.15</v>
      </c>
      <c r="AI700" t="str">
        <f t="shared" si="191"/>
        <v>Valid</v>
      </c>
      <c r="AJ700">
        <v>28208.1</v>
      </c>
      <c r="AK700">
        <f t="shared" si="192"/>
        <v>27755.287999999997</v>
      </c>
      <c r="AL700">
        <v>23751.91</v>
      </c>
      <c r="AM700">
        <v>4003.38</v>
      </c>
      <c r="AN700">
        <f t="shared" si="193"/>
        <v>4003.377999999997</v>
      </c>
      <c r="AO700">
        <f t="shared" si="194"/>
        <v>-23751.91</v>
      </c>
      <c r="AP700" t="s">
        <v>34</v>
      </c>
      <c r="AQ700" t="str">
        <f t="shared" si="195"/>
        <v>Paid</v>
      </c>
      <c r="AR700" t="s">
        <v>125</v>
      </c>
      <c r="AS700" t="str">
        <f t="shared" si="196"/>
        <v>Returned</v>
      </c>
      <c r="AT700" t="str">
        <f t="shared" si="197"/>
        <v>Clean</v>
      </c>
    </row>
    <row r="701" spans="1:46">
      <c r="A701" t="s">
        <v>3276</v>
      </c>
      <c r="B701">
        <f>COUNTIF($D$2:D701,D701)</f>
        <v>1</v>
      </c>
      <c r="C701" t="str">
        <f>IF(COUNTIF($A:$A,A701)=1,
"Unique",
IF(COUNTIFS($A:$A,A701,$N:$N,N701,$AF:$AF,AF701,$AJ:$AJ,AJ701)&gt;1,
"Exact Duplicate",
"Conflicting Duplicate"))</f>
        <v>Unique</v>
      </c>
      <c r="D701" t="s">
        <v>3277</v>
      </c>
      <c r="E701" t="s">
        <v>3278</v>
      </c>
      <c r="F701" s="3">
        <v>45602</v>
      </c>
      <c r="G701" s="2">
        <v>45602</v>
      </c>
      <c r="H701" s="5" t="str">
        <f t="shared" si="180"/>
        <v>November</v>
      </c>
      <c r="I701" s="5">
        <f t="shared" si="181"/>
        <v>2024</v>
      </c>
      <c r="J701" t="str">
        <f>IF(F701="","Missing Date",
IF(ISNUMBER(F701),"Valid","Invalid Date"))</f>
        <v>Valid</v>
      </c>
      <c r="K701" t="str">
        <f t="shared" si="182"/>
        <v>Valid</v>
      </c>
      <c r="L701">
        <f>G701-F701</f>
        <v>0</v>
      </c>
      <c r="M701" t="s">
        <v>3279</v>
      </c>
      <c r="N701" t="s">
        <v>61</v>
      </c>
      <c r="O701" t="str">
        <f t="shared" si="183"/>
        <v>Arjun Bose</v>
      </c>
      <c r="P701" t="s">
        <v>41</v>
      </c>
      <c r="Q701" t="str">
        <f t="shared" si="184"/>
        <v>Small Business</v>
      </c>
      <c r="R701" t="s">
        <v>62</v>
      </c>
      <c r="S701" t="str">
        <f t="shared" si="185"/>
        <v>South</v>
      </c>
      <c r="T701" t="s">
        <v>229</v>
      </c>
      <c r="U701" t="str">
        <f t="shared" si="186"/>
        <v>Karnataka</v>
      </c>
      <c r="V701" t="s">
        <v>230</v>
      </c>
      <c r="W701" t="str">
        <f t="shared" si="187"/>
        <v>Bengaluru</v>
      </c>
      <c r="X701" t="s">
        <v>45</v>
      </c>
      <c r="Y701" t="str">
        <f t="shared" si="188"/>
        <v>Furniture</v>
      </c>
      <c r="Z701" t="s">
        <v>204</v>
      </c>
      <c r="AA701" t="str">
        <f t="shared" si="189"/>
        <v>Bookcases</v>
      </c>
      <c r="AB701" t="s">
        <v>3280</v>
      </c>
      <c r="AC701" t="s">
        <v>67</v>
      </c>
      <c r="AD701" t="str">
        <f t="shared" si="190"/>
        <v>Standard Class</v>
      </c>
      <c r="AE701">
        <v>9</v>
      </c>
      <c r="AF701">
        <v>1400.11</v>
      </c>
      <c r="AG701">
        <v>0.25</v>
      </c>
      <c r="AH701">
        <v>0.25</v>
      </c>
      <c r="AI701" t="str">
        <f t="shared" si="191"/>
        <v>Valid</v>
      </c>
      <c r="AJ701">
        <v>9450.74</v>
      </c>
      <c r="AK701">
        <f t="shared" si="192"/>
        <v>9450.7425000000003</v>
      </c>
      <c r="AL701">
        <v>7798.56</v>
      </c>
      <c r="AM701">
        <v>1652.18</v>
      </c>
      <c r="AN701">
        <f t="shared" si="193"/>
        <v>1652.1824999999999</v>
      </c>
      <c r="AO701">
        <f t="shared" si="194"/>
        <v>-7798.56</v>
      </c>
      <c r="AP701" t="s">
        <v>34</v>
      </c>
      <c r="AQ701" t="str">
        <f t="shared" si="195"/>
        <v>Paid</v>
      </c>
      <c r="AR701" t="s">
        <v>35</v>
      </c>
      <c r="AS701" t="str">
        <f t="shared" si="196"/>
        <v>Completed</v>
      </c>
      <c r="AT701" t="str">
        <f t="shared" si="197"/>
        <v>Clean</v>
      </c>
    </row>
    <row r="702" spans="1:46">
      <c r="A702" t="s">
        <v>3281</v>
      </c>
      <c r="B702">
        <f>COUNTIF($D$2:D702,D702)</f>
        <v>1</v>
      </c>
      <c r="C702" t="str">
        <f>IF(COUNTIF($A:$A,A702)=1,
"Unique",
IF(COUNTIFS($A:$A,A702,$N:$N,N702,$AF:$AF,AF702,$AJ:$AJ,AJ702)&gt;1,
"Exact Duplicate",
"Conflicting Duplicate"))</f>
        <v>Unique</v>
      </c>
      <c r="D702" t="s">
        <v>3282</v>
      </c>
      <c r="E702" t="s">
        <v>1134</v>
      </c>
      <c r="F702" s="3">
        <v>45553</v>
      </c>
      <c r="G702" s="3">
        <v>45556</v>
      </c>
      <c r="H702" s="5" t="str">
        <f t="shared" si="180"/>
        <v>September</v>
      </c>
      <c r="I702" s="5">
        <f t="shared" si="181"/>
        <v>2024</v>
      </c>
      <c r="J702" t="str">
        <f>IF(F702="","Missing Date",
IF(ISNUMBER(F702),"Valid","Invalid Date"))</f>
        <v>Valid</v>
      </c>
      <c r="K702" t="str">
        <f t="shared" si="182"/>
        <v>Valid</v>
      </c>
      <c r="L702">
        <f>G702-F702</f>
        <v>3</v>
      </c>
      <c r="M702" t="s">
        <v>3283</v>
      </c>
      <c r="N702" t="s">
        <v>93</v>
      </c>
      <c r="O702" t="str">
        <f t="shared" si="183"/>
        <v>Neha Gupta</v>
      </c>
      <c r="P702" t="s">
        <v>108</v>
      </c>
      <c r="Q702" t="str">
        <f t="shared" si="184"/>
        <v>Corporate</v>
      </c>
      <c r="R702" t="s">
        <v>42</v>
      </c>
      <c r="S702" t="str">
        <f t="shared" si="185"/>
        <v>East</v>
      </c>
      <c r="T702" t="s">
        <v>121</v>
      </c>
      <c r="U702" t="str">
        <f t="shared" si="186"/>
        <v>West Bengal</v>
      </c>
      <c r="V702" t="s">
        <v>122</v>
      </c>
      <c r="W702" t="str">
        <f t="shared" si="187"/>
        <v>Kolkata</v>
      </c>
      <c r="X702" t="s">
        <v>86</v>
      </c>
      <c r="Y702" t="str">
        <f t="shared" si="188"/>
        <v>Technology</v>
      </c>
      <c r="Z702" t="s">
        <v>382</v>
      </c>
      <c r="AA702" t="str">
        <f t="shared" si="189"/>
        <v>Machines</v>
      </c>
      <c r="AB702" t="s">
        <v>3284</v>
      </c>
      <c r="AC702" t="s">
        <v>67</v>
      </c>
      <c r="AD702" t="str">
        <f t="shared" si="190"/>
        <v>Standard Class</v>
      </c>
      <c r="AE702">
        <v>3</v>
      </c>
      <c r="AF702">
        <v>3055.9</v>
      </c>
      <c r="AG702">
        <v>0.15</v>
      </c>
      <c r="AH702">
        <v>0.15</v>
      </c>
      <c r="AI702" t="str">
        <f t="shared" si="191"/>
        <v>Valid</v>
      </c>
      <c r="AJ702">
        <v>7792.55</v>
      </c>
      <c r="AK702">
        <f t="shared" si="192"/>
        <v>7792.5450000000001</v>
      </c>
      <c r="AL702">
        <v>4691.7299999999996</v>
      </c>
      <c r="AM702">
        <v>3100.82</v>
      </c>
      <c r="AN702">
        <f t="shared" si="193"/>
        <v>3100.8150000000005</v>
      </c>
      <c r="AO702">
        <f t="shared" si="194"/>
        <v>-4691.7299999999996</v>
      </c>
      <c r="AP702" t="s">
        <v>34</v>
      </c>
      <c r="AQ702" t="str">
        <f t="shared" si="195"/>
        <v>Paid</v>
      </c>
      <c r="AR702" t="s">
        <v>35</v>
      </c>
      <c r="AS702" t="str">
        <f t="shared" si="196"/>
        <v>Completed</v>
      </c>
      <c r="AT702" t="str">
        <f t="shared" si="197"/>
        <v>Clean</v>
      </c>
    </row>
    <row r="703" spans="1:46">
      <c r="A703" t="s">
        <v>3285</v>
      </c>
      <c r="B703">
        <f>COUNTIF($D$2:D703,D703)</f>
        <v>1</v>
      </c>
      <c r="C703" t="str">
        <f>IF(COUNTIF($A:$A,A703)=1,
"Unique",
IF(COUNTIFS($A:$A,A703,$N:$N,N703,$AF:$AF,AF703,$AJ:$AJ,AJ703)&gt;1,
"Exact Duplicate",
"Conflicting Duplicate"))</f>
        <v>Unique</v>
      </c>
      <c r="D703" t="s">
        <v>1622</v>
      </c>
      <c r="E703" t="s">
        <v>1293</v>
      </c>
      <c r="F703" s="3">
        <v>45412</v>
      </c>
      <c r="G703" s="2">
        <v>45387</v>
      </c>
      <c r="H703" s="5" t="str">
        <f t="shared" si="180"/>
        <v>April</v>
      </c>
      <c r="I703" s="5">
        <f t="shared" si="181"/>
        <v>2024</v>
      </c>
      <c r="J703" t="str">
        <f>IF(F703="","Missing Date",
IF(ISNUMBER(F703),"Valid","Invalid Date"))</f>
        <v>Valid</v>
      </c>
      <c r="K703" t="str">
        <f t="shared" si="182"/>
        <v>Valid</v>
      </c>
      <c r="L703">
        <f>G703-F703</f>
        <v>-25</v>
      </c>
      <c r="M703" t="s">
        <v>3286</v>
      </c>
      <c r="N703" t="s">
        <v>180</v>
      </c>
      <c r="O703" t="str">
        <f t="shared" si="183"/>
        <v>Rohan Mehta</v>
      </c>
      <c r="P703" t="s">
        <v>41</v>
      </c>
      <c r="Q703" t="str">
        <f t="shared" si="184"/>
        <v>Small Business</v>
      </c>
      <c r="R703" t="s">
        <v>73</v>
      </c>
      <c r="S703" t="str">
        <f t="shared" si="185"/>
        <v>West</v>
      </c>
      <c r="T703" t="s">
        <v>235</v>
      </c>
      <c r="U703" t="str">
        <f t="shared" si="186"/>
        <v>Gujarat</v>
      </c>
      <c r="V703" t="s">
        <v>236</v>
      </c>
      <c r="W703" t="str">
        <f t="shared" si="187"/>
        <v>Ahmedabad</v>
      </c>
      <c r="X703" t="s">
        <v>30</v>
      </c>
      <c r="Y703" t="str">
        <f t="shared" si="188"/>
        <v>Office Supplies</v>
      </c>
      <c r="Z703" t="s">
        <v>54</v>
      </c>
      <c r="AA703" t="str">
        <f t="shared" si="189"/>
        <v>Art</v>
      </c>
      <c r="AB703" t="s">
        <v>3287</v>
      </c>
      <c r="AC703" t="s">
        <v>48</v>
      </c>
      <c r="AD703" t="str">
        <f t="shared" si="190"/>
        <v>Same Day</v>
      </c>
      <c r="AE703">
        <v>7</v>
      </c>
      <c r="AF703">
        <v>1224.94</v>
      </c>
      <c r="AG703">
        <v>0</v>
      </c>
      <c r="AH703">
        <v>0</v>
      </c>
      <c r="AI703" t="str">
        <f t="shared" si="191"/>
        <v>Valid</v>
      </c>
      <c r="AJ703">
        <v>8574.58</v>
      </c>
      <c r="AK703">
        <f t="shared" si="192"/>
        <v>8574.58</v>
      </c>
      <c r="AL703">
        <v>6685.81</v>
      </c>
      <c r="AM703">
        <v>1888.77</v>
      </c>
      <c r="AN703">
        <f t="shared" si="193"/>
        <v>1888.7699999999995</v>
      </c>
      <c r="AO703">
        <f t="shared" si="194"/>
        <v>-6685.81</v>
      </c>
      <c r="AP703" t="s">
        <v>34</v>
      </c>
      <c r="AQ703" t="str">
        <f t="shared" si="195"/>
        <v>Paid</v>
      </c>
      <c r="AR703" t="s">
        <v>125</v>
      </c>
      <c r="AS703" t="str">
        <f t="shared" si="196"/>
        <v>Returned</v>
      </c>
      <c r="AT703" t="str">
        <f t="shared" si="197"/>
        <v>Clean</v>
      </c>
    </row>
    <row r="704" spans="1:46">
      <c r="A704" t="s">
        <v>3288</v>
      </c>
      <c r="B704">
        <f>COUNTIF($D$2:D704,D704)</f>
        <v>2</v>
      </c>
      <c r="C704" t="str">
        <f>IF(COUNTIF($A:$A,A704)=1,
"Unique",
IF(COUNTIFS($A:$A,A704,$N:$N,N704,$AF:$AF,AF704,$AJ:$AJ,AJ704)&gt;1,
"Exact Duplicate",
"Conflicting Duplicate"))</f>
        <v>Unique</v>
      </c>
      <c r="D704" t="s">
        <v>3289</v>
      </c>
      <c r="E704" t="s">
        <v>2884</v>
      </c>
      <c r="F704" s="3">
        <v>45690</v>
      </c>
      <c r="G704" s="3">
        <v>45694</v>
      </c>
      <c r="H704" s="5" t="str">
        <f t="shared" si="180"/>
        <v>February</v>
      </c>
      <c r="I704" s="5">
        <f t="shared" si="181"/>
        <v>2025</v>
      </c>
      <c r="J704" t="str">
        <f>IF(F704="","Missing Date",
IF(ISNUMBER(F704),"Valid","Invalid Date"))</f>
        <v>Valid</v>
      </c>
      <c r="K704" t="str">
        <f t="shared" si="182"/>
        <v>Valid</v>
      </c>
      <c r="L704">
        <f>G704-F704</f>
        <v>4</v>
      </c>
      <c r="M704" t="s">
        <v>3290</v>
      </c>
      <c r="N704" t="s">
        <v>25</v>
      </c>
      <c r="O704" t="str">
        <f t="shared" si="183"/>
        <v>Karan Malhotra</v>
      </c>
      <c r="P704" t="s">
        <v>41</v>
      </c>
      <c r="Q704" t="str">
        <f t="shared" si="184"/>
        <v>Small Business</v>
      </c>
      <c r="R704" t="s">
        <v>73</v>
      </c>
      <c r="S704" t="str">
        <f t="shared" si="185"/>
        <v>West</v>
      </c>
      <c r="T704" t="s">
        <v>28</v>
      </c>
      <c r="U704" t="str">
        <f t="shared" si="186"/>
        <v>Rajasthan</v>
      </c>
      <c r="V704" t="s">
        <v>135</v>
      </c>
      <c r="W704" t="str">
        <f t="shared" si="187"/>
        <v>Udaipur</v>
      </c>
      <c r="X704" t="s">
        <v>45</v>
      </c>
      <c r="Y704" t="str">
        <f t="shared" si="188"/>
        <v>Furniture</v>
      </c>
      <c r="Z704" t="s">
        <v>46</v>
      </c>
      <c r="AA704" t="str">
        <f t="shared" si="189"/>
        <v>Tables</v>
      </c>
      <c r="AB704" t="s">
        <v>3291</v>
      </c>
      <c r="AC704" t="s">
        <v>33</v>
      </c>
      <c r="AD704" t="str">
        <f t="shared" si="190"/>
        <v>Second Class</v>
      </c>
      <c r="AE704">
        <v>3</v>
      </c>
      <c r="AF704">
        <v>997.34</v>
      </c>
      <c r="AG704">
        <v>0.1</v>
      </c>
      <c r="AH704">
        <v>0.1</v>
      </c>
      <c r="AI704" t="str">
        <f t="shared" si="191"/>
        <v>Valid</v>
      </c>
      <c r="AJ704">
        <v>2692.82</v>
      </c>
      <c r="AK704">
        <f t="shared" si="192"/>
        <v>2692.8180000000002</v>
      </c>
      <c r="AL704">
        <v>1820.08</v>
      </c>
      <c r="AM704">
        <v>872.74</v>
      </c>
      <c r="AN704">
        <f t="shared" si="193"/>
        <v>872.73800000000028</v>
      </c>
      <c r="AO704">
        <f t="shared" si="194"/>
        <v>-1820.08</v>
      </c>
      <c r="AP704" t="s">
        <v>34</v>
      </c>
      <c r="AQ704" t="str">
        <f t="shared" si="195"/>
        <v>Paid</v>
      </c>
      <c r="AR704" t="s">
        <v>35</v>
      </c>
      <c r="AS704" t="str">
        <f t="shared" si="196"/>
        <v>Completed</v>
      </c>
      <c r="AT704" t="str">
        <f t="shared" si="197"/>
        <v>Clean</v>
      </c>
    </row>
    <row r="705" spans="1:46">
      <c r="A705" t="s">
        <v>3292</v>
      </c>
      <c r="B705">
        <f>COUNTIF($D$2:D705,D705)</f>
        <v>2</v>
      </c>
      <c r="C705" t="str">
        <f>IF(COUNTIF($A:$A,A705)=1,
"Unique",
IF(COUNTIFS($A:$A,A705,$N:$N,N705,$AF:$AF,AF705,$AJ:$AJ,AJ705)&gt;1,
"Exact Duplicate",
"Conflicting Duplicate"))</f>
        <v>Unique</v>
      </c>
      <c r="D705" t="s">
        <v>3293</v>
      </c>
      <c r="E705" t="s">
        <v>2380</v>
      </c>
      <c r="F705" s="2">
        <v>45584</v>
      </c>
      <c r="G705" s="3">
        <v>45585</v>
      </c>
      <c r="H705" s="5" t="str">
        <f t="shared" si="180"/>
        <v>October</v>
      </c>
      <c r="I705" s="5">
        <f t="shared" si="181"/>
        <v>2024</v>
      </c>
      <c r="J705" t="str">
        <f>IF(F705="","Missing Date",
IF(ISNUMBER(F705),"Valid","Invalid Date"))</f>
        <v>Valid</v>
      </c>
      <c r="K705" t="str">
        <f t="shared" si="182"/>
        <v>Valid</v>
      </c>
      <c r="L705">
        <f>G705-F705</f>
        <v>1</v>
      </c>
      <c r="M705" t="s">
        <v>3294</v>
      </c>
      <c r="N705" t="s">
        <v>107</v>
      </c>
      <c r="O705" t="str">
        <f t="shared" si="183"/>
        <v>Aditi Sen</v>
      </c>
      <c r="P705" t="s">
        <v>108</v>
      </c>
      <c r="Q705" t="str">
        <f t="shared" si="184"/>
        <v>Corporate</v>
      </c>
      <c r="R705" t="s">
        <v>27</v>
      </c>
      <c r="S705" t="str">
        <f t="shared" si="185"/>
        <v>North</v>
      </c>
      <c r="T705" t="s">
        <v>28</v>
      </c>
      <c r="U705" t="str">
        <f t="shared" si="186"/>
        <v>Rajasthan</v>
      </c>
      <c r="V705" t="s">
        <v>29</v>
      </c>
      <c r="W705" t="str">
        <f t="shared" si="187"/>
        <v>Jaipur</v>
      </c>
      <c r="X705" t="s">
        <v>45</v>
      </c>
      <c r="Y705" t="str">
        <f t="shared" si="188"/>
        <v>Furniture</v>
      </c>
      <c r="Z705" t="s">
        <v>46</v>
      </c>
      <c r="AA705" t="str">
        <f t="shared" si="189"/>
        <v>Tables</v>
      </c>
      <c r="AB705" t="s">
        <v>3295</v>
      </c>
      <c r="AC705" t="s">
        <v>56</v>
      </c>
      <c r="AD705" t="str">
        <f t="shared" si="190"/>
        <v>First Class</v>
      </c>
      <c r="AE705">
        <v>1</v>
      </c>
      <c r="AF705">
        <v>1150.03</v>
      </c>
      <c r="AG705">
        <v>0.1</v>
      </c>
      <c r="AH705">
        <v>0.1</v>
      </c>
      <c r="AI705" t="str">
        <f t="shared" si="191"/>
        <v>Valid</v>
      </c>
      <c r="AJ705">
        <v>1035.03</v>
      </c>
      <c r="AK705">
        <f t="shared" si="192"/>
        <v>1035.027</v>
      </c>
      <c r="AL705">
        <v>854.35</v>
      </c>
      <c r="AM705">
        <v>180.68</v>
      </c>
      <c r="AN705">
        <f t="shared" si="193"/>
        <v>180.67700000000002</v>
      </c>
      <c r="AO705">
        <f t="shared" si="194"/>
        <v>-854.35</v>
      </c>
      <c r="AP705" t="s">
        <v>34</v>
      </c>
      <c r="AQ705" t="str">
        <f t="shared" si="195"/>
        <v>Paid</v>
      </c>
      <c r="AR705" t="s">
        <v>35</v>
      </c>
      <c r="AS705" t="str">
        <f t="shared" si="196"/>
        <v>Completed</v>
      </c>
      <c r="AT705" t="str">
        <f t="shared" si="197"/>
        <v>Clean</v>
      </c>
    </row>
    <row r="706" spans="1:46">
      <c r="A706" t="s">
        <v>3296</v>
      </c>
      <c r="B706">
        <f>COUNTIF($D$2:D706,D706)</f>
        <v>1</v>
      </c>
      <c r="C706" t="str">
        <f>IF(COUNTIF($A:$A,A706)=1,
"Unique",
IF(COUNTIFS($A:$A,A706,$N:$N,N706,$AF:$AF,AF706,$AJ:$AJ,AJ706)&gt;1,
"Exact Duplicate",
"Conflicting Duplicate"))</f>
        <v>Exact Duplicate</v>
      </c>
      <c r="D706" t="s">
        <v>1558</v>
      </c>
      <c r="E706" t="s">
        <v>3297</v>
      </c>
      <c r="F706" s="3">
        <v>45364</v>
      </c>
      <c r="G706" s="3">
        <v>45371</v>
      </c>
      <c r="H706" s="5" t="str">
        <f t="shared" si="180"/>
        <v>March</v>
      </c>
      <c r="I706" s="5">
        <f t="shared" si="181"/>
        <v>2024</v>
      </c>
      <c r="J706" t="str">
        <f>IF(F706="","Missing Date",
IF(ISNUMBER(F706),"Valid","Invalid Date"))</f>
        <v>Valid</v>
      </c>
      <c r="K706" t="str">
        <f t="shared" si="182"/>
        <v>Valid</v>
      </c>
      <c r="L706">
        <f>G706-F706</f>
        <v>7</v>
      </c>
      <c r="M706" t="s">
        <v>3298</v>
      </c>
      <c r="N706" t="s">
        <v>142</v>
      </c>
      <c r="O706" t="str">
        <f t="shared" si="183"/>
        <v>Priya Menon</v>
      </c>
      <c r="P706" t="s">
        <v>115</v>
      </c>
      <c r="Q706" t="str">
        <f t="shared" si="184"/>
        <v>Home Office</v>
      </c>
      <c r="R706" t="s">
        <v>62</v>
      </c>
      <c r="S706" t="str">
        <f t="shared" si="185"/>
        <v>South</v>
      </c>
      <c r="T706" t="s">
        <v>339</v>
      </c>
      <c r="U706" t="str">
        <f t="shared" si="186"/>
        <v>Tamil Nadu</v>
      </c>
      <c r="V706" t="s">
        <v>340</v>
      </c>
      <c r="W706" t="str">
        <f t="shared" si="187"/>
        <v>Chennai</v>
      </c>
      <c r="X706" t="s">
        <v>45</v>
      </c>
      <c r="Y706" t="str">
        <f t="shared" si="188"/>
        <v>Furniture</v>
      </c>
      <c r="Z706" t="s">
        <v>204</v>
      </c>
      <c r="AA706" t="str">
        <f t="shared" si="189"/>
        <v>Bookcases</v>
      </c>
      <c r="AB706" t="s">
        <v>3299</v>
      </c>
      <c r="AC706" t="s">
        <v>4104</v>
      </c>
      <c r="AD706" t="str">
        <f t="shared" si="190"/>
        <v>Unknown</v>
      </c>
      <c r="AE706">
        <v>1</v>
      </c>
      <c r="AF706">
        <v>2825.63</v>
      </c>
      <c r="AG706">
        <v>0.15</v>
      </c>
      <c r="AH706">
        <v>0.15</v>
      </c>
      <c r="AI706" t="str">
        <f t="shared" si="191"/>
        <v>Valid</v>
      </c>
      <c r="AJ706">
        <v>2401.79</v>
      </c>
      <c r="AK706">
        <f t="shared" si="192"/>
        <v>2401.7855</v>
      </c>
      <c r="AL706">
        <v>1820.34</v>
      </c>
      <c r="AM706">
        <v>581.45000000000005</v>
      </c>
      <c r="AN706">
        <f t="shared" si="193"/>
        <v>581.44550000000004</v>
      </c>
      <c r="AO706">
        <f t="shared" si="194"/>
        <v>-1820.34</v>
      </c>
      <c r="AP706" t="s">
        <v>34</v>
      </c>
      <c r="AQ706" t="str">
        <f t="shared" si="195"/>
        <v>Paid</v>
      </c>
      <c r="AR706" t="s">
        <v>35</v>
      </c>
      <c r="AS706" t="str">
        <f t="shared" si="196"/>
        <v>Completed</v>
      </c>
      <c r="AT706" t="str">
        <f t="shared" si="197"/>
        <v>Clean</v>
      </c>
    </row>
    <row r="707" spans="1:46">
      <c r="A707" t="s">
        <v>3300</v>
      </c>
      <c r="B707">
        <f>COUNTIF($D$2:D707,D707)</f>
        <v>1</v>
      </c>
      <c r="C707" t="str">
        <f>IF(COUNTIF($A:$A,A707)=1,
"Unique",
IF(COUNTIFS($A:$A,A707,$N:$N,N707,$AF:$AF,AF707,$AJ:$AJ,AJ707)&gt;1,
"Exact Duplicate",
"Conflicting Duplicate"))</f>
        <v>Unique</v>
      </c>
      <c r="D707" t="s">
        <v>3301</v>
      </c>
      <c r="E707" t="s">
        <v>3302</v>
      </c>
      <c r="F707" s="2">
        <v>45513</v>
      </c>
      <c r="G707" s="3">
        <v>45549</v>
      </c>
      <c r="H707" s="5" t="str">
        <f t="shared" ref="H707:H770" si="198">TEXT(DATE(2024,MONTH(F707),1),"MMMM")</f>
        <v>August</v>
      </c>
      <c r="I707" s="5">
        <f t="shared" ref="I707:I770" si="199">YEAR(F707)</f>
        <v>2024</v>
      </c>
      <c r="J707" t="str">
        <f>IF(F707="","Missing Date",
IF(ISNUMBER(F707),"Valid","Invalid Date"))</f>
        <v>Valid</v>
      </c>
      <c r="K707" t="str">
        <f t="shared" ref="K707:K770" si="200">IF(G707="","Missing Date",
IF(ISNUMBER(G707),"Valid","Invalid Date"))</f>
        <v>Valid</v>
      </c>
      <c r="L707">
        <f>G707-F707</f>
        <v>36</v>
      </c>
      <c r="M707" t="s">
        <v>3303</v>
      </c>
      <c r="N707" t="s">
        <v>180</v>
      </c>
      <c r="O707" t="str">
        <f t="shared" ref="O707:O770" si="201">TRIM(PROPER(CLEAN(N707)))</f>
        <v>Rohan Mehta</v>
      </c>
      <c r="P707" t="s">
        <v>26</v>
      </c>
      <c r="Q707" t="str">
        <f t="shared" ref="Q707:Q770" si="202">TRIM(PROPER(CLEAN(P707)))</f>
        <v>Consumer</v>
      </c>
      <c r="R707" t="s">
        <v>27</v>
      </c>
      <c r="S707" t="str">
        <f t="shared" ref="S707:S770" si="203">TRIM(PROPER(CLEAN(R707)))</f>
        <v>North</v>
      </c>
      <c r="T707" t="s">
        <v>28</v>
      </c>
      <c r="U707" t="str">
        <f t="shared" ref="U707:U770" si="204">TRIM(PROPER(CLEAN(T707)))</f>
        <v>Rajasthan</v>
      </c>
      <c r="V707" t="s">
        <v>29</v>
      </c>
      <c r="W707" t="str">
        <f t="shared" ref="W707:W770" si="205">TRIM(PROPER(CLEAN(V707)))</f>
        <v>Jaipur</v>
      </c>
      <c r="X707" t="s">
        <v>30</v>
      </c>
      <c r="Y707" t="str">
        <f t="shared" ref="Y707:Y770" si="206">TRIM(PROPER(CLEAN(X707)))</f>
        <v>Office Supplies</v>
      </c>
      <c r="Z707" t="s">
        <v>198</v>
      </c>
      <c r="AA707" t="str">
        <f t="shared" ref="AA707:AA770" si="207">TRIM(PROPER(CLEAN(Z707)))</f>
        <v>Binders</v>
      </c>
      <c r="AB707" t="s">
        <v>3304</v>
      </c>
      <c r="AC707" t="s">
        <v>67</v>
      </c>
      <c r="AD707" t="str">
        <f t="shared" ref="AD707:AD770" si="208">TRIM(PROPER(CLEAN(AC707)))</f>
        <v>Standard Class</v>
      </c>
      <c r="AE707">
        <v>5</v>
      </c>
      <c r="AF707">
        <v>3371.75</v>
      </c>
      <c r="AG707">
        <v>0.05</v>
      </c>
      <c r="AH707">
        <v>0.05</v>
      </c>
      <c r="AI707" t="str">
        <f t="shared" ref="AI707:AI770" si="209">IF(AG707="","Missing Discount",IF(AG707&lt;0,"Invalid - Negative Discount",IF(AG707&gt;1,"Invalid - Above Range","Valid")))</f>
        <v>Valid</v>
      </c>
      <c r="AJ707">
        <v>16015.81</v>
      </c>
      <c r="AK707">
        <f t="shared" ref="AK707:AK770" si="210">AE707*AF707*(1-AH707)</f>
        <v>16015.8125</v>
      </c>
      <c r="AL707">
        <v>11352.38</v>
      </c>
      <c r="AM707">
        <v>4663.43</v>
      </c>
      <c r="AN707">
        <f t="shared" ref="AN707:AN770" si="211">AK707-AL707</f>
        <v>4663.4325000000008</v>
      </c>
      <c r="AO707">
        <f t="shared" ref="AO707:AO770" si="212">AN707-AK707</f>
        <v>-11352.38</v>
      </c>
      <c r="AP707" t="s">
        <v>34</v>
      </c>
      <c r="AQ707" t="str">
        <f t="shared" ref="AQ707:AQ770" si="213">TRIM(PROPER(CLEAN(AP707)))</f>
        <v>Paid</v>
      </c>
      <c r="AR707" t="s">
        <v>35</v>
      </c>
      <c r="AS707" t="str">
        <f t="shared" ref="AS707:AS770" si="214">TRIM(PROPER(CLEAN(AR707)))</f>
        <v>Completed</v>
      </c>
      <c r="AT707" t="str">
        <f t="shared" ref="AT707:AT770" si="215">IF(OR(AH707="Unknown",AJ707="Unknown",AM707="Unknown",A707="Unknown"),"Needs Review","Clean")</f>
        <v>Clean</v>
      </c>
    </row>
    <row r="708" spans="1:46">
      <c r="A708" t="s">
        <v>3305</v>
      </c>
      <c r="B708">
        <f>COUNTIF($D$2:D708,D708)</f>
        <v>2</v>
      </c>
      <c r="C708" t="str">
        <f>IF(COUNTIF($A:$A,A708)=1,
"Unique",
IF(COUNTIFS($A:$A,A708,$N:$N,N708,$AF:$AF,AF708,$AJ:$AJ,AJ708)&gt;1,
"Exact Duplicate",
"Conflicting Duplicate"))</f>
        <v>Unique</v>
      </c>
      <c r="D708" t="s">
        <v>3306</v>
      </c>
      <c r="E708" t="s">
        <v>1043</v>
      </c>
      <c r="F708" s="3">
        <v>45467</v>
      </c>
      <c r="G708" s="3">
        <v>45471</v>
      </c>
      <c r="H708" s="5" t="str">
        <f t="shared" si="198"/>
        <v>June</v>
      </c>
      <c r="I708" s="5">
        <f t="shared" si="199"/>
        <v>2024</v>
      </c>
      <c r="J708" t="str">
        <f>IF(F708="","Missing Date",
IF(ISNUMBER(F708),"Valid","Invalid Date"))</f>
        <v>Valid</v>
      </c>
      <c r="K708" t="str">
        <f t="shared" si="200"/>
        <v>Valid</v>
      </c>
      <c r="L708">
        <f>G708-F708</f>
        <v>4</v>
      </c>
      <c r="M708" t="s">
        <v>3307</v>
      </c>
      <c r="N708" t="s">
        <v>53</v>
      </c>
      <c r="O708" t="str">
        <f t="shared" si="201"/>
        <v>Isha Nair</v>
      </c>
      <c r="P708" t="s">
        <v>41</v>
      </c>
      <c r="Q708" t="str">
        <f t="shared" si="202"/>
        <v>Small Business</v>
      </c>
      <c r="R708" t="s">
        <v>42</v>
      </c>
      <c r="S708" t="str">
        <f t="shared" si="203"/>
        <v>East</v>
      </c>
      <c r="T708" t="s">
        <v>43</v>
      </c>
      <c r="U708" t="str">
        <f t="shared" si="204"/>
        <v>Odisha</v>
      </c>
      <c r="V708" t="s">
        <v>44</v>
      </c>
      <c r="W708" t="str">
        <f t="shared" si="205"/>
        <v>Bhubaneswar</v>
      </c>
      <c r="X708" t="s">
        <v>30</v>
      </c>
      <c r="Y708" t="str">
        <f t="shared" si="206"/>
        <v>Office Supplies</v>
      </c>
      <c r="Z708" t="s">
        <v>31</v>
      </c>
      <c r="AA708" t="str">
        <f t="shared" si="207"/>
        <v>Paper</v>
      </c>
      <c r="AB708" t="s">
        <v>3308</v>
      </c>
      <c r="AC708" t="s">
        <v>48</v>
      </c>
      <c r="AD708" t="str">
        <f t="shared" si="208"/>
        <v>Same Day</v>
      </c>
      <c r="AE708">
        <v>1</v>
      </c>
      <c r="AF708">
        <v>2112.75</v>
      </c>
      <c r="AG708">
        <v>0.1</v>
      </c>
      <c r="AH708">
        <v>0.1</v>
      </c>
      <c r="AI708" t="str">
        <f t="shared" si="209"/>
        <v>Valid</v>
      </c>
      <c r="AJ708">
        <v>1901.48</v>
      </c>
      <c r="AK708">
        <f t="shared" si="210"/>
        <v>1901.4750000000001</v>
      </c>
      <c r="AL708">
        <v>1354.28</v>
      </c>
      <c r="AM708">
        <v>547.20000000000005</v>
      </c>
      <c r="AN708">
        <f t="shared" si="211"/>
        <v>547.19500000000016</v>
      </c>
      <c r="AO708">
        <f t="shared" si="212"/>
        <v>-1354.28</v>
      </c>
      <c r="AP708" t="s">
        <v>34</v>
      </c>
      <c r="AQ708" t="str">
        <f t="shared" si="213"/>
        <v>Paid</v>
      </c>
      <c r="AR708" t="s">
        <v>35</v>
      </c>
      <c r="AS708" t="str">
        <f t="shared" si="214"/>
        <v>Completed</v>
      </c>
      <c r="AT708" t="str">
        <f t="shared" si="215"/>
        <v>Clean</v>
      </c>
    </row>
    <row r="709" spans="1:46">
      <c r="A709" t="s">
        <v>3309</v>
      </c>
      <c r="B709">
        <f>COUNTIF($D$2:D709,D709)</f>
        <v>3</v>
      </c>
      <c r="C709" t="str">
        <f>IF(COUNTIF($A:$A,A709)=1,
"Unique",
IF(COUNTIFS($A:$A,A709,$N:$N,N709,$AF:$AF,AF709,$AJ:$AJ,AJ709)&gt;1,
"Exact Duplicate",
"Conflicting Duplicate"))</f>
        <v>Unique</v>
      </c>
      <c r="D709" t="s">
        <v>3310</v>
      </c>
      <c r="E709" t="s">
        <v>2371</v>
      </c>
      <c r="F709" s="3">
        <v>45832</v>
      </c>
      <c r="G709" s="3">
        <v>45834</v>
      </c>
      <c r="H709" s="5" t="str">
        <f t="shared" si="198"/>
        <v>June</v>
      </c>
      <c r="I709" s="5">
        <f t="shared" si="199"/>
        <v>2025</v>
      </c>
      <c r="J709" t="str">
        <f>IF(F709="","Missing Date",
IF(ISNUMBER(F709),"Valid","Invalid Date"))</f>
        <v>Valid</v>
      </c>
      <c r="K709" t="str">
        <f t="shared" si="200"/>
        <v>Valid</v>
      </c>
      <c r="L709">
        <f>G709-F709</f>
        <v>2</v>
      </c>
      <c r="M709" t="s">
        <v>3311</v>
      </c>
      <c r="N709" t="s">
        <v>83</v>
      </c>
      <c r="O709" t="str">
        <f t="shared" si="201"/>
        <v>Vikram Iyer</v>
      </c>
      <c r="P709" t="s">
        <v>26</v>
      </c>
      <c r="Q709" t="str">
        <f t="shared" si="202"/>
        <v>Consumer</v>
      </c>
      <c r="R709" t="s">
        <v>27</v>
      </c>
      <c r="S709" t="str">
        <f t="shared" si="203"/>
        <v>North</v>
      </c>
      <c r="T709" t="s">
        <v>28</v>
      </c>
      <c r="U709" t="str">
        <f t="shared" si="204"/>
        <v>Rajasthan</v>
      </c>
      <c r="V709" t="s">
        <v>29</v>
      </c>
      <c r="W709" t="str">
        <f t="shared" si="205"/>
        <v>Jaipur</v>
      </c>
      <c r="X709" t="s">
        <v>86</v>
      </c>
      <c r="Y709" t="str">
        <f t="shared" si="206"/>
        <v>Technology</v>
      </c>
      <c r="Z709" t="s">
        <v>87</v>
      </c>
      <c r="AA709" t="str">
        <f t="shared" si="207"/>
        <v>Accessories</v>
      </c>
      <c r="AB709" t="s">
        <v>3312</v>
      </c>
      <c r="AC709" t="s">
        <v>48</v>
      </c>
      <c r="AD709" t="str">
        <f t="shared" si="208"/>
        <v>Same Day</v>
      </c>
      <c r="AE709">
        <v>5</v>
      </c>
      <c r="AF709">
        <v>3722.66</v>
      </c>
      <c r="AG709">
        <v>0.55000000000000004</v>
      </c>
      <c r="AH709">
        <v>0.55000000000000004</v>
      </c>
      <c r="AI709" t="str">
        <f t="shared" si="209"/>
        <v>Valid</v>
      </c>
      <c r="AJ709">
        <v>16751.97</v>
      </c>
      <c r="AK709">
        <f t="shared" si="210"/>
        <v>8375.9849999999988</v>
      </c>
      <c r="AL709">
        <v>11678.32</v>
      </c>
      <c r="AM709">
        <v>5073.6499999999996</v>
      </c>
      <c r="AN709">
        <f t="shared" si="211"/>
        <v>-3302.3350000000009</v>
      </c>
      <c r="AO709">
        <f t="shared" si="212"/>
        <v>-11678.32</v>
      </c>
      <c r="AP709" t="s">
        <v>34</v>
      </c>
      <c r="AQ709" t="str">
        <f t="shared" si="213"/>
        <v>Paid</v>
      </c>
      <c r="AR709" t="s">
        <v>35</v>
      </c>
      <c r="AS709" t="str">
        <f t="shared" si="214"/>
        <v>Completed</v>
      </c>
      <c r="AT709" t="str">
        <f t="shared" si="215"/>
        <v>Clean</v>
      </c>
    </row>
    <row r="710" spans="1:46">
      <c r="A710" t="s">
        <v>3313</v>
      </c>
      <c r="B710">
        <f>COUNTIF($D$2:D710,D710)</f>
        <v>1</v>
      </c>
      <c r="C710" t="str">
        <f>IF(COUNTIF($A:$A,A710)=1,
"Unique",
IF(COUNTIFS($A:$A,A710,$N:$N,N710,$AF:$AF,AF710,$AJ:$AJ,AJ710)&gt;1,
"Exact Duplicate",
"Conflicting Duplicate"))</f>
        <v>Unique</v>
      </c>
      <c r="D710" t="s">
        <v>3314</v>
      </c>
      <c r="E710" t="s">
        <v>3315</v>
      </c>
      <c r="F710" s="3">
        <v>45736</v>
      </c>
      <c r="G710" s="3">
        <v>45742</v>
      </c>
      <c r="H710" s="5" t="str">
        <f t="shared" si="198"/>
        <v>March</v>
      </c>
      <c r="I710" s="5">
        <f t="shared" si="199"/>
        <v>2025</v>
      </c>
      <c r="J710" t="str">
        <f>IF(F710="","Missing Date",
IF(ISNUMBER(F710),"Valid","Invalid Date"))</f>
        <v>Valid</v>
      </c>
      <c r="K710" t="str">
        <f t="shared" si="200"/>
        <v>Valid</v>
      </c>
      <c r="L710">
        <f>G710-F710</f>
        <v>6</v>
      </c>
      <c r="M710" t="s">
        <v>3316</v>
      </c>
      <c r="N710" t="s">
        <v>168</v>
      </c>
      <c r="O710" t="str">
        <f t="shared" si="201"/>
        <v>Sneha Kapoor</v>
      </c>
      <c r="P710" t="s">
        <v>26</v>
      </c>
      <c r="Q710" t="str">
        <f t="shared" si="202"/>
        <v>Consumer</v>
      </c>
      <c r="R710" t="s">
        <v>42</v>
      </c>
      <c r="S710" t="str">
        <f t="shared" si="203"/>
        <v>East</v>
      </c>
      <c r="T710" t="s">
        <v>216</v>
      </c>
      <c r="U710" t="str">
        <f t="shared" si="204"/>
        <v>Assam</v>
      </c>
      <c r="V710" t="s">
        <v>217</v>
      </c>
      <c r="W710" t="str">
        <f t="shared" si="205"/>
        <v>Guwahati</v>
      </c>
      <c r="X710" t="s">
        <v>45</v>
      </c>
      <c r="Y710" t="str">
        <f t="shared" si="206"/>
        <v>Furniture</v>
      </c>
      <c r="Z710" t="s">
        <v>204</v>
      </c>
      <c r="AA710" t="str">
        <f t="shared" si="207"/>
        <v>Bookcases</v>
      </c>
      <c r="AB710" t="s">
        <v>3317</v>
      </c>
      <c r="AC710" t="s">
        <v>56</v>
      </c>
      <c r="AD710" t="str">
        <f t="shared" si="208"/>
        <v>First Class</v>
      </c>
      <c r="AE710">
        <v>4</v>
      </c>
      <c r="AF710">
        <v>4357.66</v>
      </c>
      <c r="AG710">
        <v>0.05</v>
      </c>
      <c r="AH710">
        <v>0.05</v>
      </c>
      <c r="AI710" t="str">
        <f t="shared" si="209"/>
        <v>Valid</v>
      </c>
      <c r="AJ710">
        <v>16559.11</v>
      </c>
      <c r="AK710">
        <f t="shared" si="210"/>
        <v>16559.108</v>
      </c>
      <c r="AL710">
        <v>13233.79</v>
      </c>
      <c r="AM710">
        <v>3325.32</v>
      </c>
      <c r="AN710">
        <f t="shared" si="211"/>
        <v>3325.3179999999993</v>
      </c>
      <c r="AO710">
        <f t="shared" si="212"/>
        <v>-13233.79</v>
      </c>
      <c r="AP710" t="s">
        <v>34</v>
      </c>
      <c r="AQ710" t="str">
        <f t="shared" si="213"/>
        <v>Paid</v>
      </c>
      <c r="AR710" t="s">
        <v>35</v>
      </c>
      <c r="AS710" t="str">
        <f t="shared" si="214"/>
        <v>Completed</v>
      </c>
      <c r="AT710" t="str">
        <f t="shared" si="215"/>
        <v>Clean</v>
      </c>
    </row>
    <row r="711" spans="1:46">
      <c r="A711" t="s">
        <v>3318</v>
      </c>
      <c r="B711">
        <f>COUNTIF($D$2:D711,D711)</f>
        <v>2</v>
      </c>
      <c r="C711" t="str">
        <f>IF(COUNTIF($A:$A,A711)=1,
"Unique",
IF(COUNTIFS($A:$A,A711,$N:$N,N711,$AF:$AF,AF711,$AJ:$AJ,AJ711)&gt;1,
"Exact Duplicate",
"Conflicting Duplicate"))</f>
        <v>Unique</v>
      </c>
      <c r="D711" t="s">
        <v>195</v>
      </c>
      <c r="E711" t="s">
        <v>184</v>
      </c>
      <c r="F711" s="2">
        <v>45676</v>
      </c>
      <c r="G711" s="2">
        <v>45680</v>
      </c>
      <c r="H711" s="5" t="str">
        <f t="shared" si="198"/>
        <v>January</v>
      </c>
      <c r="I711" s="5">
        <f t="shared" si="199"/>
        <v>2025</v>
      </c>
      <c r="J711" t="str">
        <f>IF(F711="","Missing Date",
IF(ISNUMBER(F711),"Valid","Invalid Date"))</f>
        <v>Valid</v>
      </c>
      <c r="K711" t="str">
        <f t="shared" si="200"/>
        <v>Valid</v>
      </c>
      <c r="L711">
        <f>G711-F711</f>
        <v>4</v>
      </c>
      <c r="M711" t="s">
        <v>3319</v>
      </c>
      <c r="N711" t="s">
        <v>366</v>
      </c>
      <c r="O711" t="str">
        <f t="shared" si="201"/>
        <v>Kabir Singh</v>
      </c>
      <c r="P711" t="s">
        <v>115</v>
      </c>
      <c r="Q711" t="str">
        <f t="shared" si="202"/>
        <v>Home Office</v>
      </c>
      <c r="R711" t="s">
        <v>27</v>
      </c>
      <c r="S711" t="str">
        <f t="shared" si="203"/>
        <v>North</v>
      </c>
      <c r="T711" t="s">
        <v>154</v>
      </c>
      <c r="U711" t="str">
        <f t="shared" si="204"/>
        <v>Punjab</v>
      </c>
      <c r="V711" t="s">
        <v>155</v>
      </c>
      <c r="W711" t="str">
        <f t="shared" si="205"/>
        <v>Ludhiana</v>
      </c>
      <c r="X711" t="s">
        <v>86</v>
      </c>
      <c r="Y711" t="str">
        <f t="shared" si="206"/>
        <v>Technology</v>
      </c>
      <c r="Z711" t="s">
        <v>223</v>
      </c>
      <c r="AA711" t="str">
        <f t="shared" si="207"/>
        <v>Phones</v>
      </c>
      <c r="AB711" t="s">
        <v>3320</v>
      </c>
      <c r="AC711" t="s">
        <v>48</v>
      </c>
      <c r="AD711" t="str">
        <f t="shared" si="208"/>
        <v>Same Day</v>
      </c>
      <c r="AE711">
        <v>7</v>
      </c>
      <c r="AF711">
        <v>1363.04</v>
      </c>
      <c r="AG711">
        <v>0.15</v>
      </c>
      <c r="AH711">
        <v>0.15</v>
      </c>
      <c r="AI711" t="str">
        <f t="shared" si="209"/>
        <v>Valid</v>
      </c>
      <c r="AJ711">
        <v>8110.09</v>
      </c>
      <c r="AK711">
        <f t="shared" si="210"/>
        <v>8110.0879999999988</v>
      </c>
      <c r="AL711">
        <v>6417.32</v>
      </c>
      <c r="AM711">
        <v>1692.77</v>
      </c>
      <c r="AN711">
        <f t="shared" si="211"/>
        <v>1692.7679999999991</v>
      </c>
      <c r="AO711">
        <f t="shared" si="212"/>
        <v>-6417.32</v>
      </c>
      <c r="AP711" t="s">
        <v>34</v>
      </c>
      <c r="AQ711" t="str">
        <f t="shared" si="213"/>
        <v>Paid</v>
      </c>
      <c r="AR711" t="s">
        <v>78</v>
      </c>
      <c r="AS711" t="str">
        <f t="shared" si="214"/>
        <v>Cancelled</v>
      </c>
      <c r="AT711" t="str">
        <f t="shared" si="215"/>
        <v>Clean</v>
      </c>
    </row>
    <row r="712" spans="1:46">
      <c r="A712" t="s">
        <v>3321</v>
      </c>
      <c r="B712">
        <f>COUNTIF($D$2:D712,D712)</f>
        <v>2</v>
      </c>
      <c r="C712" t="str">
        <f>IF(COUNTIF($A:$A,A712)=1,
"Unique",
IF(COUNTIFS($A:$A,A712,$N:$N,N712,$AF:$AF,AF712,$AJ:$AJ,AJ712)&gt;1,
"Exact Duplicate",
"Conflicting Duplicate"))</f>
        <v>Unique</v>
      </c>
      <c r="D712" t="s">
        <v>3322</v>
      </c>
      <c r="E712" t="s">
        <v>3323</v>
      </c>
      <c r="F712" s="3">
        <v>45485</v>
      </c>
      <c r="G712" s="3">
        <v>45492</v>
      </c>
      <c r="H712" s="5" t="str">
        <f t="shared" si="198"/>
        <v>July</v>
      </c>
      <c r="I712" s="5">
        <f t="shared" si="199"/>
        <v>2024</v>
      </c>
      <c r="J712" t="str">
        <f>IF(F712="","Missing Date",
IF(ISNUMBER(F712),"Valid","Invalid Date"))</f>
        <v>Valid</v>
      </c>
      <c r="K712" t="str">
        <f t="shared" si="200"/>
        <v>Valid</v>
      </c>
      <c r="L712">
        <f>G712-F712</f>
        <v>7</v>
      </c>
      <c r="M712" t="s">
        <v>3324</v>
      </c>
      <c r="N712" t="s">
        <v>83</v>
      </c>
      <c r="O712" t="str">
        <f t="shared" si="201"/>
        <v>Vikram Iyer</v>
      </c>
      <c r="P712" t="s">
        <v>108</v>
      </c>
      <c r="Q712" t="str">
        <f t="shared" si="202"/>
        <v>Corporate</v>
      </c>
      <c r="R712" t="s">
        <v>27</v>
      </c>
      <c r="S712" t="str">
        <f t="shared" si="203"/>
        <v>North</v>
      </c>
      <c r="T712" t="s">
        <v>154</v>
      </c>
      <c r="U712" t="str">
        <f t="shared" si="204"/>
        <v>Punjab</v>
      </c>
      <c r="V712" t="s">
        <v>155</v>
      </c>
      <c r="W712" t="str">
        <f t="shared" si="205"/>
        <v>Ludhiana</v>
      </c>
      <c r="X712" t="s">
        <v>30</v>
      </c>
      <c r="Y712" t="str">
        <f t="shared" si="206"/>
        <v>Office Supplies</v>
      </c>
      <c r="Z712" t="s">
        <v>54</v>
      </c>
      <c r="AA712" t="str">
        <f t="shared" si="207"/>
        <v>Art</v>
      </c>
      <c r="AB712" t="s">
        <v>3325</v>
      </c>
      <c r="AC712" t="s">
        <v>33</v>
      </c>
      <c r="AD712" t="str">
        <f t="shared" si="208"/>
        <v>Second Class</v>
      </c>
      <c r="AE712">
        <v>5</v>
      </c>
      <c r="AF712">
        <v>1559.16</v>
      </c>
      <c r="AG712">
        <v>0.05</v>
      </c>
      <c r="AH712">
        <v>0.05</v>
      </c>
      <c r="AI712" t="str">
        <f t="shared" si="209"/>
        <v>Valid</v>
      </c>
      <c r="AJ712">
        <v>7406.01</v>
      </c>
      <c r="AK712">
        <f t="shared" si="210"/>
        <v>7406.01</v>
      </c>
      <c r="AL712">
        <v>5941.74</v>
      </c>
      <c r="AM712">
        <v>1464.27</v>
      </c>
      <c r="AN712">
        <f t="shared" si="211"/>
        <v>1464.2700000000004</v>
      </c>
      <c r="AO712">
        <f t="shared" si="212"/>
        <v>-5941.74</v>
      </c>
      <c r="AP712" t="s">
        <v>34</v>
      </c>
      <c r="AQ712" t="str">
        <f t="shared" si="213"/>
        <v>Paid</v>
      </c>
      <c r="AR712" t="s">
        <v>35</v>
      </c>
      <c r="AS712" t="str">
        <f t="shared" si="214"/>
        <v>Completed</v>
      </c>
      <c r="AT712" t="str">
        <f t="shared" si="215"/>
        <v>Clean</v>
      </c>
    </row>
    <row r="713" spans="1:46">
      <c r="A713" t="s">
        <v>3326</v>
      </c>
      <c r="B713">
        <f>COUNTIF($D$2:D713,D713)</f>
        <v>3</v>
      </c>
      <c r="C713" t="str">
        <f>IF(COUNTIF($A:$A,A713)=1,
"Unique",
IF(COUNTIFS($A:$A,A713,$N:$N,N713,$AF:$AF,AF713,$AJ:$AJ,AJ713)&gt;1,
"Exact Duplicate",
"Conflicting Duplicate"))</f>
        <v>Unique</v>
      </c>
      <c r="D713" t="s">
        <v>3327</v>
      </c>
      <c r="E713" t="s">
        <v>3289</v>
      </c>
      <c r="F713" s="3">
        <v>45690</v>
      </c>
      <c r="G713" s="3">
        <v>45690</v>
      </c>
      <c r="H713" s="5" t="str">
        <f t="shared" si="198"/>
        <v>February</v>
      </c>
      <c r="I713" s="5">
        <f t="shared" si="199"/>
        <v>2025</v>
      </c>
      <c r="J713" t="str">
        <f>IF(F713="","Missing Date",
IF(ISNUMBER(F713),"Valid","Invalid Date"))</f>
        <v>Valid</v>
      </c>
      <c r="K713" t="str">
        <f t="shared" si="200"/>
        <v>Valid</v>
      </c>
      <c r="L713">
        <f>G713-F713</f>
        <v>0</v>
      </c>
      <c r="M713" t="s">
        <v>3328</v>
      </c>
      <c r="N713" t="s">
        <v>366</v>
      </c>
      <c r="O713" t="str">
        <f t="shared" si="201"/>
        <v>Kabir Singh</v>
      </c>
      <c r="P713" t="s">
        <v>108</v>
      </c>
      <c r="Q713" t="str">
        <f t="shared" si="202"/>
        <v>Corporate</v>
      </c>
      <c r="R713" t="s">
        <v>42</v>
      </c>
      <c r="S713" t="str">
        <f t="shared" si="203"/>
        <v>East</v>
      </c>
      <c r="T713" t="s">
        <v>121</v>
      </c>
      <c r="U713" t="str">
        <f t="shared" si="204"/>
        <v>West Bengal</v>
      </c>
      <c r="V713" t="s">
        <v>122</v>
      </c>
      <c r="W713" t="str">
        <f t="shared" si="205"/>
        <v>Kolkata</v>
      </c>
      <c r="X713" t="s">
        <v>86</v>
      </c>
      <c r="Y713" t="str">
        <f t="shared" si="206"/>
        <v>Technology</v>
      </c>
      <c r="Z713" t="s">
        <v>382</v>
      </c>
      <c r="AA713" t="str">
        <f t="shared" si="207"/>
        <v>Machines</v>
      </c>
      <c r="AB713" t="s">
        <v>3329</v>
      </c>
      <c r="AC713" t="s">
        <v>56</v>
      </c>
      <c r="AD713" t="str">
        <f t="shared" si="208"/>
        <v>First Class</v>
      </c>
      <c r="AE713">
        <v>1</v>
      </c>
      <c r="AF713">
        <v>4326.75</v>
      </c>
      <c r="AG713">
        <v>0.05</v>
      </c>
      <c r="AH713">
        <v>0.05</v>
      </c>
      <c r="AI713" t="str">
        <f t="shared" si="209"/>
        <v>Valid</v>
      </c>
      <c r="AJ713">
        <v>4110.41</v>
      </c>
      <c r="AK713">
        <f t="shared" si="210"/>
        <v>4110.4124999999995</v>
      </c>
      <c r="AL713">
        <v>2394.14</v>
      </c>
      <c r="AM713">
        <v>1716.27</v>
      </c>
      <c r="AN713">
        <f t="shared" si="211"/>
        <v>1716.2724999999996</v>
      </c>
      <c r="AO713">
        <f t="shared" si="212"/>
        <v>-2394.14</v>
      </c>
      <c r="AP713" t="s">
        <v>137</v>
      </c>
      <c r="AQ713" t="str">
        <f t="shared" si="213"/>
        <v>Pending</v>
      </c>
      <c r="AR713" t="s">
        <v>125</v>
      </c>
      <c r="AS713" t="str">
        <f t="shared" si="214"/>
        <v>Returned</v>
      </c>
      <c r="AT713" t="str">
        <f t="shared" si="215"/>
        <v>Clean</v>
      </c>
    </row>
    <row r="714" spans="1:46">
      <c r="A714" t="s">
        <v>3330</v>
      </c>
      <c r="B714">
        <f>COUNTIF($D$2:D714,D714)</f>
        <v>3</v>
      </c>
      <c r="C714" t="str">
        <f>IF(COUNTIF($A:$A,A714)=1,
"Unique",
IF(COUNTIFS($A:$A,A714,$N:$N,N714,$AF:$AF,AF714,$AJ:$AJ,AJ714)&gt;1,
"Exact Duplicate",
"Conflicting Duplicate"))</f>
        <v>Exact Duplicate</v>
      </c>
      <c r="D714" t="s">
        <v>2129</v>
      </c>
      <c r="E714" t="s">
        <v>3331</v>
      </c>
      <c r="F714" s="2">
        <v>45567</v>
      </c>
      <c r="G714" s="2">
        <v>45340</v>
      </c>
      <c r="H714" s="5" t="str">
        <f t="shared" si="198"/>
        <v>October</v>
      </c>
      <c r="I714" s="5">
        <f t="shared" si="199"/>
        <v>2024</v>
      </c>
      <c r="J714" t="str">
        <f>IF(F714="","Missing Date",
IF(ISNUMBER(F714),"Valid","Invalid Date"))</f>
        <v>Valid</v>
      </c>
      <c r="K714" t="str">
        <f t="shared" si="200"/>
        <v>Valid</v>
      </c>
      <c r="L714">
        <f>G714-F714</f>
        <v>-227</v>
      </c>
      <c r="M714" t="s">
        <v>3332</v>
      </c>
      <c r="N714" t="s">
        <v>53</v>
      </c>
      <c r="O714" t="str">
        <f t="shared" si="201"/>
        <v>Isha Nair</v>
      </c>
      <c r="P714" t="s">
        <v>115</v>
      </c>
      <c r="Q714" t="str">
        <f t="shared" si="202"/>
        <v>Home Office</v>
      </c>
      <c r="R714" t="s">
        <v>73</v>
      </c>
      <c r="S714" t="str">
        <f t="shared" si="203"/>
        <v>West</v>
      </c>
      <c r="T714" t="s">
        <v>84</v>
      </c>
      <c r="U714" t="str">
        <f t="shared" si="204"/>
        <v>Madhya Pradesh</v>
      </c>
      <c r="V714" t="s">
        <v>85</v>
      </c>
      <c r="W714" t="str">
        <f t="shared" si="205"/>
        <v>Indore</v>
      </c>
      <c r="X714" t="s">
        <v>45</v>
      </c>
      <c r="Y714" t="str">
        <f t="shared" si="206"/>
        <v>Furniture</v>
      </c>
      <c r="Z714" t="s">
        <v>76</v>
      </c>
      <c r="AA714" t="str">
        <f t="shared" si="207"/>
        <v>Chairs</v>
      </c>
      <c r="AB714" t="s">
        <v>3333</v>
      </c>
      <c r="AC714" t="s">
        <v>56</v>
      </c>
      <c r="AD714" t="str">
        <f t="shared" si="208"/>
        <v>First Class</v>
      </c>
      <c r="AE714">
        <v>7</v>
      </c>
      <c r="AF714">
        <v>1382.86</v>
      </c>
      <c r="AG714">
        <v>0</v>
      </c>
      <c r="AH714">
        <v>0</v>
      </c>
      <c r="AI714" t="str">
        <f t="shared" si="209"/>
        <v>Valid</v>
      </c>
      <c r="AJ714">
        <v>9680.02</v>
      </c>
      <c r="AK714">
        <f t="shared" si="210"/>
        <v>9680.0199999999986</v>
      </c>
      <c r="AL714">
        <v>6876.66</v>
      </c>
      <c r="AM714">
        <v>2803.36</v>
      </c>
      <c r="AN714">
        <f t="shared" si="211"/>
        <v>2803.3599999999988</v>
      </c>
      <c r="AO714">
        <f t="shared" si="212"/>
        <v>-6876.66</v>
      </c>
      <c r="AP714" t="s">
        <v>34</v>
      </c>
      <c r="AQ714" t="str">
        <f t="shared" si="213"/>
        <v>Paid</v>
      </c>
      <c r="AR714" t="s">
        <v>35</v>
      </c>
      <c r="AS714" t="str">
        <f t="shared" si="214"/>
        <v>Completed</v>
      </c>
      <c r="AT714" t="str">
        <f t="shared" si="215"/>
        <v>Clean</v>
      </c>
    </row>
    <row r="715" spans="1:46">
      <c r="A715" t="s">
        <v>3334</v>
      </c>
      <c r="B715">
        <f>COUNTIF($D$2:D715,D715)</f>
        <v>2</v>
      </c>
      <c r="C715" t="str">
        <f>IF(COUNTIF($A:$A,A715)=1,
"Unique",
IF(COUNTIFS($A:$A,A715,$N:$N,N715,$AF:$AF,AF715,$AJ:$AJ,AJ715)&gt;1,
"Exact Duplicate",
"Conflicting Duplicate"))</f>
        <v>Unique</v>
      </c>
      <c r="D715" t="s">
        <v>3335</v>
      </c>
      <c r="E715" t="s">
        <v>3182</v>
      </c>
      <c r="F715" s="3">
        <v>45814</v>
      </c>
      <c r="G715" s="3">
        <v>45818</v>
      </c>
      <c r="H715" s="5" t="str">
        <f t="shared" si="198"/>
        <v>June</v>
      </c>
      <c r="I715" s="5">
        <f t="shared" si="199"/>
        <v>2025</v>
      </c>
      <c r="J715" t="str">
        <f>IF(F715="","Missing Date",
IF(ISNUMBER(F715),"Valid","Invalid Date"))</f>
        <v>Valid</v>
      </c>
      <c r="K715" t="str">
        <f t="shared" si="200"/>
        <v>Valid</v>
      </c>
      <c r="L715">
        <f>G715-F715</f>
        <v>4</v>
      </c>
      <c r="M715" t="s">
        <v>903</v>
      </c>
      <c r="N715" t="s">
        <v>40</v>
      </c>
      <c r="O715" t="str">
        <f t="shared" si="201"/>
        <v>Mira Das</v>
      </c>
      <c r="P715" t="s">
        <v>26</v>
      </c>
      <c r="Q715" t="str">
        <f t="shared" si="202"/>
        <v>Consumer</v>
      </c>
      <c r="R715" t="s">
        <v>73</v>
      </c>
      <c r="S715" t="str">
        <f t="shared" si="203"/>
        <v>West</v>
      </c>
      <c r="T715" t="s">
        <v>28</v>
      </c>
      <c r="U715" t="str">
        <f t="shared" si="204"/>
        <v>Rajasthan</v>
      </c>
      <c r="V715" t="s">
        <v>135</v>
      </c>
      <c r="W715" t="str">
        <f t="shared" si="205"/>
        <v>Udaipur</v>
      </c>
      <c r="X715" t="s">
        <v>86</v>
      </c>
      <c r="Y715" t="str">
        <f t="shared" si="206"/>
        <v>Technology</v>
      </c>
      <c r="Z715" t="s">
        <v>382</v>
      </c>
      <c r="AA715" t="str">
        <f t="shared" si="207"/>
        <v>Machines</v>
      </c>
      <c r="AB715" t="s">
        <v>3336</v>
      </c>
      <c r="AC715" t="s">
        <v>33</v>
      </c>
      <c r="AD715" t="str">
        <f t="shared" si="208"/>
        <v>Second Class</v>
      </c>
      <c r="AE715">
        <v>1</v>
      </c>
      <c r="AF715">
        <v>289.97000000000003</v>
      </c>
      <c r="AG715">
        <v>0.25</v>
      </c>
      <c r="AH715">
        <v>0.25</v>
      </c>
      <c r="AI715" t="str">
        <f t="shared" si="209"/>
        <v>Valid</v>
      </c>
      <c r="AJ715">
        <v>217.48</v>
      </c>
      <c r="AK715">
        <f t="shared" si="210"/>
        <v>217.47750000000002</v>
      </c>
      <c r="AL715">
        <v>132.13</v>
      </c>
      <c r="AM715">
        <v>85.35</v>
      </c>
      <c r="AN715">
        <f t="shared" si="211"/>
        <v>85.347500000000025</v>
      </c>
      <c r="AO715">
        <f t="shared" si="212"/>
        <v>-132.13</v>
      </c>
      <c r="AP715" t="s">
        <v>34</v>
      </c>
      <c r="AQ715" t="str">
        <f t="shared" si="213"/>
        <v>Paid</v>
      </c>
      <c r="AR715" t="s">
        <v>35</v>
      </c>
      <c r="AS715" t="str">
        <f t="shared" si="214"/>
        <v>Completed</v>
      </c>
      <c r="AT715" t="str">
        <f t="shared" si="215"/>
        <v>Clean</v>
      </c>
    </row>
    <row r="716" spans="1:46">
      <c r="A716" t="s">
        <v>3337</v>
      </c>
      <c r="B716">
        <f>COUNTIF($D$2:D716,D716)</f>
        <v>1</v>
      </c>
      <c r="C716" t="str">
        <f>IF(COUNTIF($A:$A,A716)=1,
"Unique",
IF(COUNTIFS($A:$A,A716,$N:$N,N716,$AF:$AF,AF716,$AJ:$AJ,AJ716)&gt;1,
"Exact Duplicate",
"Conflicting Duplicate"))</f>
        <v>Unique</v>
      </c>
      <c r="D716" t="s">
        <v>2115</v>
      </c>
      <c r="E716" t="s">
        <v>2231</v>
      </c>
      <c r="F716" s="2">
        <v>45738</v>
      </c>
      <c r="G716" s="3">
        <v>45739</v>
      </c>
      <c r="H716" s="5" t="str">
        <f t="shared" si="198"/>
        <v>March</v>
      </c>
      <c r="I716" s="5">
        <f t="shared" si="199"/>
        <v>2025</v>
      </c>
      <c r="J716" t="str">
        <f>IF(F716="","Missing Date",
IF(ISNUMBER(F716),"Valid","Invalid Date"))</f>
        <v>Valid</v>
      </c>
      <c r="K716" t="str">
        <f t="shared" si="200"/>
        <v>Valid</v>
      </c>
      <c r="L716">
        <f>G716-F716</f>
        <v>1</v>
      </c>
      <c r="M716" t="s">
        <v>3338</v>
      </c>
      <c r="N716" t="s">
        <v>25</v>
      </c>
      <c r="O716" t="str">
        <f t="shared" si="201"/>
        <v>Karan Malhotra</v>
      </c>
      <c r="P716" t="s">
        <v>115</v>
      </c>
      <c r="Q716" t="str">
        <f t="shared" si="202"/>
        <v>Home Office</v>
      </c>
      <c r="R716" t="s">
        <v>27</v>
      </c>
      <c r="S716" t="str">
        <f t="shared" si="203"/>
        <v>North</v>
      </c>
      <c r="T716" t="s">
        <v>506</v>
      </c>
      <c r="U716" t="str">
        <f t="shared" si="204"/>
        <v>Delhi</v>
      </c>
      <c r="V716" t="s">
        <v>507</v>
      </c>
      <c r="W716" t="str">
        <f t="shared" si="205"/>
        <v>New Delhi</v>
      </c>
      <c r="X716" t="s">
        <v>86</v>
      </c>
      <c r="Y716" t="str">
        <f t="shared" si="206"/>
        <v>Technology</v>
      </c>
      <c r="Z716" t="s">
        <v>94</v>
      </c>
      <c r="AA716" t="str">
        <f t="shared" si="207"/>
        <v>Copiers</v>
      </c>
      <c r="AB716" t="s">
        <v>3339</v>
      </c>
      <c r="AC716" t="s">
        <v>67</v>
      </c>
      <c r="AD716" t="str">
        <f t="shared" si="208"/>
        <v>Standard Class</v>
      </c>
      <c r="AE716">
        <v>9</v>
      </c>
      <c r="AF716">
        <v>2075.02</v>
      </c>
      <c r="AG716">
        <v>0</v>
      </c>
      <c r="AH716">
        <v>0</v>
      </c>
      <c r="AI716" t="str">
        <f t="shared" si="209"/>
        <v>Valid</v>
      </c>
      <c r="AJ716">
        <v>18675.18</v>
      </c>
      <c r="AK716">
        <f t="shared" si="210"/>
        <v>18675.18</v>
      </c>
      <c r="AL716">
        <v>13974.7</v>
      </c>
      <c r="AM716">
        <v>4700.4799999999996</v>
      </c>
      <c r="AN716">
        <f t="shared" si="211"/>
        <v>4700.4799999999996</v>
      </c>
      <c r="AO716">
        <f t="shared" si="212"/>
        <v>-13974.7</v>
      </c>
      <c r="AP716" t="s">
        <v>34</v>
      </c>
      <c r="AQ716" t="str">
        <f t="shared" si="213"/>
        <v>Paid</v>
      </c>
      <c r="AR716" t="s">
        <v>35</v>
      </c>
      <c r="AS716" t="str">
        <f t="shared" si="214"/>
        <v>Completed</v>
      </c>
      <c r="AT716" t="str">
        <f t="shared" si="215"/>
        <v>Clean</v>
      </c>
    </row>
    <row r="717" spans="1:46">
      <c r="A717" t="s">
        <v>3340</v>
      </c>
      <c r="B717">
        <f>COUNTIF($D$2:D717,D717)</f>
        <v>4</v>
      </c>
      <c r="C717" t="str">
        <f>IF(COUNTIF($A:$A,A717)=1,
"Unique",
IF(COUNTIFS($A:$A,A717,$N:$N,N717,$AF:$AF,AF717,$AJ:$AJ,AJ717)&gt;1,
"Exact Duplicate",
"Conflicting Duplicate"))</f>
        <v>Unique</v>
      </c>
      <c r="D717" t="s">
        <v>454</v>
      </c>
      <c r="E717" t="s">
        <v>455</v>
      </c>
      <c r="F717" s="3">
        <v>45891</v>
      </c>
      <c r="G717" s="2">
        <v>45896</v>
      </c>
      <c r="H717" s="5" t="str">
        <f t="shared" si="198"/>
        <v>August</v>
      </c>
      <c r="I717" s="5">
        <f t="shared" si="199"/>
        <v>2025</v>
      </c>
      <c r="J717" t="str">
        <f>IF(F717="","Missing Date",
IF(ISNUMBER(F717),"Valid","Invalid Date"))</f>
        <v>Valid</v>
      </c>
      <c r="K717" t="str">
        <f t="shared" si="200"/>
        <v>Valid</v>
      </c>
      <c r="L717">
        <f>G717-F717</f>
        <v>5</v>
      </c>
      <c r="M717" t="s">
        <v>3341</v>
      </c>
      <c r="N717" t="s">
        <v>142</v>
      </c>
      <c r="O717" t="str">
        <f t="shared" si="201"/>
        <v>Priya Menon</v>
      </c>
      <c r="P717" t="s">
        <v>26</v>
      </c>
      <c r="Q717" t="str">
        <f t="shared" si="202"/>
        <v>Consumer</v>
      </c>
      <c r="R717" t="s">
        <v>27</v>
      </c>
      <c r="S717" t="str">
        <f t="shared" si="203"/>
        <v>North</v>
      </c>
      <c r="T717" t="s">
        <v>323</v>
      </c>
      <c r="U717" t="str">
        <f t="shared" si="204"/>
        <v>Haryana</v>
      </c>
      <c r="V717" t="s">
        <v>324</v>
      </c>
      <c r="W717" t="str">
        <f t="shared" si="205"/>
        <v>Gurugram</v>
      </c>
      <c r="X717" t="s">
        <v>45</v>
      </c>
      <c r="Y717" t="str">
        <f t="shared" si="206"/>
        <v>Furniture</v>
      </c>
      <c r="Z717" t="s">
        <v>76</v>
      </c>
      <c r="AA717" t="str">
        <f t="shared" si="207"/>
        <v>Chairs</v>
      </c>
      <c r="AB717" t="s">
        <v>3342</v>
      </c>
      <c r="AC717" t="s">
        <v>33</v>
      </c>
      <c r="AD717" t="str">
        <f t="shared" si="208"/>
        <v>Second Class</v>
      </c>
      <c r="AE717">
        <v>7</v>
      </c>
      <c r="AF717">
        <v>2843.09</v>
      </c>
      <c r="AG717">
        <v>0</v>
      </c>
      <c r="AH717">
        <v>0</v>
      </c>
      <c r="AI717" t="str">
        <f t="shared" si="209"/>
        <v>Valid</v>
      </c>
      <c r="AJ717">
        <v>19901.63</v>
      </c>
      <c r="AK717">
        <f t="shared" si="210"/>
        <v>19901.63</v>
      </c>
      <c r="AL717">
        <v>15492.03</v>
      </c>
      <c r="AM717">
        <v>4409.6000000000004</v>
      </c>
      <c r="AN717">
        <f t="shared" si="211"/>
        <v>4409.6000000000004</v>
      </c>
      <c r="AO717">
        <f t="shared" si="212"/>
        <v>-15492.03</v>
      </c>
      <c r="AP717" t="s">
        <v>124</v>
      </c>
      <c r="AQ717" t="str">
        <f t="shared" si="213"/>
        <v>Refunded</v>
      </c>
      <c r="AR717" t="s">
        <v>78</v>
      </c>
      <c r="AS717" t="str">
        <f t="shared" si="214"/>
        <v>Cancelled</v>
      </c>
      <c r="AT717" t="str">
        <f t="shared" si="215"/>
        <v>Clean</v>
      </c>
    </row>
    <row r="718" spans="1:46">
      <c r="A718" t="s">
        <v>3343</v>
      </c>
      <c r="B718">
        <f>COUNTIF($D$2:D718,D718)</f>
        <v>1</v>
      </c>
      <c r="C718" t="str">
        <f>IF(COUNTIF($A:$A,A718)=1,
"Unique",
IF(COUNTIFS($A:$A,A718,$N:$N,N718,$AF:$AF,AF718,$AJ:$AJ,AJ718)&gt;1,
"Exact Duplicate",
"Conflicting Duplicate"))</f>
        <v>Unique</v>
      </c>
      <c r="D718" t="s">
        <v>3344</v>
      </c>
      <c r="E718" t="s">
        <v>202</v>
      </c>
      <c r="F718" s="2">
        <v>45895</v>
      </c>
      <c r="G718" s="3">
        <v>45900</v>
      </c>
      <c r="H718" s="5" t="str">
        <f t="shared" si="198"/>
        <v>August</v>
      </c>
      <c r="I718" s="5">
        <f t="shared" si="199"/>
        <v>2025</v>
      </c>
      <c r="J718" t="str">
        <f>IF(F718="","Missing Date",
IF(ISNUMBER(F718),"Valid","Invalid Date"))</f>
        <v>Valid</v>
      </c>
      <c r="K718" t="str">
        <f t="shared" si="200"/>
        <v>Valid</v>
      </c>
      <c r="L718">
        <f>G718-F718</f>
        <v>5</v>
      </c>
      <c r="M718" t="s">
        <v>3345</v>
      </c>
      <c r="N718" t="s">
        <v>210</v>
      </c>
      <c r="O718" t="str">
        <f t="shared" si="201"/>
        <v>Diya Patel</v>
      </c>
      <c r="P718" t="s">
        <v>41</v>
      </c>
      <c r="Q718" t="str">
        <f t="shared" si="202"/>
        <v>Small Business</v>
      </c>
      <c r="R718" t="s">
        <v>27</v>
      </c>
      <c r="S718" t="str">
        <f t="shared" si="203"/>
        <v>North</v>
      </c>
      <c r="T718" t="s">
        <v>323</v>
      </c>
      <c r="U718" t="str">
        <f t="shared" si="204"/>
        <v>Haryana</v>
      </c>
      <c r="V718" t="s">
        <v>324</v>
      </c>
      <c r="W718" t="str">
        <f t="shared" si="205"/>
        <v>Gurugram</v>
      </c>
      <c r="X718" t="s">
        <v>86</v>
      </c>
      <c r="Y718" t="str">
        <f t="shared" si="206"/>
        <v>Technology</v>
      </c>
      <c r="Z718" t="s">
        <v>223</v>
      </c>
      <c r="AA718" t="str">
        <f t="shared" si="207"/>
        <v>Phones</v>
      </c>
      <c r="AB718" t="s">
        <v>3346</v>
      </c>
      <c r="AC718" t="s">
        <v>56</v>
      </c>
      <c r="AD718" t="str">
        <f t="shared" si="208"/>
        <v>First Class</v>
      </c>
      <c r="AE718">
        <v>1</v>
      </c>
      <c r="AF718">
        <v>3388.02</v>
      </c>
      <c r="AG718">
        <v>0.15</v>
      </c>
      <c r="AH718">
        <v>0.15</v>
      </c>
      <c r="AI718" t="str">
        <f t="shared" si="209"/>
        <v>Valid</v>
      </c>
      <c r="AJ718">
        <v>2879.82</v>
      </c>
      <c r="AK718">
        <f t="shared" si="210"/>
        <v>2879.817</v>
      </c>
      <c r="AL718">
        <v>1824.88</v>
      </c>
      <c r="AM718">
        <v>1054.94</v>
      </c>
      <c r="AN718">
        <f t="shared" si="211"/>
        <v>1054.9369999999999</v>
      </c>
      <c r="AO718">
        <f t="shared" si="212"/>
        <v>-1824.88</v>
      </c>
      <c r="AP718" t="s">
        <v>34</v>
      </c>
      <c r="AQ718" t="str">
        <f t="shared" si="213"/>
        <v>Paid</v>
      </c>
      <c r="AR718" t="s">
        <v>35</v>
      </c>
      <c r="AS718" t="str">
        <f t="shared" si="214"/>
        <v>Completed</v>
      </c>
      <c r="AT718" t="str">
        <f t="shared" si="215"/>
        <v>Clean</v>
      </c>
    </row>
    <row r="719" spans="1:46">
      <c r="A719" t="s">
        <v>3347</v>
      </c>
      <c r="B719">
        <f>COUNTIF($D$2:D719,D719)</f>
        <v>2</v>
      </c>
      <c r="C719" t="str">
        <f>IF(COUNTIF($A:$A,A719)=1,
"Unique",
IF(COUNTIFS($A:$A,A719,$N:$N,N719,$AF:$AF,AF719,$AJ:$AJ,AJ719)&gt;1,
"Exact Duplicate",
"Conflicting Duplicate"))</f>
        <v>Unique</v>
      </c>
      <c r="D719" t="s">
        <v>3348</v>
      </c>
      <c r="E719" t="s">
        <v>309</v>
      </c>
      <c r="F719" s="3">
        <v>46001</v>
      </c>
      <c r="G719" s="2">
        <v>45945</v>
      </c>
      <c r="H719" s="5" t="str">
        <f t="shared" si="198"/>
        <v>December</v>
      </c>
      <c r="I719" s="5">
        <f t="shared" si="199"/>
        <v>2025</v>
      </c>
      <c r="J719" t="str">
        <f>IF(F719="","Missing Date",
IF(ISNUMBER(F719),"Valid","Invalid Date"))</f>
        <v>Valid</v>
      </c>
      <c r="K719" t="str">
        <f t="shared" si="200"/>
        <v>Valid</v>
      </c>
      <c r="L719">
        <f>G719-F719</f>
        <v>-56</v>
      </c>
      <c r="M719" t="s">
        <v>3349</v>
      </c>
      <c r="N719" t="s">
        <v>366</v>
      </c>
      <c r="O719" t="str">
        <f t="shared" si="201"/>
        <v>Kabir Singh</v>
      </c>
      <c r="P719" t="s">
        <v>41</v>
      </c>
      <c r="Q719" t="str">
        <f t="shared" si="202"/>
        <v>Small Business</v>
      </c>
      <c r="R719" t="s">
        <v>27</v>
      </c>
      <c r="S719" t="str">
        <f t="shared" si="203"/>
        <v>North</v>
      </c>
      <c r="T719" t="s">
        <v>323</v>
      </c>
      <c r="U719" t="str">
        <f t="shared" si="204"/>
        <v>Haryana</v>
      </c>
      <c r="V719" t="s">
        <v>324</v>
      </c>
      <c r="W719" t="str">
        <f t="shared" si="205"/>
        <v>Gurugram</v>
      </c>
      <c r="X719" t="s">
        <v>86</v>
      </c>
      <c r="Y719" t="str">
        <f t="shared" si="206"/>
        <v>Technology</v>
      </c>
      <c r="Z719" t="s">
        <v>382</v>
      </c>
      <c r="AA719" t="str">
        <f t="shared" si="207"/>
        <v>Machines</v>
      </c>
      <c r="AB719" t="s">
        <v>3350</v>
      </c>
      <c r="AC719" t="s">
        <v>67</v>
      </c>
      <c r="AD719" t="str">
        <f t="shared" si="208"/>
        <v>Standard Class</v>
      </c>
      <c r="AE719">
        <v>9</v>
      </c>
      <c r="AF719">
        <v>2598.92</v>
      </c>
      <c r="AG719">
        <v>0.2</v>
      </c>
      <c r="AH719">
        <v>0.2</v>
      </c>
      <c r="AI719" t="str">
        <f t="shared" si="209"/>
        <v>Valid</v>
      </c>
      <c r="AJ719">
        <v>18712.22</v>
      </c>
      <c r="AK719">
        <f t="shared" si="210"/>
        <v>18712.223999999998</v>
      </c>
      <c r="AL719">
        <v>11852.22</v>
      </c>
      <c r="AM719">
        <v>6860</v>
      </c>
      <c r="AN719">
        <f t="shared" si="211"/>
        <v>6860.003999999999</v>
      </c>
      <c r="AO719">
        <f t="shared" si="212"/>
        <v>-11852.22</v>
      </c>
      <c r="AP719" t="s">
        <v>137</v>
      </c>
      <c r="AQ719" t="str">
        <f t="shared" si="213"/>
        <v>Pending</v>
      </c>
      <c r="AR719" t="s">
        <v>78</v>
      </c>
      <c r="AS719" t="str">
        <f t="shared" si="214"/>
        <v>Cancelled</v>
      </c>
      <c r="AT719" t="str">
        <f t="shared" si="215"/>
        <v>Clean</v>
      </c>
    </row>
    <row r="720" spans="1:46">
      <c r="A720" t="s">
        <v>3351</v>
      </c>
      <c r="B720">
        <f>COUNTIF($D$2:D720,D720)</f>
        <v>2</v>
      </c>
      <c r="C720" t="str">
        <f>IF(COUNTIF($A:$A,A720)=1,
"Unique",
IF(COUNTIFS($A:$A,A720,$N:$N,N720,$AF:$AF,AF720,$AJ:$AJ,AJ720)&gt;1,
"Exact Duplicate",
"Conflicting Duplicate"))</f>
        <v>Unique</v>
      </c>
      <c r="D720" t="s">
        <v>3352</v>
      </c>
      <c r="E720" t="s">
        <v>876</v>
      </c>
      <c r="F720" s="2">
        <v>45452</v>
      </c>
      <c r="G720" s="3">
        <v>45544</v>
      </c>
      <c r="H720" s="5" t="str">
        <f t="shared" si="198"/>
        <v>June</v>
      </c>
      <c r="I720" s="5">
        <f t="shared" si="199"/>
        <v>2024</v>
      </c>
      <c r="J720" t="str">
        <f>IF(F720="","Missing Date",
IF(ISNUMBER(F720),"Valid","Invalid Date"))</f>
        <v>Valid</v>
      </c>
      <c r="K720" t="str">
        <f t="shared" si="200"/>
        <v>Valid</v>
      </c>
      <c r="L720">
        <f>G720-F720</f>
        <v>92</v>
      </c>
      <c r="M720" t="s">
        <v>3353</v>
      </c>
      <c r="N720" t="s">
        <v>40</v>
      </c>
      <c r="O720" t="str">
        <f t="shared" si="201"/>
        <v>Mira Das</v>
      </c>
      <c r="P720" t="s">
        <v>26</v>
      </c>
      <c r="Q720" t="str">
        <f t="shared" si="202"/>
        <v>Consumer</v>
      </c>
      <c r="R720" t="s">
        <v>73</v>
      </c>
      <c r="S720" t="str">
        <f t="shared" si="203"/>
        <v>West</v>
      </c>
      <c r="T720" t="s">
        <v>74</v>
      </c>
      <c r="U720" t="str">
        <f t="shared" si="204"/>
        <v>Maharashtra</v>
      </c>
      <c r="V720" t="s">
        <v>75</v>
      </c>
      <c r="W720" t="str">
        <f t="shared" si="205"/>
        <v>Mumbai</v>
      </c>
      <c r="X720" t="s">
        <v>30</v>
      </c>
      <c r="Y720" t="str">
        <f t="shared" si="206"/>
        <v>Office Supplies</v>
      </c>
      <c r="Z720" t="s">
        <v>54</v>
      </c>
      <c r="AA720" t="str">
        <f t="shared" si="207"/>
        <v>Art</v>
      </c>
      <c r="AB720" t="s">
        <v>3354</v>
      </c>
      <c r="AC720" t="s">
        <v>48</v>
      </c>
      <c r="AD720" t="str">
        <f t="shared" si="208"/>
        <v>Same Day</v>
      </c>
      <c r="AE720">
        <v>3</v>
      </c>
      <c r="AF720">
        <v>1972.27</v>
      </c>
      <c r="AG720">
        <v>0.2</v>
      </c>
      <c r="AH720">
        <v>0.2</v>
      </c>
      <c r="AI720" t="str">
        <f t="shared" si="209"/>
        <v>Valid</v>
      </c>
      <c r="AJ720">
        <v>4733.45</v>
      </c>
      <c r="AK720">
        <f t="shared" si="210"/>
        <v>4733.4479999999994</v>
      </c>
      <c r="AL720">
        <v>3672.32</v>
      </c>
      <c r="AM720">
        <v>1061.1300000000001</v>
      </c>
      <c r="AN720">
        <f t="shared" si="211"/>
        <v>1061.1279999999992</v>
      </c>
      <c r="AO720">
        <f t="shared" si="212"/>
        <v>-3672.32</v>
      </c>
      <c r="AP720" t="s">
        <v>34</v>
      </c>
      <c r="AQ720" t="str">
        <f t="shared" si="213"/>
        <v>Paid</v>
      </c>
      <c r="AR720" t="s">
        <v>35</v>
      </c>
      <c r="AS720" t="str">
        <f t="shared" si="214"/>
        <v>Completed</v>
      </c>
      <c r="AT720" t="str">
        <f t="shared" si="215"/>
        <v>Clean</v>
      </c>
    </row>
    <row r="721" spans="1:46">
      <c r="A721" t="s">
        <v>3355</v>
      </c>
      <c r="B721">
        <f>COUNTIF($D$2:D721,D721)</f>
        <v>3</v>
      </c>
      <c r="C721" t="str">
        <f>IF(COUNTIF($A:$A,A721)=1,
"Unique",
IF(COUNTIFS($A:$A,A721,$N:$N,N721,$AF:$AF,AF721,$AJ:$AJ,AJ721)&gt;1,
"Exact Duplicate",
"Conflicting Duplicate"))</f>
        <v>Exact Duplicate</v>
      </c>
      <c r="D721" t="s">
        <v>1724</v>
      </c>
      <c r="E721" t="s">
        <v>1725</v>
      </c>
      <c r="F721" s="2">
        <v>45878</v>
      </c>
      <c r="G721" s="3">
        <v>45909</v>
      </c>
      <c r="H721" s="5" t="str">
        <f t="shared" si="198"/>
        <v>August</v>
      </c>
      <c r="I721" s="5">
        <f t="shared" si="199"/>
        <v>2025</v>
      </c>
      <c r="J721" t="str">
        <f>IF(F721="","Missing Date",
IF(ISNUMBER(F721),"Valid","Invalid Date"))</f>
        <v>Valid</v>
      </c>
      <c r="K721" t="str">
        <f t="shared" si="200"/>
        <v>Valid</v>
      </c>
      <c r="L721">
        <f>G721-F721</f>
        <v>31</v>
      </c>
      <c r="M721" t="s">
        <v>185</v>
      </c>
      <c r="N721" t="s">
        <v>366</v>
      </c>
      <c r="O721" t="str">
        <f t="shared" si="201"/>
        <v>Kabir Singh</v>
      </c>
      <c r="P721" t="s">
        <v>108</v>
      </c>
      <c r="Q721" t="str">
        <f t="shared" si="202"/>
        <v>Corporate</v>
      </c>
      <c r="R721" t="s">
        <v>73</v>
      </c>
      <c r="S721" t="str">
        <f t="shared" si="203"/>
        <v>West</v>
      </c>
      <c r="T721" t="s">
        <v>235</v>
      </c>
      <c r="U721" t="str">
        <f t="shared" si="204"/>
        <v>Gujarat</v>
      </c>
      <c r="V721" t="s">
        <v>236</v>
      </c>
      <c r="W721" t="str">
        <f t="shared" si="205"/>
        <v>Ahmedabad</v>
      </c>
      <c r="X721" t="s">
        <v>30</v>
      </c>
      <c r="Y721" t="str">
        <f t="shared" si="206"/>
        <v>Office Supplies</v>
      </c>
      <c r="Z721" t="s">
        <v>54</v>
      </c>
      <c r="AA721" t="str">
        <f t="shared" si="207"/>
        <v>Art</v>
      </c>
      <c r="AB721" t="s">
        <v>3356</v>
      </c>
      <c r="AC721" t="s">
        <v>48</v>
      </c>
      <c r="AD721" t="str">
        <f t="shared" si="208"/>
        <v>Same Day</v>
      </c>
      <c r="AE721">
        <v>2</v>
      </c>
      <c r="AF721">
        <v>2372.41</v>
      </c>
      <c r="AG721">
        <v>0.2</v>
      </c>
      <c r="AH721">
        <v>0.2</v>
      </c>
      <c r="AI721" t="str">
        <f t="shared" si="209"/>
        <v>Valid</v>
      </c>
      <c r="AJ721">
        <v>3795.86</v>
      </c>
      <c r="AK721">
        <f t="shared" si="210"/>
        <v>3795.8559999999998</v>
      </c>
      <c r="AL721">
        <v>2264.92</v>
      </c>
      <c r="AM721">
        <v>1530.94</v>
      </c>
      <c r="AN721">
        <f t="shared" si="211"/>
        <v>1530.9359999999997</v>
      </c>
      <c r="AO721">
        <f t="shared" si="212"/>
        <v>-2264.92</v>
      </c>
      <c r="AP721" t="s">
        <v>34</v>
      </c>
      <c r="AQ721" t="str">
        <f t="shared" si="213"/>
        <v>Paid</v>
      </c>
      <c r="AR721" t="s">
        <v>35</v>
      </c>
      <c r="AS721" t="str">
        <f t="shared" si="214"/>
        <v>Completed</v>
      </c>
      <c r="AT721" t="str">
        <f t="shared" si="215"/>
        <v>Clean</v>
      </c>
    </row>
    <row r="722" spans="1:46">
      <c r="A722" t="s">
        <v>3357</v>
      </c>
      <c r="B722">
        <f>COUNTIF($D$2:D722,D722)</f>
        <v>2</v>
      </c>
      <c r="C722" t="str">
        <f>IF(COUNTIF($A:$A,A722)=1,
"Unique",
IF(COUNTIFS($A:$A,A722,$N:$N,N722,$AF:$AF,AF722,$AJ:$AJ,AJ722)&gt;1,
"Exact Duplicate",
"Conflicting Duplicate"))</f>
        <v>Unique</v>
      </c>
      <c r="D722" t="s">
        <v>1109</v>
      </c>
      <c r="E722" t="s">
        <v>3358</v>
      </c>
      <c r="F722" s="3">
        <v>45489</v>
      </c>
      <c r="G722" s="3">
        <v>45489</v>
      </c>
      <c r="H722" s="5" t="str">
        <f t="shared" si="198"/>
        <v>July</v>
      </c>
      <c r="I722" s="5">
        <f t="shared" si="199"/>
        <v>2024</v>
      </c>
      <c r="J722" t="str">
        <f>IF(F722="","Missing Date",
IF(ISNUMBER(F722),"Valid","Invalid Date"))</f>
        <v>Valid</v>
      </c>
      <c r="K722" t="str">
        <f t="shared" si="200"/>
        <v>Valid</v>
      </c>
      <c r="L722">
        <f>G722-F722</f>
        <v>0</v>
      </c>
      <c r="M722" t="s">
        <v>3359</v>
      </c>
      <c r="N722" t="s">
        <v>107</v>
      </c>
      <c r="O722" t="str">
        <f t="shared" si="201"/>
        <v>Aditi Sen</v>
      </c>
      <c r="P722" t="s">
        <v>115</v>
      </c>
      <c r="Q722" t="str">
        <f t="shared" si="202"/>
        <v>Home Office</v>
      </c>
      <c r="R722" t="s">
        <v>73</v>
      </c>
      <c r="S722" t="str">
        <f t="shared" si="203"/>
        <v>West</v>
      </c>
      <c r="T722" t="s">
        <v>84</v>
      </c>
      <c r="U722" t="str">
        <f t="shared" si="204"/>
        <v>Madhya Pradesh</v>
      </c>
      <c r="V722" t="s">
        <v>85</v>
      </c>
      <c r="W722" t="str">
        <f t="shared" si="205"/>
        <v>Indore</v>
      </c>
      <c r="X722" t="s">
        <v>86</v>
      </c>
      <c r="Y722" t="str">
        <f t="shared" si="206"/>
        <v>Technology</v>
      </c>
      <c r="Z722" t="s">
        <v>94</v>
      </c>
      <c r="AA722" t="str">
        <f t="shared" si="207"/>
        <v>Copiers</v>
      </c>
      <c r="AB722" t="s">
        <v>3360</v>
      </c>
      <c r="AC722" t="s">
        <v>48</v>
      </c>
      <c r="AD722" t="str">
        <f t="shared" si="208"/>
        <v>Same Day</v>
      </c>
      <c r="AE722">
        <v>4</v>
      </c>
      <c r="AF722">
        <v>4479.92</v>
      </c>
      <c r="AG722">
        <v>0.15</v>
      </c>
      <c r="AH722">
        <v>0.15</v>
      </c>
      <c r="AI722" t="str">
        <f t="shared" si="209"/>
        <v>Valid</v>
      </c>
      <c r="AJ722">
        <v>15231.73</v>
      </c>
      <c r="AK722">
        <f t="shared" si="210"/>
        <v>15231.727999999999</v>
      </c>
      <c r="AL722">
        <v>12451.46</v>
      </c>
      <c r="AM722">
        <v>2780.27</v>
      </c>
      <c r="AN722">
        <f t="shared" si="211"/>
        <v>2780.268</v>
      </c>
      <c r="AO722">
        <f t="shared" si="212"/>
        <v>-12451.46</v>
      </c>
      <c r="AP722" t="s">
        <v>34</v>
      </c>
      <c r="AQ722" t="str">
        <f t="shared" si="213"/>
        <v>Paid</v>
      </c>
      <c r="AR722" t="s">
        <v>35</v>
      </c>
      <c r="AS722" t="str">
        <f t="shared" si="214"/>
        <v>Completed</v>
      </c>
      <c r="AT722" t="str">
        <f t="shared" si="215"/>
        <v>Clean</v>
      </c>
    </row>
    <row r="723" spans="1:46">
      <c r="A723" t="s">
        <v>3361</v>
      </c>
      <c r="B723">
        <f>COUNTIF($D$2:D723,D723)</f>
        <v>2</v>
      </c>
      <c r="C723" t="str">
        <f>IF(COUNTIF($A:$A,A723)=1,
"Unique",
IF(COUNTIFS($A:$A,A723,$N:$N,N723,$AF:$AF,AF723,$AJ:$AJ,AJ723)&gt;1,
"Exact Duplicate",
"Conflicting Duplicate"))</f>
        <v>Unique</v>
      </c>
      <c r="D723" t="s">
        <v>254</v>
      </c>
      <c r="E723" t="s">
        <v>3362</v>
      </c>
      <c r="F723" s="3">
        <v>45827</v>
      </c>
      <c r="G723" s="3">
        <v>45831</v>
      </c>
      <c r="H723" s="5" t="str">
        <f t="shared" si="198"/>
        <v>June</v>
      </c>
      <c r="I723" s="5">
        <f t="shared" si="199"/>
        <v>2025</v>
      </c>
      <c r="J723" t="str">
        <f>IF(F723="","Missing Date",
IF(ISNUMBER(F723),"Valid","Invalid Date"))</f>
        <v>Valid</v>
      </c>
      <c r="K723" t="str">
        <f t="shared" si="200"/>
        <v>Valid</v>
      </c>
      <c r="L723">
        <f>G723-F723</f>
        <v>4</v>
      </c>
      <c r="M723" t="s">
        <v>3363</v>
      </c>
      <c r="N723" t="s">
        <v>168</v>
      </c>
      <c r="O723" t="str">
        <f t="shared" si="201"/>
        <v>Sneha Kapoor</v>
      </c>
      <c r="P723" t="s">
        <v>26</v>
      </c>
      <c r="Q723" t="str">
        <f t="shared" si="202"/>
        <v>Consumer</v>
      </c>
      <c r="R723" t="s">
        <v>62</v>
      </c>
      <c r="S723" t="str">
        <f t="shared" si="203"/>
        <v>South</v>
      </c>
      <c r="T723" t="s">
        <v>229</v>
      </c>
      <c r="U723" t="str">
        <f t="shared" si="204"/>
        <v>Karnataka</v>
      </c>
      <c r="V723" t="s">
        <v>230</v>
      </c>
      <c r="W723" t="str">
        <f t="shared" si="205"/>
        <v>Bengaluru</v>
      </c>
      <c r="X723" t="s">
        <v>86</v>
      </c>
      <c r="Y723" t="str">
        <f t="shared" si="206"/>
        <v>Technology</v>
      </c>
      <c r="Z723" t="s">
        <v>94</v>
      </c>
      <c r="AA723" t="str">
        <f t="shared" si="207"/>
        <v>Copiers</v>
      </c>
      <c r="AB723" t="s">
        <v>3364</v>
      </c>
      <c r="AC723" t="s">
        <v>56</v>
      </c>
      <c r="AD723" t="str">
        <f t="shared" si="208"/>
        <v>First Class</v>
      </c>
      <c r="AE723">
        <v>5</v>
      </c>
      <c r="AF723">
        <v>2729.95</v>
      </c>
      <c r="AG723">
        <v>0</v>
      </c>
      <c r="AH723">
        <v>0</v>
      </c>
      <c r="AI723" t="str">
        <f t="shared" si="209"/>
        <v>Valid</v>
      </c>
      <c r="AJ723">
        <v>13649.75</v>
      </c>
      <c r="AK723">
        <f t="shared" si="210"/>
        <v>13649.75</v>
      </c>
      <c r="AL723">
        <v>10288.030000000001</v>
      </c>
      <c r="AM723">
        <v>3361.72</v>
      </c>
      <c r="AN723">
        <f t="shared" si="211"/>
        <v>3361.7199999999993</v>
      </c>
      <c r="AO723">
        <f t="shared" si="212"/>
        <v>-10288.030000000001</v>
      </c>
      <c r="AP723" t="s">
        <v>34</v>
      </c>
      <c r="AQ723" t="str">
        <f t="shared" si="213"/>
        <v>Paid</v>
      </c>
      <c r="AR723" t="s">
        <v>35</v>
      </c>
      <c r="AS723" t="str">
        <f t="shared" si="214"/>
        <v>Completed</v>
      </c>
      <c r="AT723" t="str">
        <f t="shared" si="215"/>
        <v>Clean</v>
      </c>
    </row>
    <row r="724" spans="1:46">
      <c r="A724" t="s">
        <v>3365</v>
      </c>
      <c r="B724">
        <f>COUNTIF($D$2:D724,D724)</f>
        <v>2</v>
      </c>
      <c r="C724" t="str">
        <f>IF(COUNTIF($A:$A,A724)=1,
"Unique",
IF(COUNTIFS($A:$A,A724,$N:$N,N724,$AF:$AF,AF724,$AJ:$AJ,AJ724)&gt;1,
"Exact Duplicate",
"Conflicting Duplicate"))</f>
        <v>Unique</v>
      </c>
      <c r="D724" t="s">
        <v>2557</v>
      </c>
      <c r="E724" t="s">
        <v>3366</v>
      </c>
      <c r="F724" s="3">
        <v>45483</v>
      </c>
      <c r="G724" s="2">
        <v>45575</v>
      </c>
      <c r="H724" s="5" t="str">
        <f t="shared" si="198"/>
        <v>July</v>
      </c>
      <c r="I724" s="5">
        <f t="shared" si="199"/>
        <v>2024</v>
      </c>
      <c r="J724" t="str">
        <f>IF(F724="","Missing Date",
IF(ISNUMBER(F724),"Valid","Invalid Date"))</f>
        <v>Valid</v>
      </c>
      <c r="K724" t="str">
        <f t="shared" si="200"/>
        <v>Valid</v>
      </c>
      <c r="L724">
        <f>G724-F724</f>
        <v>92</v>
      </c>
      <c r="M724" t="s">
        <v>3367</v>
      </c>
      <c r="N724" t="s">
        <v>83</v>
      </c>
      <c r="O724" t="str">
        <f t="shared" si="201"/>
        <v>Vikram Iyer</v>
      </c>
      <c r="P724" t="s">
        <v>26</v>
      </c>
      <c r="Q724" t="str">
        <f t="shared" si="202"/>
        <v>Consumer</v>
      </c>
      <c r="R724" t="s">
        <v>42</v>
      </c>
      <c r="S724" t="str">
        <f t="shared" si="203"/>
        <v>East</v>
      </c>
      <c r="T724" t="s">
        <v>121</v>
      </c>
      <c r="U724" t="str">
        <f t="shared" si="204"/>
        <v>West Bengal</v>
      </c>
      <c r="V724" t="s">
        <v>122</v>
      </c>
      <c r="W724" t="str">
        <f t="shared" si="205"/>
        <v>Kolkata</v>
      </c>
      <c r="X724" t="s">
        <v>45</v>
      </c>
      <c r="Y724" t="str">
        <f t="shared" si="206"/>
        <v>Furniture</v>
      </c>
      <c r="Z724" t="s">
        <v>76</v>
      </c>
      <c r="AA724" t="str">
        <f t="shared" si="207"/>
        <v>Chairs</v>
      </c>
      <c r="AB724" t="s">
        <v>3368</v>
      </c>
      <c r="AC724" t="s">
        <v>33</v>
      </c>
      <c r="AD724" t="str">
        <f t="shared" si="208"/>
        <v>Second Class</v>
      </c>
      <c r="AE724">
        <v>9</v>
      </c>
      <c r="AF724">
        <v>481.51</v>
      </c>
      <c r="AG724" t="s">
        <v>4104</v>
      </c>
      <c r="AH724" t="s">
        <v>4104</v>
      </c>
      <c r="AI724" t="str">
        <f t="shared" si="209"/>
        <v>Invalid - Above Range</v>
      </c>
      <c r="AJ724">
        <v>4333.59</v>
      </c>
      <c r="AK724" t="s">
        <v>4104</v>
      </c>
      <c r="AL724">
        <v>2533.59</v>
      </c>
      <c r="AM724">
        <v>1800</v>
      </c>
      <c r="AN724" t="s">
        <v>4104</v>
      </c>
      <c r="AO724" t="s">
        <v>4104</v>
      </c>
      <c r="AP724" t="s">
        <v>124</v>
      </c>
      <c r="AQ724" t="str">
        <f t="shared" si="213"/>
        <v>Refunded</v>
      </c>
      <c r="AR724" t="s">
        <v>78</v>
      </c>
      <c r="AS724" t="str">
        <f t="shared" si="214"/>
        <v>Cancelled</v>
      </c>
      <c r="AT724" t="str">
        <f t="shared" si="215"/>
        <v>Needs Review</v>
      </c>
    </row>
    <row r="725" spans="1:46">
      <c r="A725" t="s">
        <v>3369</v>
      </c>
      <c r="B725">
        <f>COUNTIF($D$2:D725,D725)</f>
        <v>2</v>
      </c>
      <c r="C725" t="str">
        <f>IF(COUNTIF($A:$A,A725)=1,
"Unique",
IF(COUNTIFS($A:$A,A725,$N:$N,N725,$AF:$AF,AF725,$AJ:$AJ,AJ725)&gt;1,
"Exact Duplicate",
"Conflicting Duplicate"))</f>
        <v>Unique</v>
      </c>
      <c r="D725" t="s">
        <v>887</v>
      </c>
      <c r="E725" t="s">
        <v>3370</v>
      </c>
      <c r="F725" s="3">
        <v>45936</v>
      </c>
      <c r="G725" s="3">
        <v>45943</v>
      </c>
      <c r="H725" s="5" t="str">
        <f t="shared" si="198"/>
        <v>October</v>
      </c>
      <c r="I725" s="5">
        <f t="shared" si="199"/>
        <v>2025</v>
      </c>
      <c r="J725" t="str">
        <f>IF(F725="","Missing Date",
IF(ISNUMBER(F725),"Valid","Invalid Date"))</f>
        <v>Valid</v>
      </c>
      <c r="K725" t="str">
        <f t="shared" si="200"/>
        <v>Valid</v>
      </c>
      <c r="L725">
        <f>G725-F725</f>
        <v>7</v>
      </c>
      <c r="M725" t="s">
        <v>3371</v>
      </c>
      <c r="N725" t="s">
        <v>366</v>
      </c>
      <c r="O725" t="str">
        <f t="shared" si="201"/>
        <v>Kabir Singh</v>
      </c>
      <c r="P725" t="s">
        <v>115</v>
      </c>
      <c r="Q725" t="str">
        <f t="shared" si="202"/>
        <v>Home Office</v>
      </c>
      <c r="R725" t="s">
        <v>42</v>
      </c>
      <c r="S725" t="str">
        <f t="shared" si="203"/>
        <v>East</v>
      </c>
      <c r="T725" t="s">
        <v>311</v>
      </c>
      <c r="U725" t="str">
        <f t="shared" si="204"/>
        <v>Jharkhand</v>
      </c>
      <c r="V725" t="s">
        <v>312</v>
      </c>
      <c r="W725" t="str">
        <f t="shared" si="205"/>
        <v>Ranchi</v>
      </c>
      <c r="X725" t="s">
        <v>86</v>
      </c>
      <c r="Y725" t="str">
        <f t="shared" si="206"/>
        <v>Technology</v>
      </c>
      <c r="Z725" t="s">
        <v>87</v>
      </c>
      <c r="AA725" t="str">
        <f t="shared" si="207"/>
        <v>Accessories</v>
      </c>
      <c r="AB725" t="s">
        <v>3372</v>
      </c>
      <c r="AC725" t="s">
        <v>67</v>
      </c>
      <c r="AD725" t="str">
        <f t="shared" si="208"/>
        <v>Standard Class</v>
      </c>
      <c r="AE725">
        <v>6</v>
      </c>
      <c r="AF725">
        <v>2391.9299999999998</v>
      </c>
      <c r="AG725">
        <v>0.05</v>
      </c>
      <c r="AH725">
        <v>0.05</v>
      </c>
      <c r="AI725" t="str">
        <f t="shared" si="209"/>
        <v>Valid</v>
      </c>
      <c r="AJ725">
        <v>13634</v>
      </c>
      <c r="AK725">
        <f t="shared" si="210"/>
        <v>13634.000999999998</v>
      </c>
      <c r="AL725">
        <v>9589.81</v>
      </c>
      <c r="AM725">
        <v>4044.19</v>
      </c>
      <c r="AN725">
        <f t="shared" si="211"/>
        <v>4044.1909999999989</v>
      </c>
      <c r="AO725">
        <f t="shared" si="212"/>
        <v>-9589.81</v>
      </c>
      <c r="AP725" t="s">
        <v>200</v>
      </c>
      <c r="AQ725" t="str">
        <f t="shared" si="213"/>
        <v>Failed</v>
      </c>
      <c r="AR725" t="s">
        <v>125</v>
      </c>
      <c r="AS725" t="str">
        <f t="shared" si="214"/>
        <v>Returned</v>
      </c>
      <c r="AT725" t="str">
        <f t="shared" si="215"/>
        <v>Clean</v>
      </c>
    </row>
    <row r="726" spans="1:46">
      <c r="A726" t="s">
        <v>3373</v>
      </c>
      <c r="B726">
        <f>COUNTIF($D$2:D726,D726)</f>
        <v>2</v>
      </c>
      <c r="C726" t="str">
        <f>IF(COUNTIF($A:$A,A726)=1,
"Unique",
IF(COUNTIFS($A:$A,A726,$N:$N,N726,$AF:$AF,AF726,$AJ:$AJ,AJ726)&gt;1,
"Exact Duplicate",
"Conflicting Duplicate"))</f>
        <v>Unique</v>
      </c>
      <c r="D726" t="s">
        <v>3374</v>
      </c>
      <c r="E726" t="s">
        <v>1611</v>
      </c>
      <c r="F726" s="3">
        <v>45332</v>
      </c>
      <c r="G726" s="3">
        <v>45338</v>
      </c>
      <c r="H726" s="5" t="str">
        <f t="shared" si="198"/>
        <v>February</v>
      </c>
      <c r="I726" s="5">
        <f t="shared" si="199"/>
        <v>2024</v>
      </c>
      <c r="J726" t="str">
        <f>IF(F726="","Missing Date",
IF(ISNUMBER(F726),"Valid","Invalid Date"))</f>
        <v>Valid</v>
      </c>
      <c r="K726" t="str">
        <f t="shared" si="200"/>
        <v>Valid</v>
      </c>
      <c r="L726">
        <f>G726-F726</f>
        <v>6</v>
      </c>
      <c r="M726" t="s">
        <v>3375</v>
      </c>
      <c r="N726" t="s">
        <v>25</v>
      </c>
      <c r="O726" t="str">
        <f t="shared" si="201"/>
        <v>Karan Malhotra</v>
      </c>
      <c r="P726" t="s">
        <v>26</v>
      </c>
      <c r="Q726" t="str">
        <f t="shared" si="202"/>
        <v>Consumer</v>
      </c>
      <c r="R726" t="s">
        <v>73</v>
      </c>
      <c r="S726" t="str">
        <f t="shared" si="203"/>
        <v>West</v>
      </c>
      <c r="T726" t="s">
        <v>249</v>
      </c>
      <c r="U726" t="str">
        <f t="shared" si="204"/>
        <v>Goa</v>
      </c>
      <c r="V726" t="s">
        <v>250</v>
      </c>
      <c r="W726" t="str">
        <f t="shared" si="205"/>
        <v>Panaji</v>
      </c>
      <c r="X726" t="s">
        <v>45</v>
      </c>
      <c r="Y726" t="str">
        <f t="shared" si="206"/>
        <v>Furniture</v>
      </c>
      <c r="Z726" t="s">
        <v>65</v>
      </c>
      <c r="AA726" t="str">
        <f t="shared" si="207"/>
        <v>Furnishings</v>
      </c>
      <c r="AB726" t="s">
        <v>3376</v>
      </c>
      <c r="AC726" t="s">
        <v>33</v>
      </c>
      <c r="AD726" t="str">
        <f t="shared" si="208"/>
        <v>Second Class</v>
      </c>
      <c r="AE726">
        <v>3</v>
      </c>
      <c r="AF726">
        <v>253.43</v>
      </c>
      <c r="AG726">
        <v>0</v>
      </c>
      <c r="AH726">
        <v>0</v>
      </c>
      <c r="AI726" t="str">
        <f t="shared" si="209"/>
        <v>Valid</v>
      </c>
      <c r="AJ726">
        <v>760.29</v>
      </c>
      <c r="AK726">
        <f t="shared" si="210"/>
        <v>760.29</v>
      </c>
      <c r="AL726">
        <v>497.77</v>
      </c>
      <c r="AM726">
        <v>262.52</v>
      </c>
      <c r="AN726">
        <f t="shared" si="211"/>
        <v>262.52</v>
      </c>
      <c r="AO726">
        <f t="shared" si="212"/>
        <v>-497.77</v>
      </c>
      <c r="AP726" t="s">
        <v>34</v>
      </c>
      <c r="AQ726" t="str">
        <f t="shared" si="213"/>
        <v>Paid</v>
      </c>
      <c r="AR726" t="s">
        <v>35</v>
      </c>
      <c r="AS726" t="str">
        <f t="shared" si="214"/>
        <v>Completed</v>
      </c>
      <c r="AT726" t="str">
        <f t="shared" si="215"/>
        <v>Clean</v>
      </c>
    </row>
    <row r="727" spans="1:46">
      <c r="A727" t="s">
        <v>3377</v>
      </c>
      <c r="B727">
        <f>COUNTIF($D$2:D727,D727)</f>
        <v>1</v>
      </c>
      <c r="C727" t="str">
        <f>IF(COUNTIF($A:$A,A727)=1,
"Unique",
IF(COUNTIFS($A:$A,A727,$N:$N,N727,$AF:$AF,AF727,$AJ:$AJ,AJ727)&gt;1,
"Exact Duplicate",
"Conflicting Duplicate"))</f>
        <v>Unique</v>
      </c>
      <c r="D727" t="s">
        <v>3378</v>
      </c>
      <c r="E727" t="s">
        <v>139</v>
      </c>
      <c r="F727" s="3">
        <v>45935</v>
      </c>
      <c r="G727" s="3">
        <v>46001</v>
      </c>
      <c r="H727" s="5" t="str">
        <f t="shared" si="198"/>
        <v>October</v>
      </c>
      <c r="I727" s="5">
        <f t="shared" si="199"/>
        <v>2025</v>
      </c>
      <c r="J727" t="str">
        <f>IF(F727="","Missing Date",
IF(ISNUMBER(F727),"Valid","Invalid Date"))</f>
        <v>Valid</v>
      </c>
      <c r="K727" t="str">
        <f t="shared" si="200"/>
        <v>Valid</v>
      </c>
      <c r="L727">
        <f>G727-F727</f>
        <v>66</v>
      </c>
      <c r="M727" t="s">
        <v>3379</v>
      </c>
      <c r="N727" t="s">
        <v>142</v>
      </c>
      <c r="O727" t="str">
        <f t="shared" si="201"/>
        <v>Priya Menon</v>
      </c>
      <c r="P727" t="s">
        <v>108</v>
      </c>
      <c r="Q727" t="str">
        <f t="shared" si="202"/>
        <v>Corporate</v>
      </c>
      <c r="R727" t="s">
        <v>62</v>
      </c>
      <c r="S727" t="str">
        <f t="shared" si="203"/>
        <v>South</v>
      </c>
      <c r="T727" t="s">
        <v>229</v>
      </c>
      <c r="U727" t="str">
        <f t="shared" si="204"/>
        <v>Karnataka</v>
      </c>
      <c r="V727" t="s">
        <v>230</v>
      </c>
      <c r="W727" t="str">
        <f t="shared" si="205"/>
        <v>Bengaluru</v>
      </c>
      <c r="X727" t="s">
        <v>45</v>
      </c>
      <c r="Y727" t="str">
        <f t="shared" si="206"/>
        <v>Furniture</v>
      </c>
      <c r="Z727" t="s">
        <v>46</v>
      </c>
      <c r="AA727" t="str">
        <f t="shared" si="207"/>
        <v>Tables</v>
      </c>
      <c r="AB727" t="s">
        <v>3380</v>
      </c>
      <c r="AC727" t="s">
        <v>33</v>
      </c>
      <c r="AD727" t="str">
        <f t="shared" si="208"/>
        <v>Second Class</v>
      </c>
      <c r="AE727">
        <v>7</v>
      </c>
      <c r="AF727">
        <v>2134.73</v>
      </c>
      <c r="AG727">
        <v>0</v>
      </c>
      <c r="AH727">
        <v>0</v>
      </c>
      <c r="AI727" t="str">
        <f t="shared" si="209"/>
        <v>Valid</v>
      </c>
      <c r="AJ727">
        <v>14943.11</v>
      </c>
      <c r="AK727">
        <f t="shared" si="210"/>
        <v>14943.11</v>
      </c>
      <c r="AL727">
        <v>8521.5</v>
      </c>
      <c r="AM727">
        <v>6421.61</v>
      </c>
      <c r="AN727">
        <f t="shared" si="211"/>
        <v>6421.6100000000006</v>
      </c>
      <c r="AO727">
        <f t="shared" si="212"/>
        <v>-8521.5</v>
      </c>
      <c r="AP727" t="s">
        <v>34</v>
      </c>
      <c r="AQ727" t="str">
        <f t="shared" si="213"/>
        <v>Paid</v>
      </c>
      <c r="AR727" t="s">
        <v>35</v>
      </c>
      <c r="AS727" t="str">
        <f t="shared" si="214"/>
        <v>Completed</v>
      </c>
      <c r="AT727" t="str">
        <f t="shared" si="215"/>
        <v>Clean</v>
      </c>
    </row>
    <row r="728" spans="1:46">
      <c r="A728" t="s">
        <v>3381</v>
      </c>
      <c r="B728">
        <f>COUNTIF($D$2:D728,D728)</f>
        <v>1</v>
      </c>
      <c r="C728" t="str">
        <f>IF(COUNTIF($A:$A,A728)=1,
"Unique",
IF(COUNTIFS($A:$A,A728,$N:$N,N728,$AF:$AF,AF728,$AJ:$AJ,AJ728)&gt;1,
"Exact Duplicate",
"Conflicting Duplicate"))</f>
        <v>Unique</v>
      </c>
      <c r="D728" t="s">
        <v>3382</v>
      </c>
      <c r="E728" t="s">
        <v>3383</v>
      </c>
      <c r="F728" s="3">
        <v>45308</v>
      </c>
      <c r="G728" s="3">
        <v>45314</v>
      </c>
      <c r="H728" s="5" t="str">
        <f t="shared" si="198"/>
        <v>January</v>
      </c>
      <c r="I728" s="5">
        <f t="shared" si="199"/>
        <v>2024</v>
      </c>
      <c r="J728" t="str">
        <f>IF(F728="","Missing Date",
IF(ISNUMBER(F728),"Valid","Invalid Date"))</f>
        <v>Valid</v>
      </c>
      <c r="K728" t="str">
        <f t="shared" si="200"/>
        <v>Valid</v>
      </c>
      <c r="L728">
        <f>G728-F728</f>
        <v>6</v>
      </c>
      <c r="M728" t="s">
        <v>3384</v>
      </c>
      <c r="N728" t="s">
        <v>366</v>
      </c>
      <c r="O728" t="str">
        <f t="shared" si="201"/>
        <v>Kabir Singh</v>
      </c>
      <c r="P728" t="s">
        <v>115</v>
      </c>
      <c r="Q728" t="str">
        <f t="shared" si="202"/>
        <v>Home Office</v>
      </c>
      <c r="R728" t="s">
        <v>73</v>
      </c>
      <c r="S728" t="str">
        <f t="shared" si="203"/>
        <v>West</v>
      </c>
      <c r="T728" t="s">
        <v>235</v>
      </c>
      <c r="U728" t="str">
        <f t="shared" si="204"/>
        <v>Gujarat</v>
      </c>
      <c r="V728" t="s">
        <v>236</v>
      </c>
      <c r="W728" t="str">
        <f t="shared" si="205"/>
        <v>Ahmedabad</v>
      </c>
      <c r="X728" t="s">
        <v>86</v>
      </c>
      <c r="Y728" t="str">
        <f t="shared" si="206"/>
        <v>Technology</v>
      </c>
      <c r="Z728" t="s">
        <v>223</v>
      </c>
      <c r="AA728" t="str">
        <f t="shared" si="207"/>
        <v>Phones</v>
      </c>
      <c r="AB728" t="s">
        <v>3385</v>
      </c>
      <c r="AC728" t="s">
        <v>67</v>
      </c>
      <c r="AD728" t="str">
        <f t="shared" si="208"/>
        <v>Standard Class</v>
      </c>
      <c r="AE728">
        <v>5</v>
      </c>
      <c r="AF728">
        <v>2018</v>
      </c>
      <c r="AG728">
        <v>0.2</v>
      </c>
      <c r="AH728">
        <v>0.2</v>
      </c>
      <c r="AI728" t="str">
        <f t="shared" si="209"/>
        <v>Valid</v>
      </c>
      <c r="AJ728">
        <v>8072</v>
      </c>
      <c r="AK728">
        <f t="shared" si="210"/>
        <v>8072</v>
      </c>
      <c r="AL728">
        <v>5379.22</v>
      </c>
      <c r="AM728">
        <v>2692.78</v>
      </c>
      <c r="AN728">
        <f t="shared" si="211"/>
        <v>2692.7799999999997</v>
      </c>
      <c r="AO728">
        <f t="shared" si="212"/>
        <v>-5379.22</v>
      </c>
      <c r="AP728" t="s">
        <v>137</v>
      </c>
      <c r="AQ728" t="str">
        <f t="shared" si="213"/>
        <v>Pending</v>
      </c>
      <c r="AR728" t="s">
        <v>125</v>
      </c>
      <c r="AS728" t="str">
        <f t="shared" si="214"/>
        <v>Returned</v>
      </c>
      <c r="AT728" t="str">
        <f t="shared" si="215"/>
        <v>Clean</v>
      </c>
    </row>
    <row r="729" spans="1:46">
      <c r="A729" t="s">
        <v>3386</v>
      </c>
      <c r="B729">
        <f>COUNTIF($D$2:D729,D729)</f>
        <v>1</v>
      </c>
      <c r="C729" t="str">
        <f>IF(COUNTIF($A:$A,A729)=1,
"Unique",
IF(COUNTIFS($A:$A,A729,$N:$N,N729,$AF:$AF,AF729,$AJ:$AJ,AJ729)&gt;1,
"Exact Duplicate",
"Conflicting Duplicate"))</f>
        <v>Unique</v>
      </c>
      <c r="D729" t="s">
        <v>3387</v>
      </c>
      <c r="E729" t="s">
        <v>3387</v>
      </c>
      <c r="F729" s="2">
        <v>45578</v>
      </c>
      <c r="G729" s="2">
        <v>45578</v>
      </c>
      <c r="H729" s="5" t="str">
        <f t="shared" si="198"/>
        <v>October</v>
      </c>
      <c r="I729" s="5">
        <f t="shared" si="199"/>
        <v>2024</v>
      </c>
      <c r="J729" t="str">
        <f>IF(F729="","Missing Date",
IF(ISNUMBER(F729),"Valid","Invalid Date"))</f>
        <v>Valid</v>
      </c>
      <c r="K729" t="str">
        <f t="shared" si="200"/>
        <v>Valid</v>
      </c>
      <c r="L729">
        <f>G729-F729</f>
        <v>0</v>
      </c>
      <c r="M729" t="s">
        <v>3388</v>
      </c>
      <c r="N729" t="s">
        <v>162</v>
      </c>
      <c r="O729" t="str">
        <f t="shared" si="201"/>
        <v>Aarav Sharma</v>
      </c>
      <c r="P729" t="s">
        <v>41</v>
      </c>
      <c r="Q729" t="str">
        <f t="shared" si="202"/>
        <v>Small Business</v>
      </c>
      <c r="R729" t="s">
        <v>42</v>
      </c>
      <c r="S729" t="str">
        <f t="shared" si="203"/>
        <v>East</v>
      </c>
      <c r="T729" t="s">
        <v>216</v>
      </c>
      <c r="U729" t="str">
        <f t="shared" si="204"/>
        <v>Assam</v>
      </c>
      <c r="V729" t="s">
        <v>217</v>
      </c>
      <c r="W729" t="str">
        <f t="shared" si="205"/>
        <v>Guwahati</v>
      </c>
      <c r="X729" t="s">
        <v>86</v>
      </c>
      <c r="Y729" t="str">
        <f t="shared" si="206"/>
        <v>Technology</v>
      </c>
      <c r="Z729" t="s">
        <v>87</v>
      </c>
      <c r="AA729" t="str">
        <f t="shared" si="207"/>
        <v>Accessories</v>
      </c>
      <c r="AB729" t="s">
        <v>3389</v>
      </c>
      <c r="AC729" t="s">
        <v>33</v>
      </c>
      <c r="AD729" t="str">
        <f t="shared" si="208"/>
        <v>Second Class</v>
      </c>
      <c r="AE729">
        <v>8</v>
      </c>
      <c r="AF729">
        <v>3730.66</v>
      </c>
      <c r="AG729">
        <v>0.05</v>
      </c>
      <c r="AH729">
        <v>0.05</v>
      </c>
      <c r="AI729" t="str">
        <f t="shared" si="209"/>
        <v>Valid</v>
      </c>
      <c r="AJ729">
        <v>28353.02</v>
      </c>
      <c r="AK729">
        <f t="shared" si="210"/>
        <v>28353.015999999996</v>
      </c>
      <c r="AL729">
        <v>19257.849999999999</v>
      </c>
      <c r="AM729">
        <v>9095.17</v>
      </c>
      <c r="AN729">
        <f t="shared" si="211"/>
        <v>9095.1659999999974</v>
      </c>
      <c r="AO729">
        <f t="shared" si="212"/>
        <v>-19257.849999999999</v>
      </c>
      <c r="AP729" t="s">
        <v>34</v>
      </c>
      <c r="AQ729" t="str">
        <f t="shared" si="213"/>
        <v>Paid</v>
      </c>
      <c r="AR729" t="s">
        <v>35</v>
      </c>
      <c r="AS729" t="str">
        <f t="shared" si="214"/>
        <v>Completed</v>
      </c>
      <c r="AT729" t="str">
        <f t="shared" si="215"/>
        <v>Clean</v>
      </c>
    </row>
    <row r="730" spans="1:46">
      <c r="A730" t="s">
        <v>3390</v>
      </c>
      <c r="B730">
        <f>COUNTIF($D$2:D730,D730)</f>
        <v>4</v>
      </c>
      <c r="C730" t="str">
        <f>IF(COUNTIF($A:$A,A730)=1,
"Unique",
IF(COUNTIFS($A:$A,A730,$N:$N,N730,$AF:$AF,AF730,$AJ:$AJ,AJ730)&gt;1,
"Exact Duplicate",
"Conflicting Duplicate"))</f>
        <v>Unique</v>
      </c>
      <c r="D730" t="s">
        <v>3052</v>
      </c>
      <c r="E730" t="s">
        <v>1762</v>
      </c>
      <c r="F730" s="3">
        <v>45383</v>
      </c>
      <c r="G730" s="3">
        <v>45474</v>
      </c>
      <c r="H730" s="5" t="str">
        <f t="shared" si="198"/>
        <v>April</v>
      </c>
      <c r="I730" s="5">
        <f t="shared" si="199"/>
        <v>2024</v>
      </c>
      <c r="J730" t="str">
        <f>IF(F730="","Missing Date",
IF(ISNUMBER(F730),"Valid","Invalid Date"))</f>
        <v>Valid</v>
      </c>
      <c r="K730" t="str">
        <f t="shared" si="200"/>
        <v>Valid</v>
      </c>
      <c r="L730">
        <f>G730-F730</f>
        <v>91</v>
      </c>
      <c r="M730" t="s">
        <v>3391</v>
      </c>
      <c r="N730" t="s">
        <v>168</v>
      </c>
      <c r="O730" t="str">
        <f t="shared" si="201"/>
        <v>Sneha Kapoor</v>
      </c>
      <c r="P730" t="s">
        <v>41</v>
      </c>
      <c r="Q730" t="str">
        <f t="shared" si="202"/>
        <v>Small Business</v>
      </c>
      <c r="R730" t="s">
        <v>62</v>
      </c>
      <c r="S730" t="str">
        <f t="shared" si="203"/>
        <v>South</v>
      </c>
      <c r="T730" t="s">
        <v>229</v>
      </c>
      <c r="U730" t="str">
        <f t="shared" si="204"/>
        <v>Karnataka</v>
      </c>
      <c r="V730" t="s">
        <v>230</v>
      </c>
      <c r="W730" t="str">
        <f t="shared" si="205"/>
        <v>Bengaluru</v>
      </c>
      <c r="X730" t="s">
        <v>86</v>
      </c>
      <c r="Y730" t="str">
        <f t="shared" si="206"/>
        <v>Technology</v>
      </c>
      <c r="Z730" t="s">
        <v>382</v>
      </c>
      <c r="AA730" t="str">
        <f t="shared" si="207"/>
        <v>Machines</v>
      </c>
      <c r="AB730" t="s">
        <v>3392</v>
      </c>
      <c r="AC730" t="s">
        <v>56</v>
      </c>
      <c r="AD730" t="str">
        <f t="shared" si="208"/>
        <v>First Class</v>
      </c>
      <c r="AE730">
        <v>1</v>
      </c>
      <c r="AF730">
        <v>2363.02</v>
      </c>
      <c r="AG730">
        <v>0.15</v>
      </c>
      <c r="AH730">
        <v>0.15</v>
      </c>
      <c r="AI730" t="str">
        <f t="shared" si="209"/>
        <v>Valid</v>
      </c>
      <c r="AJ730">
        <v>2008.57</v>
      </c>
      <c r="AK730">
        <f t="shared" si="210"/>
        <v>2008.567</v>
      </c>
      <c r="AL730">
        <v>1194.83</v>
      </c>
      <c r="AM730">
        <v>813.74</v>
      </c>
      <c r="AN730">
        <f t="shared" si="211"/>
        <v>813.73700000000008</v>
      </c>
      <c r="AO730">
        <f t="shared" si="212"/>
        <v>-1194.83</v>
      </c>
      <c r="AP730" t="s">
        <v>34</v>
      </c>
      <c r="AQ730" t="str">
        <f t="shared" si="213"/>
        <v>Paid</v>
      </c>
      <c r="AR730" t="s">
        <v>35</v>
      </c>
      <c r="AS730" t="str">
        <f t="shared" si="214"/>
        <v>Completed</v>
      </c>
      <c r="AT730" t="str">
        <f t="shared" si="215"/>
        <v>Clean</v>
      </c>
    </row>
    <row r="731" spans="1:46">
      <c r="A731" t="s">
        <v>3393</v>
      </c>
      <c r="B731">
        <f>COUNTIF($D$2:D731,D731)</f>
        <v>1</v>
      </c>
      <c r="C731" t="str">
        <f>IF(COUNTIF($A:$A,A731)=1,
"Unique",
IF(COUNTIFS($A:$A,A731,$N:$N,N731,$AF:$AF,AF731,$AJ:$AJ,AJ731)&gt;1,
"Exact Duplicate",
"Conflicting Duplicate"))</f>
        <v>Exact Duplicate</v>
      </c>
      <c r="D731" t="s">
        <v>3394</v>
      </c>
      <c r="E731" t="s">
        <v>3395</v>
      </c>
      <c r="F731" s="3">
        <v>45794</v>
      </c>
      <c r="G731" s="2">
        <v>45802</v>
      </c>
      <c r="H731" s="5" t="str">
        <f t="shared" si="198"/>
        <v>May</v>
      </c>
      <c r="I731" s="5">
        <f t="shared" si="199"/>
        <v>2025</v>
      </c>
      <c r="J731" t="str">
        <f>IF(F731="","Missing Date",
IF(ISNUMBER(F731),"Valid","Invalid Date"))</f>
        <v>Valid</v>
      </c>
      <c r="K731" t="str">
        <f t="shared" si="200"/>
        <v>Valid</v>
      </c>
      <c r="L731">
        <f>G731-F731</f>
        <v>8</v>
      </c>
      <c r="M731" t="s">
        <v>3396</v>
      </c>
      <c r="N731" t="s">
        <v>72</v>
      </c>
      <c r="O731" t="str">
        <f t="shared" si="201"/>
        <v>Ananya Rao</v>
      </c>
      <c r="P731" t="s">
        <v>108</v>
      </c>
      <c r="Q731" t="str">
        <f t="shared" si="202"/>
        <v>Corporate</v>
      </c>
      <c r="R731" t="s">
        <v>62</v>
      </c>
      <c r="S731" t="str">
        <f t="shared" si="203"/>
        <v>South</v>
      </c>
      <c r="T731" t="s">
        <v>339</v>
      </c>
      <c r="U731" t="str">
        <f t="shared" si="204"/>
        <v>Tamil Nadu</v>
      </c>
      <c r="V731" t="s">
        <v>340</v>
      </c>
      <c r="W731" t="str">
        <f t="shared" si="205"/>
        <v>Chennai</v>
      </c>
      <c r="X731" t="s">
        <v>86</v>
      </c>
      <c r="Y731" t="str">
        <f t="shared" si="206"/>
        <v>Technology</v>
      </c>
      <c r="Z731" t="s">
        <v>382</v>
      </c>
      <c r="AA731" t="str">
        <f t="shared" si="207"/>
        <v>Machines</v>
      </c>
      <c r="AB731" t="s">
        <v>3397</v>
      </c>
      <c r="AC731" t="s">
        <v>48</v>
      </c>
      <c r="AD731" t="str">
        <f t="shared" si="208"/>
        <v>Same Day</v>
      </c>
      <c r="AE731">
        <v>6</v>
      </c>
      <c r="AF731">
        <v>1810.63</v>
      </c>
      <c r="AG731">
        <v>0.15</v>
      </c>
      <c r="AH731">
        <v>0.15</v>
      </c>
      <c r="AI731" t="str">
        <f t="shared" si="209"/>
        <v>Valid</v>
      </c>
      <c r="AJ731">
        <v>9234.2099999999991</v>
      </c>
      <c r="AK731">
        <f t="shared" si="210"/>
        <v>9234.2129999999997</v>
      </c>
      <c r="AL731">
        <v>5516.52</v>
      </c>
      <c r="AM731">
        <v>3717.69</v>
      </c>
      <c r="AN731">
        <f t="shared" si="211"/>
        <v>3717.6929999999993</v>
      </c>
      <c r="AO731">
        <f t="shared" si="212"/>
        <v>-5516.52</v>
      </c>
      <c r="AP731" t="s">
        <v>34</v>
      </c>
      <c r="AQ731" t="str">
        <f t="shared" si="213"/>
        <v>Paid</v>
      </c>
      <c r="AR731" t="s">
        <v>35</v>
      </c>
      <c r="AS731" t="str">
        <f t="shared" si="214"/>
        <v>Completed</v>
      </c>
      <c r="AT731" t="str">
        <f t="shared" si="215"/>
        <v>Clean</v>
      </c>
    </row>
    <row r="732" spans="1:46">
      <c r="A732" t="s">
        <v>3398</v>
      </c>
      <c r="B732">
        <f>COUNTIF($D$2:D732,D732)</f>
        <v>1</v>
      </c>
      <c r="C732" t="str">
        <f>IF(COUNTIF($A:$A,A732)=1,
"Unique",
IF(COUNTIFS($A:$A,A732,$N:$N,N732,$AF:$AF,AF732,$AJ:$AJ,AJ732)&gt;1,
"Exact Duplicate",
"Conflicting Duplicate"))</f>
        <v>Unique</v>
      </c>
      <c r="D732" t="s">
        <v>3399</v>
      </c>
      <c r="E732" t="s">
        <v>3310</v>
      </c>
      <c r="F732" s="3">
        <v>45827</v>
      </c>
      <c r="G732" s="3">
        <v>45832</v>
      </c>
      <c r="H732" s="5" t="str">
        <f t="shared" si="198"/>
        <v>June</v>
      </c>
      <c r="I732" s="5">
        <f t="shared" si="199"/>
        <v>2025</v>
      </c>
      <c r="J732" t="str">
        <f>IF(F732="","Missing Date",
IF(ISNUMBER(F732),"Valid","Invalid Date"))</f>
        <v>Valid</v>
      </c>
      <c r="K732" t="str">
        <f t="shared" si="200"/>
        <v>Valid</v>
      </c>
      <c r="L732">
        <f>G732-F732</f>
        <v>5</v>
      </c>
      <c r="M732" t="s">
        <v>3400</v>
      </c>
      <c r="N732" t="s">
        <v>61</v>
      </c>
      <c r="O732" t="str">
        <f t="shared" si="201"/>
        <v>Arjun Bose</v>
      </c>
      <c r="P732" t="s">
        <v>26</v>
      </c>
      <c r="Q732" t="str">
        <f t="shared" si="202"/>
        <v>Consumer</v>
      </c>
      <c r="R732" t="s">
        <v>42</v>
      </c>
      <c r="S732" t="str">
        <f t="shared" si="203"/>
        <v>East</v>
      </c>
      <c r="T732" t="s">
        <v>121</v>
      </c>
      <c r="U732" t="str">
        <f t="shared" si="204"/>
        <v>West Bengal</v>
      </c>
      <c r="V732" t="s">
        <v>122</v>
      </c>
      <c r="W732" t="str">
        <f t="shared" si="205"/>
        <v>Kolkata</v>
      </c>
      <c r="X732" t="s">
        <v>30</v>
      </c>
      <c r="Y732" t="str">
        <f t="shared" si="206"/>
        <v>Office Supplies</v>
      </c>
      <c r="Z732" t="s">
        <v>54</v>
      </c>
      <c r="AA732" t="str">
        <f t="shared" si="207"/>
        <v>Art</v>
      </c>
      <c r="AB732" t="s">
        <v>3401</v>
      </c>
      <c r="AC732" t="s">
        <v>33</v>
      </c>
      <c r="AD732" t="str">
        <f t="shared" si="208"/>
        <v>Second Class</v>
      </c>
      <c r="AE732">
        <v>4</v>
      </c>
      <c r="AF732">
        <v>782.01</v>
      </c>
      <c r="AG732">
        <v>0.15</v>
      </c>
      <c r="AH732">
        <v>0.15</v>
      </c>
      <c r="AI732" t="str">
        <f t="shared" si="209"/>
        <v>Valid</v>
      </c>
      <c r="AJ732">
        <v>2658.83</v>
      </c>
      <c r="AK732">
        <f t="shared" si="210"/>
        <v>2658.8339999999998</v>
      </c>
      <c r="AL732">
        <v>2226.9699999999998</v>
      </c>
      <c r="AM732">
        <v>431.86</v>
      </c>
      <c r="AN732">
        <f t="shared" si="211"/>
        <v>431.86400000000003</v>
      </c>
      <c r="AO732">
        <f t="shared" si="212"/>
        <v>-2226.9699999999998</v>
      </c>
      <c r="AP732" t="s">
        <v>124</v>
      </c>
      <c r="AQ732" t="str">
        <f t="shared" si="213"/>
        <v>Refunded</v>
      </c>
      <c r="AR732" t="s">
        <v>125</v>
      </c>
      <c r="AS732" t="str">
        <f t="shared" si="214"/>
        <v>Returned</v>
      </c>
      <c r="AT732" t="str">
        <f t="shared" si="215"/>
        <v>Clean</v>
      </c>
    </row>
    <row r="733" spans="1:46">
      <c r="A733" t="s">
        <v>3402</v>
      </c>
      <c r="B733">
        <f>COUNTIF($D$2:D733,D733)</f>
        <v>3</v>
      </c>
      <c r="C733" t="str">
        <f>IF(COUNTIF($A:$A,A733)=1,
"Unique",
IF(COUNTIFS($A:$A,A733,$N:$N,N733,$AF:$AF,AF733,$AJ:$AJ,AJ733)&gt;1,
"Exact Duplicate",
"Conflicting Duplicate"))</f>
        <v>Unique</v>
      </c>
      <c r="D733" t="s">
        <v>3403</v>
      </c>
      <c r="E733" t="s">
        <v>3404</v>
      </c>
      <c r="F733" s="3">
        <v>45368</v>
      </c>
      <c r="G733" s="2">
        <v>45370</v>
      </c>
      <c r="H733" s="5" t="str">
        <f t="shared" si="198"/>
        <v>March</v>
      </c>
      <c r="I733" s="5">
        <f t="shared" si="199"/>
        <v>2024</v>
      </c>
      <c r="J733" t="str">
        <f>IF(F733="","Missing Date",
IF(ISNUMBER(F733),"Valid","Invalid Date"))</f>
        <v>Valid</v>
      </c>
      <c r="K733" t="str">
        <f t="shared" si="200"/>
        <v>Valid</v>
      </c>
      <c r="L733">
        <f>G733-F733</f>
        <v>2</v>
      </c>
      <c r="M733" t="s">
        <v>3405</v>
      </c>
      <c r="N733" t="s">
        <v>72</v>
      </c>
      <c r="O733" t="str">
        <f t="shared" si="201"/>
        <v>Ananya Rao</v>
      </c>
      <c r="P733" t="s">
        <v>108</v>
      </c>
      <c r="Q733" t="str">
        <f t="shared" si="202"/>
        <v>Corporate</v>
      </c>
      <c r="R733" t="s">
        <v>42</v>
      </c>
      <c r="S733" t="str">
        <f t="shared" si="203"/>
        <v>East</v>
      </c>
      <c r="T733" t="s">
        <v>43</v>
      </c>
      <c r="U733" t="str">
        <f t="shared" si="204"/>
        <v>Odisha</v>
      </c>
      <c r="V733" t="s">
        <v>44</v>
      </c>
      <c r="W733" t="str">
        <f t="shared" si="205"/>
        <v>Bhubaneswar</v>
      </c>
      <c r="X733" t="s">
        <v>30</v>
      </c>
      <c r="Y733" t="str">
        <f t="shared" si="206"/>
        <v>Office Supplies</v>
      </c>
      <c r="Z733" t="s">
        <v>198</v>
      </c>
      <c r="AA733" t="str">
        <f t="shared" si="207"/>
        <v>Binders</v>
      </c>
      <c r="AB733" t="s">
        <v>3406</v>
      </c>
      <c r="AC733" t="s">
        <v>56</v>
      </c>
      <c r="AD733" t="str">
        <f t="shared" si="208"/>
        <v>First Class</v>
      </c>
      <c r="AE733">
        <v>4</v>
      </c>
      <c r="AF733">
        <v>4376.68</v>
      </c>
      <c r="AG733">
        <v>0.1</v>
      </c>
      <c r="AH733">
        <v>0.1</v>
      </c>
      <c r="AI733" t="str">
        <f t="shared" si="209"/>
        <v>Valid</v>
      </c>
      <c r="AJ733">
        <v>15756.05</v>
      </c>
      <c r="AK733">
        <f t="shared" si="210"/>
        <v>15756.048000000001</v>
      </c>
      <c r="AL733">
        <v>10245.44</v>
      </c>
      <c r="AM733">
        <v>5510.61</v>
      </c>
      <c r="AN733">
        <f t="shared" si="211"/>
        <v>5510.6080000000002</v>
      </c>
      <c r="AO733">
        <f t="shared" si="212"/>
        <v>-10245.44</v>
      </c>
      <c r="AP733" t="s">
        <v>34</v>
      </c>
      <c r="AQ733" t="str">
        <f t="shared" si="213"/>
        <v>Paid</v>
      </c>
      <c r="AR733" t="s">
        <v>35</v>
      </c>
      <c r="AS733" t="str">
        <f t="shared" si="214"/>
        <v>Completed</v>
      </c>
      <c r="AT733" t="str">
        <f t="shared" si="215"/>
        <v>Clean</v>
      </c>
    </row>
    <row r="734" spans="1:46">
      <c r="A734" t="s">
        <v>3407</v>
      </c>
      <c r="B734">
        <f>COUNTIF($D$2:D734,D734)</f>
        <v>3</v>
      </c>
      <c r="C734" t="str">
        <f>IF(COUNTIF($A:$A,A734)=1,
"Unique",
IF(COUNTIFS($A:$A,A734,$N:$N,N734,$AF:$AF,AF734,$AJ:$AJ,AJ734)&gt;1,
"Exact Duplicate",
"Conflicting Duplicate"))</f>
        <v>Unique</v>
      </c>
      <c r="D734" t="s">
        <v>3408</v>
      </c>
      <c r="E734" t="s">
        <v>2821</v>
      </c>
      <c r="F734" s="3">
        <v>45624</v>
      </c>
      <c r="G734" s="2">
        <v>45455</v>
      </c>
      <c r="H734" s="5" t="str">
        <f t="shared" si="198"/>
        <v>November</v>
      </c>
      <c r="I734" s="5">
        <f t="shared" si="199"/>
        <v>2024</v>
      </c>
      <c r="J734" t="str">
        <f>IF(F734="","Missing Date",
IF(ISNUMBER(F734),"Valid","Invalid Date"))</f>
        <v>Valid</v>
      </c>
      <c r="K734" t="str">
        <f t="shared" si="200"/>
        <v>Valid</v>
      </c>
      <c r="L734">
        <f>G734-F734</f>
        <v>-169</v>
      </c>
      <c r="M734" t="s">
        <v>3409</v>
      </c>
      <c r="N734" t="s">
        <v>61</v>
      </c>
      <c r="O734" t="str">
        <f t="shared" si="201"/>
        <v>Arjun Bose</v>
      </c>
      <c r="P734" t="s">
        <v>41</v>
      </c>
      <c r="Q734" t="str">
        <f t="shared" si="202"/>
        <v>Small Business</v>
      </c>
      <c r="R734" t="s">
        <v>27</v>
      </c>
      <c r="S734" t="str">
        <f t="shared" si="203"/>
        <v>North</v>
      </c>
      <c r="T734" t="s">
        <v>154</v>
      </c>
      <c r="U734" t="str">
        <f t="shared" si="204"/>
        <v>Punjab</v>
      </c>
      <c r="V734" t="s">
        <v>155</v>
      </c>
      <c r="W734" t="str">
        <f t="shared" si="205"/>
        <v>Ludhiana</v>
      </c>
      <c r="X734" t="s">
        <v>86</v>
      </c>
      <c r="Y734" t="str">
        <f t="shared" si="206"/>
        <v>Technology</v>
      </c>
      <c r="Z734" t="s">
        <v>223</v>
      </c>
      <c r="AA734" t="str">
        <f t="shared" si="207"/>
        <v>Phones</v>
      </c>
      <c r="AB734" t="s">
        <v>3410</v>
      </c>
      <c r="AC734" t="s">
        <v>67</v>
      </c>
      <c r="AD734" t="str">
        <f t="shared" si="208"/>
        <v>Standard Class</v>
      </c>
      <c r="AE734">
        <v>6</v>
      </c>
      <c r="AF734">
        <v>2464.63</v>
      </c>
      <c r="AG734">
        <v>0</v>
      </c>
      <c r="AH734">
        <v>0</v>
      </c>
      <c r="AI734" t="str">
        <f t="shared" si="209"/>
        <v>Valid</v>
      </c>
      <c r="AJ734">
        <v>14787.78</v>
      </c>
      <c r="AK734">
        <f t="shared" si="210"/>
        <v>14787.78</v>
      </c>
      <c r="AL734">
        <v>8596.65</v>
      </c>
      <c r="AM734">
        <v>6191.13</v>
      </c>
      <c r="AN734">
        <f t="shared" si="211"/>
        <v>6191.130000000001</v>
      </c>
      <c r="AO734">
        <f t="shared" si="212"/>
        <v>-8596.65</v>
      </c>
      <c r="AP734" t="s">
        <v>34</v>
      </c>
      <c r="AQ734" t="str">
        <f t="shared" si="213"/>
        <v>Paid</v>
      </c>
      <c r="AR734" t="s">
        <v>35</v>
      </c>
      <c r="AS734" t="str">
        <f t="shared" si="214"/>
        <v>Completed</v>
      </c>
      <c r="AT734" t="str">
        <f t="shared" si="215"/>
        <v>Clean</v>
      </c>
    </row>
    <row r="735" spans="1:46">
      <c r="A735" t="s">
        <v>3411</v>
      </c>
      <c r="B735">
        <f>COUNTIF($D$2:D735,D735)</f>
        <v>3</v>
      </c>
      <c r="C735" t="str">
        <f>IF(COUNTIF($A:$A,A735)=1,
"Unique",
IF(COUNTIFS($A:$A,A735,$N:$N,N735,$AF:$AF,AF735,$AJ:$AJ,AJ735)&gt;1,
"Exact Duplicate",
"Conflicting Duplicate"))</f>
        <v>Unique</v>
      </c>
      <c r="D735" t="s">
        <v>1832</v>
      </c>
      <c r="E735" t="s">
        <v>3412</v>
      </c>
      <c r="F735" s="3">
        <v>45464</v>
      </c>
      <c r="G735" s="2">
        <v>45471</v>
      </c>
      <c r="H735" s="5" t="str">
        <f t="shared" si="198"/>
        <v>June</v>
      </c>
      <c r="I735" s="5">
        <f t="shared" si="199"/>
        <v>2024</v>
      </c>
      <c r="J735" t="str">
        <f>IF(F735="","Missing Date",
IF(ISNUMBER(F735),"Valid","Invalid Date"))</f>
        <v>Valid</v>
      </c>
      <c r="K735" t="str">
        <f t="shared" si="200"/>
        <v>Valid</v>
      </c>
      <c r="L735">
        <f>G735-F735</f>
        <v>7</v>
      </c>
      <c r="M735" t="s">
        <v>3413</v>
      </c>
      <c r="N735" t="s">
        <v>162</v>
      </c>
      <c r="O735" t="str">
        <f t="shared" si="201"/>
        <v>Aarav Sharma</v>
      </c>
      <c r="P735" t="s">
        <v>115</v>
      </c>
      <c r="Q735" t="str">
        <f t="shared" si="202"/>
        <v>Home Office</v>
      </c>
      <c r="R735" t="s">
        <v>27</v>
      </c>
      <c r="S735" t="str">
        <f t="shared" si="203"/>
        <v>North</v>
      </c>
      <c r="T735" t="s">
        <v>28</v>
      </c>
      <c r="U735" t="str">
        <f t="shared" si="204"/>
        <v>Rajasthan</v>
      </c>
      <c r="V735" t="s">
        <v>29</v>
      </c>
      <c r="W735" t="str">
        <f t="shared" si="205"/>
        <v>Jaipur</v>
      </c>
      <c r="X735" t="s">
        <v>45</v>
      </c>
      <c r="Y735" t="str">
        <f t="shared" si="206"/>
        <v>Furniture</v>
      </c>
      <c r="Z735" t="s">
        <v>65</v>
      </c>
      <c r="AA735" t="str">
        <f t="shared" si="207"/>
        <v>Furnishings</v>
      </c>
      <c r="AB735" t="s">
        <v>3414</v>
      </c>
      <c r="AC735" t="s">
        <v>56</v>
      </c>
      <c r="AD735" t="str">
        <f t="shared" si="208"/>
        <v>First Class</v>
      </c>
      <c r="AE735">
        <v>9</v>
      </c>
      <c r="AF735">
        <v>2797.96</v>
      </c>
      <c r="AG735">
        <v>0</v>
      </c>
      <c r="AH735">
        <v>0</v>
      </c>
      <c r="AI735" t="str">
        <f t="shared" si="209"/>
        <v>Valid</v>
      </c>
      <c r="AJ735">
        <v>25181.64</v>
      </c>
      <c r="AK735">
        <f t="shared" si="210"/>
        <v>25181.64</v>
      </c>
      <c r="AL735">
        <v>15337.9</v>
      </c>
      <c r="AM735">
        <v>9843.74</v>
      </c>
      <c r="AN735">
        <f t="shared" si="211"/>
        <v>9843.74</v>
      </c>
      <c r="AO735">
        <f t="shared" si="212"/>
        <v>-15337.9</v>
      </c>
      <c r="AP735" t="s">
        <v>34</v>
      </c>
      <c r="AQ735" t="str">
        <f t="shared" si="213"/>
        <v>Paid</v>
      </c>
      <c r="AR735" t="s">
        <v>35</v>
      </c>
      <c r="AS735" t="str">
        <f t="shared" si="214"/>
        <v>Completed</v>
      </c>
      <c r="AT735" t="str">
        <f t="shared" si="215"/>
        <v>Clean</v>
      </c>
    </row>
    <row r="736" spans="1:46">
      <c r="A736" t="s">
        <v>3415</v>
      </c>
      <c r="B736">
        <f>COUNTIF($D$2:D736,D736)</f>
        <v>1</v>
      </c>
      <c r="C736" t="str">
        <f>IF(COUNTIF($A:$A,A736)=1,
"Unique",
IF(COUNTIFS($A:$A,A736,$N:$N,N736,$AF:$AF,AF736,$AJ:$AJ,AJ736)&gt;1,
"Exact Duplicate",
"Conflicting Duplicate"))</f>
        <v>Unique</v>
      </c>
      <c r="D736" t="s">
        <v>3416</v>
      </c>
      <c r="E736" t="s">
        <v>3416</v>
      </c>
      <c r="F736" s="3">
        <v>45528</v>
      </c>
      <c r="G736" s="3">
        <v>45528</v>
      </c>
      <c r="H736" s="5" t="str">
        <f t="shared" si="198"/>
        <v>August</v>
      </c>
      <c r="I736" s="5">
        <f t="shared" si="199"/>
        <v>2024</v>
      </c>
      <c r="J736" t="str">
        <f>IF(F736="","Missing Date",
IF(ISNUMBER(F736),"Valid","Invalid Date"))</f>
        <v>Valid</v>
      </c>
      <c r="K736" t="str">
        <f t="shared" si="200"/>
        <v>Valid</v>
      </c>
      <c r="L736">
        <f>G736-F736</f>
        <v>0</v>
      </c>
      <c r="M736" t="s">
        <v>3417</v>
      </c>
      <c r="N736" t="s">
        <v>72</v>
      </c>
      <c r="O736" t="str">
        <f t="shared" si="201"/>
        <v>Ananya Rao</v>
      </c>
      <c r="P736" t="s">
        <v>41</v>
      </c>
      <c r="Q736" t="str">
        <f t="shared" si="202"/>
        <v>Small Business</v>
      </c>
      <c r="R736" t="s">
        <v>27</v>
      </c>
      <c r="S736" t="str">
        <f t="shared" si="203"/>
        <v>North</v>
      </c>
      <c r="T736" t="s">
        <v>28</v>
      </c>
      <c r="U736" t="str">
        <f t="shared" si="204"/>
        <v>Rajasthan</v>
      </c>
      <c r="V736" t="s">
        <v>29</v>
      </c>
      <c r="W736" t="str">
        <f t="shared" si="205"/>
        <v>Jaipur</v>
      </c>
      <c r="X736" t="s">
        <v>86</v>
      </c>
      <c r="Y736" t="str">
        <f t="shared" si="206"/>
        <v>Technology</v>
      </c>
      <c r="Z736" t="s">
        <v>87</v>
      </c>
      <c r="AA736" t="str">
        <f t="shared" si="207"/>
        <v>Accessories</v>
      </c>
      <c r="AB736" t="s">
        <v>3418</v>
      </c>
      <c r="AC736" t="s">
        <v>56</v>
      </c>
      <c r="AD736" t="str">
        <f t="shared" si="208"/>
        <v>First Class</v>
      </c>
      <c r="AE736">
        <v>4</v>
      </c>
      <c r="AF736">
        <v>2761.86</v>
      </c>
      <c r="AG736">
        <v>0.2</v>
      </c>
      <c r="AH736">
        <v>0.2</v>
      </c>
      <c r="AI736" t="str">
        <f t="shared" si="209"/>
        <v>Valid</v>
      </c>
      <c r="AJ736">
        <v>8837.9500000000007</v>
      </c>
      <c r="AK736">
        <f t="shared" si="210"/>
        <v>8837.9520000000011</v>
      </c>
      <c r="AL736">
        <v>6157.27</v>
      </c>
      <c r="AM736">
        <v>2680.68</v>
      </c>
      <c r="AN736">
        <f t="shared" si="211"/>
        <v>2680.6820000000007</v>
      </c>
      <c r="AO736">
        <f t="shared" si="212"/>
        <v>-6157.27</v>
      </c>
      <c r="AP736" t="s">
        <v>34</v>
      </c>
      <c r="AQ736" t="str">
        <f t="shared" si="213"/>
        <v>Paid</v>
      </c>
      <c r="AR736" t="s">
        <v>35</v>
      </c>
      <c r="AS736" t="str">
        <f t="shared" si="214"/>
        <v>Completed</v>
      </c>
      <c r="AT736" t="str">
        <f t="shared" si="215"/>
        <v>Clean</v>
      </c>
    </row>
    <row r="737" spans="1:46">
      <c r="A737" t="s">
        <v>3419</v>
      </c>
      <c r="B737">
        <f>COUNTIF($D$2:D737,D737)</f>
        <v>3</v>
      </c>
      <c r="C737" t="str">
        <f>IF(COUNTIF($A:$A,A737)=1,
"Unique",
IF(COUNTIFS($A:$A,A737,$N:$N,N737,$AF:$AF,AF737,$AJ:$AJ,AJ737)&gt;1,
"Exact Duplicate",
"Conflicting Duplicate"))</f>
        <v>Unique</v>
      </c>
      <c r="D737" t="s">
        <v>3420</v>
      </c>
      <c r="E737" t="s">
        <v>2861</v>
      </c>
      <c r="F737" s="3">
        <v>45604</v>
      </c>
      <c r="G737" s="3">
        <v>45523</v>
      </c>
      <c r="H737" s="5" t="str">
        <f t="shared" si="198"/>
        <v>November</v>
      </c>
      <c r="I737" s="5">
        <f t="shared" si="199"/>
        <v>2024</v>
      </c>
      <c r="J737" t="str">
        <f>IF(F737="","Missing Date",
IF(ISNUMBER(F737),"Valid","Invalid Date"))</f>
        <v>Valid</v>
      </c>
      <c r="K737" t="str">
        <f t="shared" si="200"/>
        <v>Valid</v>
      </c>
      <c r="L737">
        <f>G737-F737</f>
        <v>-81</v>
      </c>
      <c r="M737" t="s">
        <v>3421</v>
      </c>
      <c r="N737" t="s">
        <v>40</v>
      </c>
      <c r="O737" t="str">
        <f t="shared" si="201"/>
        <v>Mira Das</v>
      </c>
      <c r="P737" t="s">
        <v>26</v>
      </c>
      <c r="Q737" t="str">
        <f t="shared" si="202"/>
        <v>Consumer</v>
      </c>
      <c r="R737" t="s">
        <v>73</v>
      </c>
      <c r="S737" t="str">
        <f t="shared" si="203"/>
        <v>West</v>
      </c>
      <c r="T737" t="s">
        <v>74</v>
      </c>
      <c r="U737" t="str">
        <f t="shared" si="204"/>
        <v>Maharashtra</v>
      </c>
      <c r="V737" t="s">
        <v>75</v>
      </c>
      <c r="W737" t="str">
        <f t="shared" si="205"/>
        <v>Mumbai</v>
      </c>
      <c r="X737" t="s">
        <v>45</v>
      </c>
      <c r="Y737" t="str">
        <f t="shared" si="206"/>
        <v>Furniture</v>
      </c>
      <c r="Z737" t="s">
        <v>46</v>
      </c>
      <c r="AA737" t="str">
        <f t="shared" si="207"/>
        <v>Tables</v>
      </c>
      <c r="AB737" t="s">
        <v>3422</v>
      </c>
      <c r="AC737" t="s">
        <v>67</v>
      </c>
      <c r="AD737" t="str">
        <f t="shared" si="208"/>
        <v>Standard Class</v>
      </c>
      <c r="AE737">
        <v>6</v>
      </c>
      <c r="AF737">
        <v>1515.79</v>
      </c>
      <c r="AG737">
        <v>0.2</v>
      </c>
      <c r="AH737">
        <v>0.2</v>
      </c>
      <c r="AI737" t="str">
        <f t="shared" si="209"/>
        <v>Valid</v>
      </c>
      <c r="AJ737">
        <v>7275.79</v>
      </c>
      <c r="AK737">
        <f t="shared" si="210"/>
        <v>7275.7920000000004</v>
      </c>
      <c r="AL737">
        <v>6152.87</v>
      </c>
      <c r="AM737">
        <v>1122.92</v>
      </c>
      <c r="AN737">
        <f t="shared" si="211"/>
        <v>1122.9220000000005</v>
      </c>
      <c r="AO737">
        <f t="shared" si="212"/>
        <v>-6152.87</v>
      </c>
      <c r="AP737" t="s">
        <v>34</v>
      </c>
      <c r="AQ737" t="str">
        <f t="shared" si="213"/>
        <v>Paid</v>
      </c>
      <c r="AR737" t="s">
        <v>35</v>
      </c>
      <c r="AS737" t="str">
        <f t="shared" si="214"/>
        <v>Completed</v>
      </c>
      <c r="AT737" t="str">
        <f t="shared" si="215"/>
        <v>Clean</v>
      </c>
    </row>
    <row r="738" spans="1:46">
      <c r="A738" t="s">
        <v>3423</v>
      </c>
      <c r="B738">
        <f>COUNTIF($D$2:D738,D738)</f>
        <v>2</v>
      </c>
      <c r="C738" t="str">
        <f>IF(COUNTIF($A:$A,A738)=1,
"Unique",
IF(COUNTIFS($A:$A,A738,$N:$N,N738,$AF:$AF,AF738,$AJ:$AJ,AJ738)&gt;1,
"Exact Duplicate",
"Conflicting Duplicate"))</f>
        <v>Unique</v>
      </c>
      <c r="D738" t="s">
        <v>2821</v>
      </c>
      <c r="E738" t="s">
        <v>3424</v>
      </c>
      <c r="F738" s="2">
        <v>45455</v>
      </c>
      <c r="G738" s="3">
        <v>45547</v>
      </c>
      <c r="H738" s="5" t="str">
        <f t="shared" si="198"/>
        <v>June</v>
      </c>
      <c r="I738" s="5">
        <f t="shared" si="199"/>
        <v>2024</v>
      </c>
      <c r="J738" t="str">
        <f>IF(F738="","Missing Date",
IF(ISNUMBER(F738),"Valid","Invalid Date"))</f>
        <v>Valid</v>
      </c>
      <c r="K738" t="str">
        <f t="shared" si="200"/>
        <v>Valid</v>
      </c>
      <c r="L738">
        <f>G738-F738</f>
        <v>92</v>
      </c>
      <c r="M738" t="s">
        <v>3425</v>
      </c>
      <c r="N738" t="s">
        <v>107</v>
      </c>
      <c r="O738" t="str">
        <f t="shared" si="201"/>
        <v>Aditi Sen</v>
      </c>
      <c r="P738" t="s">
        <v>26</v>
      </c>
      <c r="Q738" t="str">
        <f t="shared" si="202"/>
        <v>Consumer</v>
      </c>
      <c r="R738" t="s">
        <v>73</v>
      </c>
      <c r="S738" t="str">
        <f t="shared" si="203"/>
        <v>West</v>
      </c>
      <c r="T738" t="s">
        <v>74</v>
      </c>
      <c r="U738" t="str">
        <f t="shared" si="204"/>
        <v>Maharashtra</v>
      </c>
      <c r="V738" t="s">
        <v>75</v>
      </c>
      <c r="W738" t="str">
        <f t="shared" si="205"/>
        <v>Mumbai</v>
      </c>
      <c r="X738" t="s">
        <v>45</v>
      </c>
      <c r="Y738" t="str">
        <f t="shared" si="206"/>
        <v>Furniture</v>
      </c>
      <c r="Z738" t="s">
        <v>76</v>
      </c>
      <c r="AA738" t="str">
        <f t="shared" si="207"/>
        <v>Chairs</v>
      </c>
      <c r="AB738" t="s">
        <v>3426</v>
      </c>
      <c r="AC738" t="s">
        <v>33</v>
      </c>
      <c r="AD738" t="str">
        <f t="shared" si="208"/>
        <v>Second Class</v>
      </c>
      <c r="AE738">
        <v>9</v>
      </c>
      <c r="AF738">
        <v>290.75</v>
      </c>
      <c r="AG738">
        <v>0.1</v>
      </c>
      <c r="AH738">
        <v>0.1</v>
      </c>
      <c r="AI738" t="str">
        <f t="shared" si="209"/>
        <v>Valid</v>
      </c>
      <c r="AJ738">
        <v>2355.08</v>
      </c>
      <c r="AK738">
        <f t="shared" si="210"/>
        <v>2355.0750000000003</v>
      </c>
      <c r="AL738">
        <v>1350.03</v>
      </c>
      <c r="AM738">
        <v>1005.05</v>
      </c>
      <c r="AN738">
        <f t="shared" si="211"/>
        <v>1005.0450000000003</v>
      </c>
      <c r="AO738">
        <f t="shared" si="212"/>
        <v>-1350.03</v>
      </c>
      <c r="AP738" t="s">
        <v>34</v>
      </c>
      <c r="AQ738" t="str">
        <f t="shared" si="213"/>
        <v>Paid</v>
      </c>
      <c r="AR738" t="s">
        <v>35</v>
      </c>
      <c r="AS738" t="str">
        <f t="shared" si="214"/>
        <v>Completed</v>
      </c>
      <c r="AT738" t="str">
        <f t="shared" si="215"/>
        <v>Clean</v>
      </c>
    </row>
    <row r="739" spans="1:46">
      <c r="A739" t="s">
        <v>3427</v>
      </c>
      <c r="B739">
        <f>COUNTIF($D$2:D739,D739)</f>
        <v>4</v>
      </c>
      <c r="C739" t="str">
        <f>IF(COUNTIF($A:$A,A739)=1,
"Unique",
IF(COUNTIFS($A:$A,A739,$N:$N,N739,$AF:$AF,AF739,$AJ:$AJ,AJ739)&gt;1,
"Exact Duplicate",
"Conflicting Duplicate"))</f>
        <v>Unique</v>
      </c>
      <c r="D739" t="s">
        <v>2249</v>
      </c>
      <c r="E739" t="s">
        <v>2129</v>
      </c>
      <c r="F739" s="3">
        <v>45567</v>
      </c>
      <c r="G739" s="2">
        <v>45567</v>
      </c>
      <c r="H739" s="5" t="str">
        <f t="shared" si="198"/>
        <v>October</v>
      </c>
      <c r="I739" s="5">
        <f t="shared" si="199"/>
        <v>2024</v>
      </c>
      <c r="J739" t="str">
        <f>IF(F739="","Missing Date",
IF(ISNUMBER(F739),"Valid","Invalid Date"))</f>
        <v>Valid</v>
      </c>
      <c r="K739" t="str">
        <f t="shared" si="200"/>
        <v>Valid</v>
      </c>
      <c r="L739">
        <f>G739-F739</f>
        <v>0</v>
      </c>
      <c r="M739" t="s">
        <v>3428</v>
      </c>
      <c r="N739" t="s">
        <v>53</v>
      </c>
      <c r="O739" t="str">
        <f t="shared" si="201"/>
        <v>Isha Nair</v>
      </c>
      <c r="P739" t="s">
        <v>115</v>
      </c>
      <c r="Q739" t="str">
        <f t="shared" si="202"/>
        <v>Home Office</v>
      </c>
      <c r="R739" t="s">
        <v>73</v>
      </c>
      <c r="S739" t="str">
        <f t="shared" si="203"/>
        <v>West</v>
      </c>
      <c r="T739" t="s">
        <v>74</v>
      </c>
      <c r="U739" t="str">
        <f t="shared" si="204"/>
        <v>Maharashtra</v>
      </c>
      <c r="V739" t="s">
        <v>75</v>
      </c>
      <c r="W739" t="str">
        <f t="shared" si="205"/>
        <v>Mumbai</v>
      </c>
      <c r="X739" t="s">
        <v>45</v>
      </c>
      <c r="Y739" t="str">
        <f t="shared" si="206"/>
        <v>Furniture</v>
      </c>
      <c r="Z739" t="s">
        <v>76</v>
      </c>
      <c r="AA739" t="str">
        <f t="shared" si="207"/>
        <v>Chairs</v>
      </c>
      <c r="AB739" t="s">
        <v>3429</v>
      </c>
      <c r="AC739" t="s">
        <v>48</v>
      </c>
      <c r="AD739" t="str">
        <f t="shared" si="208"/>
        <v>Same Day</v>
      </c>
      <c r="AE739">
        <v>6</v>
      </c>
      <c r="AF739">
        <v>601.52</v>
      </c>
      <c r="AG739">
        <v>0</v>
      </c>
      <c r="AH739">
        <v>0</v>
      </c>
      <c r="AI739" t="str">
        <f t="shared" si="209"/>
        <v>Valid</v>
      </c>
      <c r="AJ739">
        <v>3609.12</v>
      </c>
      <c r="AK739">
        <f t="shared" si="210"/>
        <v>3609.12</v>
      </c>
      <c r="AL739">
        <v>2645.5</v>
      </c>
      <c r="AM739">
        <v>963.62</v>
      </c>
      <c r="AN739">
        <f t="shared" si="211"/>
        <v>963.61999999999989</v>
      </c>
      <c r="AO739">
        <f t="shared" si="212"/>
        <v>-2645.5</v>
      </c>
      <c r="AP739" t="s">
        <v>34</v>
      </c>
      <c r="AQ739" t="str">
        <f t="shared" si="213"/>
        <v>Paid</v>
      </c>
      <c r="AR739" t="s">
        <v>35</v>
      </c>
      <c r="AS739" t="str">
        <f t="shared" si="214"/>
        <v>Completed</v>
      </c>
      <c r="AT739" t="str">
        <f t="shared" si="215"/>
        <v>Clean</v>
      </c>
    </row>
    <row r="740" spans="1:46">
      <c r="A740" t="s">
        <v>3430</v>
      </c>
      <c r="B740">
        <f>COUNTIF($D$2:D740,D740)</f>
        <v>4</v>
      </c>
      <c r="C740" t="str">
        <f>IF(COUNTIF($A:$A,A740)=1,
"Unique",
IF(COUNTIFS($A:$A,A740,$N:$N,N740,$AF:$AF,AF740,$AJ:$AJ,AJ740)&gt;1,
"Exact Duplicate",
"Conflicting Duplicate"))</f>
        <v>Unique</v>
      </c>
      <c r="D740" t="s">
        <v>1566</v>
      </c>
      <c r="E740" t="s">
        <v>3431</v>
      </c>
      <c r="F740" s="2">
        <v>45708</v>
      </c>
      <c r="G740" s="3">
        <v>45710</v>
      </c>
      <c r="H740" s="5" t="str">
        <f t="shared" si="198"/>
        <v>February</v>
      </c>
      <c r="I740" s="5">
        <f t="shared" si="199"/>
        <v>2025</v>
      </c>
      <c r="J740" t="str">
        <f>IF(F740="","Missing Date",
IF(ISNUMBER(F740),"Valid","Invalid Date"))</f>
        <v>Valid</v>
      </c>
      <c r="K740" t="str">
        <f t="shared" si="200"/>
        <v>Valid</v>
      </c>
      <c r="L740">
        <f>G740-F740</f>
        <v>2</v>
      </c>
      <c r="M740" t="s">
        <v>3432</v>
      </c>
      <c r="N740" t="s">
        <v>142</v>
      </c>
      <c r="O740" t="str">
        <f t="shared" si="201"/>
        <v>Priya Menon</v>
      </c>
      <c r="P740" t="s">
        <v>108</v>
      </c>
      <c r="Q740" t="str">
        <f t="shared" si="202"/>
        <v>Corporate</v>
      </c>
      <c r="R740" t="s">
        <v>62</v>
      </c>
      <c r="S740" t="str">
        <f t="shared" si="203"/>
        <v>South</v>
      </c>
      <c r="T740" t="s">
        <v>242</v>
      </c>
      <c r="U740" t="str">
        <f t="shared" si="204"/>
        <v>Kerala</v>
      </c>
      <c r="V740" t="s">
        <v>243</v>
      </c>
      <c r="W740" t="str">
        <f t="shared" si="205"/>
        <v>Kochi</v>
      </c>
      <c r="X740" t="s">
        <v>30</v>
      </c>
      <c r="Y740" t="str">
        <f t="shared" si="206"/>
        <v>Office Supplies</v>
      </c>
      <c r="Z740" t="s">
        <v>31</v>
      </c>
      <c r="AA740" t="str">
        <f t="shared" si="207"/>
        <v>Paper</v>
      </c>
      <c r="AB740" t="s">
        <v>3433</v>
      </c>
      <c r="AC740" t="s">
        <v>56</v>
      </c>
      <c r="AD740" t="str">
        <f t="shared" si="208"/>
        <v>First Class</v>
      </c>
      <c r="AE740">
        <v>1</v>
      </c>
      <c r="AF740">
        <v>2188.19</v>
      </c>
      <c r="AG740">
        <v>0</v>
      </c>
      <c r="AH740">
        <v>0</v>
      </c>
      <c r="AI740" t="str">
        <f t="shared" si="209"/>
        <v>Valid</v>
      </c>
      <c r="AJ740">
        <v>2188.19</v>
      </c>
      <c r="AK740">
        <f t="shared" si="210"/>
        <v>2188.19</v>
      </c>
      <c r="AL740">
        <v>1298.8399999999999</v>
      </c>
      <c r="AM740">
        <v>889.35</v>
      </c>
      <c r="AN740">
        <f t="shared" si="211"/>
        <v>889.35000000000014</v>
      </c>
      <c r="AO740">
        <f t="shared" si="212"/>
        <v>-1298.8399999999999</v>
      </c>
      <c r="AP740" t="s">
        <v>34</v>
      </c>
      <c r="AQ740" t="str">
        <f t="shared" si="213"/>
        <v>Paid</v>
      </c>
      <c r="AR740" t="s">
        <v>35</v>
      </c>
      <c r="AS740" t="str">
        <f t="shared" si="214"/>
        <v>Completed</v>
      </c>
      <c r="AT740" t="str">
        <f t="shared" si="215"/>
        <v>Clean</v>
      </c>
    </row>
    <row r="741" spans="1:46">
      <c r="A741" t="s">
        <v>3434</v>
      </c>
      <c r="B741">
        <f>COUNTIF($D$2:D741,D741)</f>
        <v>3</v>
      </c>
      <c r="C741" t="str">
        <f>IF(COUNTIF($A:$A,A741)=1,
"Unique",
IF(COUNTIFS($A:$A,A741,$N:$N,N741,$AF:$AF,AF741,$AJ:$AJ,AJ741)&gt;1,
"Exact Duplicate",
"Conflicting Duplicate"))</f>
        <v>Unique</v>
      </c>
      <c r="D741" t="s">
        <v>3435</v>
      </c>
      <c r="E741" t="s">
        <v>3436</v>
      </c>
      <c r="F741" s="2">
        <v>45363</v>
      </c>
      <c r="G741" s="3">
        <v>45636</v>
      </c>
      <c r="H741" s="5" t="str">
        <f t="shared" si="198"/>
        <v>March</v>
      </c>
      <c r="I741" s="5">
        <f t="shared" si="199"/>
        <v>2024</v>
      </c>
      <c r="J741" t="str">
        <f>IF(F741="","Missing Date",
IF(ISNUMBER(F741),"Valid","Invalid Date"))</f>
        <v>Valid</v>
      </c>
      <c r="K741" t="str">
        <f t="shared" si="200"/>
        <v>Valid</v>
      </c>
      <c r="L741">
        <f>G741-F741</f>
        <v>273</v>
      </c>
      <c r="M741" t="s">
        <v>3437</v>
      </c>
      <c r="N741" t="s">
        <v>93</v>
      </c>
      <c r="O741" t="str">
        <f t="shared" si="201"/>
        <v>Neha Gupta</v>
      </c>
      <c r="P741" t="s">
        <v>108</v>
      </c>
      <c r="Q741" t="str">
        <f t="shared" si="202"/>
        <v>Corporate</v>
      </c>
      <c r="R741" t="s">
        <v>27</v>
      </c>
      <c r="S741" t="str">
        <f t="shared" si="203"/>
        <v>North</v>
      </c>
      <c r="T741" t="s">
        <v>28</v>
      </c>
      <c r="U741" t="str">
        <f t="shared" si="204"/>
        <v>Rajasthan</v>
      </c>
      <c r="V741" t="s">
        <v>29</v>
      </c>
      <c r="W741" t="str">
        <f t="shared" si="205"/>
        <v>Jaipur</v>
      </c>
      <c r="X741" t="s">
        <v>86</v>
      </c>
      <c r="Y741" t="str">
        <f t="shared" si="206"/>
        <v>Technology</v>
      </c>
      <c r="Z741" t="s">
        <v>223</v>
      </c>
      <c r="AA741" t="str">
        <f t="shared" si="207"/>
        <v>Phones</v>
      </c>
      <c r="AB741" t="s">
        <v>3438</v>
      </c>
      <c r="AC741" t="s">
        <v>67</v>
      </c>
      <c r="AD741" t="str">
        <f t="shared" si="208"/>
        <v>Standard Class</v>
      </c>
      <c r="AE741">
        <v>5</v>
      </c>
      <c r="AF741">
        <v>2393.86</v>
      </c>
      <c r="AG741">
        <v>0.05</v>
      </c>
      <c r="AH741">
        <v>0.05</v>
      </c>
      <c r="AI741" t="str">
        <f t="shared" si="209"/>
        <v>Valid</v>
      </c>
      <c r="AJ741">
        <v>11370.84</v>
      </c>
      <c r="AK741">
        <f t="shared" si="210"/>
        <v>11370.835000000001</v>
      </c>
      <c r="AL741">
        <v>7469.58</v>
      </c>
      <c r="AM741">
        <v>3901.26</v>
      </c>
      <c r="AN741">
        <f t="shared" si="211"/>
        <v>3901.255000000001</v>
      </c>
      <c r="AO741">
        <f t="shared" si="212"/>
        <v>-7469.58</v>
      </c>
      <c r="AP741" t="s">
        <v>34</v>
      </c>
      <c r="AQ741" t="str">
        <f t="shared" si="213"/>
        <v>Paid</v>
      </c>
      <c r="AR741" t="s">
        <v>35</v>
      </c>
      <c r="AS741" t="str">
        <f t="shared" si="214"/>
        <v>Completed</v>
      </c>
      <c r="AT741" t="str">
        <f t="shared" si="215"/>
        <v>Clean</v>
      </c>
    </row>
    <row r="742" spans="1:46">
      <c r="A742" t="s">
        <v>3439</v>
      </c>
      <c r="B742">
        <f>COUNTIF($D$2:D742,D742)</f>
        <v>3</v>
      </c>
      <c r="C742" t="str">
        <f>IF(COUNTIF($A:$A,A742)=1,
"Unique",
IF(COUNTIFS($A:$A,A742,$N:$N,N742,$AF:$AF,AF742,$AJ:$AJ,AJ742)&gt;1,
"Exact Duplicate",
"Conflicting Duplicate"))</f>
        <v>Unique</v>
      </c>
      <c r="D742" t="s">
        <v>3440</v>
      </c>
      <c r="E742" t="s">
        <v>2170</v>
      </c>
      <c r="F742" s="2">
        <v>45326</v>
      </c>
      <c r="G742" s="3">
        <v>45384</v>
      </c>
      <c r="H742" s="5" t="str">
        <f t="shared" si="198"/>
        <v>February</v>
      </c>
      <c r="I742" s="5">
        <f t="shared" si="199"/>
        <v>2024</v>
      </c>
      <c r="J742" t="str">
        <f>IF(F742="","Missing Date",
IF(ISNUMBER(F742),"Valid","Invalid Date"))</f>
        <v>Valid</v>
      </c>
      <c r="K742" t="str">
        <f t="shared" si="200"/>
        <v>Valid</v>
      </c>
      <c r="L742">
        <f>G742-F742</f>
        <v>58</v>
      </c>
      <c r="M742" t="s">
        <v>778</v>
      </c>
      <c r="N742" t="s">
        <v>168</v>
      </c>
      <c r="O742" t="str">
        <f t="shared" si="201"/>
        <v>Sneha Kapoor</v>
      </c>
      <c r="P742" t="s">
        <v>41</v>
      </c>
      <c r="Q742" t="str">
        <f t="shared" si="202"/>
        <v>Small Business</v>
      </c>
      <c r="R742" t="s">
        <v>73</v>
      </c>
      <c r="S742" t="str">
        <f t="shared" si="203"/>
        <v>West</v>
      </c>
      <c r="T742" t="s">
        <v>74</v>
      </c>
      <c r="U742" t="str">
        <f t="shared" si="204"/>
        <v>Maharashtra</v>
      </c>
      <c r="V742" t="s">
        <v>75</v>
      </c>
      <c r="W742" t="str">
        <f t="shared" si="205"/>
        <v>Mumbai</v>
      </c>
      <c r="X742" t="s">
        <v>45</v>
      </c>
      <c r="Y742" t="str">
        <f t="shared" si="206"/>
        <v>Furniture</v>
      </c>
      <c r="Z742" t="s">
        <v>76</v>
      </c>
      <c r="AA742" t="str">
        <f t="shared" si="207"/>
        <v>Chairs</v>
      </c>
      <c r="AB742" t="s">
        <v>3441</v>
      </c>
      <c r="AC742" t="s">
        <v>56</v>
      </c>
      <c r="AD742" t="str">
        <f t="shared" si="208"/>
        <v>First Class</v>
      </c>
      <c r="AE742">
        <v>4</v>
      </c>
      <c r="AF742">
        <v>2583</v>
      </c>
      <c r="AG742">
        <v>0.1</v>
      </c>
      <c r="AH742">
        <v>0.1</v>
      </c>
      <c r="AI742" t="str">
        <f t="shared" si="209"/>
        <v>Valid</v>
      </c>
      <c r="AJ742">
        <v>9298.7999999999993</v>
      </c>
      <c r="AK742">
        <f t="shared" si="210"/>
        <v>9298.8000000000011</v>
      </c>
      <c r="AL742">
        <v>6548.5</v>
      </c>
      <c r="AM742">
        <v>2750.3</v>
      </c>
      <c r="AN742">
        <f t="shared" si="211"/>
        <v>2750.3000000000011</v>
      </c>
      <c r="AO742">
        <f t="shared" si="212"/>
        <v>-6548.5</v>
      </c>
      <c r="AP742" t="s">
        <v>34</v>
      </c>
      <c r="AQ742" t="str">
        <f t="shared" si="213"/>
        <v>Paid</v>
      </c>
      <c r="AR742" t="s">
        <v>35</v>
      </c>
      <c r="AS742" t="str">
        <f t="shared" si="214"/>
        <v>Completed</v>
      </c>
      <c r="AT742" t="str">
        <f t="shared" si="215"/>
        <v>Clean</v>
      </c>
    </row>
    <row r="743" spans="1:46">
      <c r="A743" t="s">
        <v>3442</v>
      </c>
      <c r="B743">
        <f>COUNTIF($D$2:D743,D743)</f>
        <v>1</v>
      </c>
      <c r="C743" t="str">
        <f>IF(COUNTIF($A:$A,A743)=1,
"Unique",
IF(COUNTIFS($A:$A,A743,$N:$N,N743,$AF:$AF,AF743,$AJ:$AJ,AJ743)&gt;1,
"Exact Duplicate",
"Conflicting Duplicate"))</f>
        <v>Unique</v>
      </c>
      <c r="D743" t="s">
        <v>3443</v>
      </c>
      <c r="E743" t="s">
        <v>3444</v>
      </c>
      <c r="F743" s="3">
        <v>45770</v>
      </c>
      <c r="G743" s="3">
        <v>45772</v>
      </c>
      <c r="H743" s="5" t="str">
        <f t="shared" si="198"/>
        <v>April</v>
      </c>
      <c r="I743" s="5">
        <f t="shared" si="199"/>
        <v>2025</v>
      </c>
      <c r="J743" t="str">
        <f>IF(F743="","Missing Date",
IF(ISNUMBER(F743),"Valid","Invalid Date"))</f>
        <v>Valid</v>
      </c>
      <c r="K743" t="str">
        <f t="shared" si="200"/>
        <v>Valid</v>
      </c>
      <c r="L743">
        <f>G743-F743</f>
        <v>2</v>
      </c>
      <c r="M743" t="s">
        <v>3445</v>
      </c>
      <c r="N743" t="s">
        <v>53</v>
      </c>
      <c r="O743" t="str">
        <f t="shared" si="201"/>
        <v>Isha Nair</v>
      </c>
      <c r="P743" t="s">
        <v>115</v>
      </c>
      <c r="Q743" t="str">
        <f t="shared" si="202"/>
        <v>Home Office</v>
      </c>
      <c r="R743" t="s">
        <v>62</v>
      </c>
      <c r="S743" t="str">
        <f t="shared" si="203"/>
        <v>South</v>
      </c>
      <c r="T743" t="s">
        <v>339</v>
      </c>
      <c r="U743" t="str">
        <f t="shared" si="204"/>
        <v>Tamil Nadu</v>
      </c>
      <c r="V743" t="s">
        <v>340</v>
      </c>
      <c r="W743" t="str">
        <f t="shared" si="205"/>
        <v>Chennai</v>
      </c>
      <c r="X743" t="s">
        <v>45</v>
      </c>
      <c r="Y743" t="str">
        <f t="shared" si="206"/>
        <v>Furniture</v>
      </c>
      <c r="Z743" t="s">
        <v>76</v>
      </c>
      <c r="AA743" t="str">
        <f t="shared" si="207"/>
        <v>Chairs</v>
      </c>
      <c r="AB743" t="s">
        <v>3446</v>
      </c>
      <c r="AC743" t="s">
        <v>33</v>
      </c>
      <c r="AD743" t="str">
        <f t="shared" si="208"/>
        <v>Second Class</v>
      </c>
      <c r="AE743">
        <v>3</v>
      </c>
      <c r="AF743">
        <v>2951.12</v>
      </c>
      <c r="AG743" t="s">
        <v>4104</v>
      </c>
      <c r="AH743" t="s">
        <v>4104</v>
      </c>
      <c r="AI743" t="str">
        <f t="shared" si="209"/>
        <v>Invalid - Above Range</v>
      </c>
      <c r="AJ743">
        <v>7082.69</v>
      </c>
      <c r="AK743" t="s">
        <v>4104</v>
      </c>
      <c r="AL743">
        <v>5596.34</v>
      </c>
      <c r="AM743">
        <v>1486.35</v>
      </c>
      <c r="AN743" t="s">
        <v>4104</v>
      </c>
      <c r="AO743" t="s">
        <v>4104</v>
      </c>
      <c r="AP743" t="s">
        <v>34</v>
      </c>
      <c r="AQ743" t="str">
        <f t="shared" si="213"/>
        <v>Paid</v>
      </c>
      <c r="AR743" t="s">
        <v>78</v>
      </c>
      <c r="AS743" t="str">
        <f t="shared" si="214"/>
        <v>Cancelled</v>
      </c>
      <c r="AT743" t="str">
        <f t="shared" si="215"/>
        <v>Needs Review</v>
      </c>
    </row>
    <row r="744" spans="1:46">
      <c r="A744" t="s">
        <v>3447</v>
      </c>
      <c r="B744">
        <f>COUNTIF($D$2:D744,D744)</f>
        <v>1</v>
      </c>
      <c r="C744" t="str">
        <f>IF(COUNTIF($A:$A,A744)=1,
"Unique",
IF(COUNTIFS($A:$A,A744,$N:$N,N744,$AF:$AF,AF744,$AJ:$AJ,AJ744)&gt;1,
"Exact Duplicate",
"Conflicting Duplicate"))</f>
        <v>Unique</v>
      </c>
      <c r="D744" t="s">
        <v>3448</v>
      </c>
      <c r="E744" t="s">
        <v>3449</v>
      </c>
      <c r="F744" s="3">
        <v>45580</v>
      </c>
      <c r="G744" s="2">
        <v>45587</v>
      </c>
      <c r="H744" s="5" t="str">
        <f t="shared" si="198"/>
        <v>October</v>
      </c>
      <c r="I744" s="5">
        <f t="shared" si="199"/>
        <v>2024</v>
      </c>
      <c r="J744" t="str">
        <f>IF(F744="","Missing Date",
IF(ISNUMBER(F744),"Valid","Invalid Date"))</f>
        <v>Valid</v>
      </c>
      <c r="K744" t="str">
        <f t="shared" si="200"/>
        <v>Valid</v>
      </c>
      <c r="L744">
        <f>G744-F744</f>
        <v>7</v>
      </c>
      <c r="M744" t="s">
        <v>3450</v>
      </c>
      <c r="N744" t="s">
        <v>25</v>
      </c>
      <c r="O744" t="str">
        <f t="shared" si="201"/>
        <v>Karan Malhotra</v>
      </c>
      <c r="P744" t="s">
        <v>108</v>
      </c>
      <c r="Q744" t="str">
        <f t="shared" si="202"/>
        <v>Corporate</v>
      </c>
      <c r="R744" t="s">
        <v>3451</v>
      </c>
      <c r="S744" t="str">
        <f t="shared" si="203"/>
        <v>East</v>
      </c>
      <c r="T744" t="s">
        <v>43</v>
      </c>
      <c r="U744" t="str">
        <f t="shared" si="204"/>
        <v>Odisha</v>
      </c>
      <c r="V744" t="s">
        <v>44</v>
      </c>
      <c r="W744" t="str">
        <f t="shared" si="205"/>
        <v>Bhubaneswar</v>
      </c>
      <c r="X744" t="s">
        <v>30</v>
      </c>
      <c r="Y744" t="str">
        <f t="shared" si="206"/>
        <v>Office Supplies</v>
      </c>
      <c r="Z744" t="s">
        <v>31</v>
      </c>
      <c r="AA744" t="str">
        <f t="shared" si="207"/>
        <v>Paper</v>
      </c>
      <c r="AB744" t="s">
        <v>3452</v>
      </c>
      <c r="AC744" t="s">
        <v>67</v>
      </c>
      <c r="AD744" t="str">
        <f t="shared" si="208"/>
        <v>Standard Class</v>
      </c>
      <c r="AE744">
        <v>4</v>
      </c>
      <c r="AF744">
        <v>2260.9499999999998</v>
      </c>
      <c r="AG744">
        <v>0</v>
      </c>
      <c r="AH744">
        <v>0</v>
      </c>
      <c r="AI744" t="str">
        <f t="shared" si="209"/>
        <v>Valid</v>
      </c>
      <c r="AJ744">
        <v>9043.7999999999993</v>
      </c>
      <c r="AK744">
        <f t="shared" si="210"/>
        <v>9043.7999999999993</v>
      </c>
      <c r="AL744">
        <v>5913.38</v>
      </c>
      <c r="AM744">
        <v>3130.42</v>
      </c>
      <c r="AN744">
        <f t="shared" si="211"/>
        <v>3130.4199999999992</v>
      </c>
      <c r="AO744">
        <f t="shared" si="212"/>
        <v>-5913.38</v>
      </c>
      <c r="AP744" t="s">
        <v>34</v>
      </c>
      <c r="AQ744" t="str">
        <f t="shared" si="213"/>
        <v>Paid</v>
      </c>
      <c r="AR744" t="s">
        <v>35</v>
      </c>
      <c r="AS744" t="str">
        <f t="shared" si="214"/>
        <v>Completed</v>
      </c>
      <c r="AT744" t="str">
        <f t="shared" si="215"/>
        <v>Clean</v>
      </c>
    </row>
    <row r="745" spans="1:46">
      <c r="A745" t="s">
        <v>3453</v>
      </c>
      <c r="B745">
        <f>COUNTIF($D$2:D745,D745)</f>
        <v>2</v>
      </c>
      <c r="C745" t="str">
        <f>IF(COUNTIF($A:$A,A745)=1,
"Unique",
IF(COUNTIFS($A:$A,A745,$N:$N,N745,$AF:$AF,AF745,$AJ:$AJ,AJ745)&gt;1,
"Exact Duplicate",
"Conflicting Duplicate"))</f>
        <v>Unique</v>
      </c>
      <c r="D745" t="s">
        <v>1397</v>
      </c>
      <c r="E745" t="s">
        <v>1940</v>
      </c>
      <c r="F745" s="3">
        <v>45700</v>
      </c>
      <c r="G745" s="2">
        <v>45702</v>
      </c>
      <c r="H745" s="5" t="str">
        <f t="shared" si="198"/>
        <v>February</v>
      </c>
      <c r="I745" s="5">
        <f t="shared" si="199"/>
        <v>2025</v>
      </c>
      <c r="J745" t="str">
        <f>IF(F745="","Missing Date",
IF(ISNUMBER(F745),"Valid","Invalid Date"))</f>
        <v>Valid</v>
      </c>
      <c r="K745" t="str">
        <f t="shared" si="200"/>
        <v>Valid</v>
      </c>
      <c r="L745">
        <f>G745-F745</f>
        <v>2</v>
      </c>
      <c r="M745" t="s">
        <v>3454</v>
      </c>
      <c r="N745" t="s">
        <v>168</v>
      </c>
      <c r="O745" t="str">
        <f t="shared" si="201"/>
        <v>Sneha Kapoor</v>
      </c>
      <c r="P745" t="s">
        <v>26</v>
      </c>
      <c r="Q745" t="str">
        <f t="shared" si="202"/>
        <v>Consumer</v>
      </c>
      <c r="R745" t="s">
        <v>27</v>
      </c>
      <c r="S745" t="str">
        <f t="shared" si="203"/>
        <v>North</v>
      </c>
      <c r="T745" t="s">
        <v>174</v>
      </c>
      <c r="U745" t="str">
        <f t="shared" si="204"/>
        <v>Uttar Pradesh</v>
      </c>
      <c r="V745" t="s">
        <v>175</v>
      </c>
      <c r="W745" t="str">
        <f t="shared" si="205"/>
        <v>Noida</v>
      </c>
      <c r="X745" t="s">
        <v>30</v>
      </c>
      <c r="Y745" t="str">
        <f t="shared" si="206"/>
        <v>Office Supplies</v>
      </c>
      <c r="Z745" t="s">
        <v>54</v>
      </c>
      <c r="AA745" t="str">
        <f t="shared" si="207"/>
        <v>Art</v>
      </c>
      <c r="AB745" t="s">
        <v>3455</v>
      </c>
      <c r="AC745" t="s">
        <v>67</v>
      </c>
      <c r="AD745" t="str">
        <f t="shared" si="208"/>
        <v>Standard Class</v>
      </c>
      <c r="AE745">
        <v>6</v>
      </c>
      <c r="AF745">
        <v>491.4</v>
      </c>
      <c r="AG745">
        <v>0.25</v>
      </c>
      <c r="AH745">
        <v>0.25</v>
      </c>
      <c r="AI745" t="str">
        <f t="shared" si="209"/>
        <v>Valid</v>
      </c>
      <c r="AJ745">
        <v>2211.3000000000002</v>
      </c>
      <c r="AK745">
        <f t="shared" si="210"/>
        <v>2211.2999999999997</v>
      </c>
      <c r="AL745">
        <v>1735.64</v>
      </c>
      <c r="AM745">
        <v>475.66</v>
      </c>
      <c r="AN745">
        <f t="shared" si="211"/>
        <v>475.65999999999963</v>
      </c>
      <c r="AO745">
        <f t="shared" si="212"/>
        <v>-1735.64</v>
      </c>
      <c r="AP745" t="s">
        <v>34</v>
      </c>
      <c r="AQ745" t="str">
        <f t="shared" si="213"/>
        <v>Paid</v>
      </c>
      <c r="AR745" t="s">
        <v>35</v>
      </c>
      <c r="AS745" t="str">
        <f t="shared" si="214"/>
        <v>Completed</v>
      </c>
      <c r="AT745" t="str">
        <f t="shared" si="215"/>
        <v>Clean</v>
      </c>
    </row>
    <row r="746" spans="1:46">
      <c r="A746" t="s">
        <v>3456</v>
      </c>
      <c r="B746">
        <f>COUNTIF($D$2:D746,D746)</f>
        <v>1</v>
      </c>
      <c r="C746" t="str">
        <f>IF(COUNTIF($A:$A,A746)=1,
"Unique",
IF(COUNTIFS($A:$A,A746,$N:$N,N746,$AF:$AF,AF746,$AJ:$AJ,AJ746)&gt;1,
"Exact Duplicate",
"Conflicting Duplicate"))</f>
        <v>Unique</v>
      </c>
      <c r="D746" t="s">
        <v>3457</v>
      </c>
      <c r="E746" t="s">
        <v>1470</v>
      </c>
      <c r="F746" s="3">
        <v>45886</v>
      </c>
      <c r="G746" s="3">
        <v>45889</v>
      </c>
      <c r="H746" s="5" t="str">
        <f t="shared" si="198"/>
        <v>August</v>
      </c>
      <c r="I746" s="5">
        <f t="shared" si="199"/>
        <v>2025</v>
      </c>
      <c r="J746" t="str">
        <f>IF(F746="","Missing Date",
IF(ISNUMBER(F746),"Valid","Invalid Date"))</f>
        <v>Valid</v>
      </c>
      <c r="K746" t="str">
        <f t="shared" si="200"/>
        <v>Valid</v>
      </c>
      <c r="L746">
        <f>G746-F746</f>
        <v>3</v>
      </c>
      <c r="M746" t="s">
        <v>3458</v>
      </c>
      <c r="N746" t="s">
        <v>40</v>
      </c>
      <c r="O746" t="str">
        <f t="shared" si="201"/>
        <v>Mira Das</v>
      </c>
      <c r="P746" t="s">
        <v>115</v>
      </c>
      <c r="Q746" t="str">
        <f t="shared" si="202"/>
        <v>Home Office</v>
      </c>
      <c r="R746" t="s">
        <v>27</v>
      </c>
      <c r="S746" t="str">
        <f t="shared" si="203"/>
        <v>North</v>
      </c>
      <c r="T746" t="s">
        <v>154</v>
      </c>
      <c r="U746" t="str">
        <f t="shared" si="204"/>
        <v>Punjab</v>
      </c>
      <c r="V746" t="s">
        <v>155</v>
      </c>
      <c r="W746" t="str">
        <f t="shared" si="205"/>
        <v>Ludhiana</v>
      </c>
      <c r="X746" t="s">
        <v>30</v>
      </c>
      <c r="Y746" t="str">
        <f t="shared" si="206"/>
        <v>Office Supplies</v>
      </c>
      <c r="Z746" t="s">
        <v>198</v>
      </c>
      <c r="AA746" t="str">
        <f t="shared" si="207"/>
        <v>Binders</v>
      </c>
      <c r="AB746" t="s">
        <v>3459</v>
      </c>
      <c r="AC746" t="s">
        <v>56</v>
      </c>
      <c r="AD746" t="str">
        <f t="shared" si="208"/>
        <v>First Class</v>
      </c>
      <c r="AE746">
        <v>5</v>
      </c>
      <c r="AF746">
        <v>2701.89</v>
      </c>
      <c r="AG746">
        <v>0.1</v>
      </c>
      <c r="AH746">
        <v>0.1</v>
      </c>
      <c r="AI746" t="str">
        <f t="shared" si="209"/>
        <v>Valid</v>
      </c>
      <c r="AJ746">
        <v>12158.5</v>
      </c>
      <c r="AK746">
        <f t="shared" si="210"/>
        <v>12158.504999999999</v>
      </c>
      <c r="AL746">
        <v>10260.07</v>
      </c>
      <c r="AM746">
        <v>1898.43</v>
      </c>
      <c r="AN746">
        <f t="shared" si="211"/>
        <v>1898.4349999999995</v>
      </c>
      <c r="AO746">
        <f t="shared" si="212"/>
        <v>-10260.07</v>
      </c>
      <c r="AP746" t="s">
        <v>34</v>
      </c>
      <c r="AQ746" t="str">
        <f t="shared" si="213"/>
        <v>Paid</v>
      </c>
      <c r="AR746" t="s">
        <v>78</v>
      </c>
      <c r="AS746" t="str">
        <f t="shared" si="214"/>
        <v>Cancelled</v>
      </c>
      <c r="AT746" t="str">
        <f t="shared" si="215"/>
        <v>Clean</v>
      </c>
    </row>
    <row r="747" spans="1:46">
      <c r="A747" t="s">
        <v>3460</v>
      </c>
      <c r="B747">
        <f>COUNTIF($D$2:D747,D747)</f>
        <v>1</v>
      </c>
      <c r="C747" t="str">
        <f>IF(COUNTIF($A:$A,A747)=1,
"Unique",
IF(COUNTIFS($A:$A,A747,$N:$N,N747,$AF:$AF,AF747,$AJ:$AJ,AJ747)&gt;1,
"Exact Duplicate",
"Conflicting Duplicate"))</f>
        <v>Unique</v>
      </c>
      <c r="D747" t="s">
        <v>3461</v>
      </c>
      <c r="E747" t="s">
        <v>3462</v>
      </c>
      <c r="F747" s="2">
        <v>45589</v>
      </c>
      <c r="G747" s="3">
        <v>45593</v>
      </c>
      <c r="H747" s="5" t="str">
        <f t="shared" si="198"/>
        <v>October</v>
      </c>
      <c r="I747" s="5">
        <f t="shared" si="199"/>
        <v>2024</v>
      </c>
      <c r="J747" t="str">
        <f>IF(F747="","Missing Date",
IF(ISNUMBER(F747),"Valid","Invalid Date"))</f>
        <v>Valid</v>
      </c>
      <c r="K747" t="str">
        <f t="shared" si="200"/>
        <v>Valid</v>
      </c>
      <c r="L747">
        <f>G747-F747</f>
        <v>4</v>
      </c>
      <c r="M747" t="s">
        <v>3463</v>
      </c>
      <c r="N747" t="s">
        <v>40</v>
      </c>
      <c r="O747" t="str">
        <f t="shared" si="201"/>
        <v>Mira Das</v>
      </c>
      <c r="P747" t="s">
        <v>41</v>
      </c>
      <c r="Q747" t="str">
        <f t="shared" si="202"/>
        <v>Small Business</v>
      </c>
      <c r="R747" t="s">
        <v>42</v>
      </c>
      <c r="S747" t="str">
        <f t="shared" si="203"/>
        <v>East</v>
      </c>
      <c r="T747" t="s">
        <v>216</v>
      </c>
      <c r="U747" t="str">
        <f t="shared" si="204"/>
        <v>Assam</v>
      </c>
      <c r="V747" t="s">
        <v>217</v>
      </c>
      <c r="W747" t="str">
        <f t="shared" si="205"/>
        <v>Guwahati</v>
      </c>
      <c r="X747" t="s">
        <v>86</v>
      </c>
      <c r="Y747" t="str">
        <f t="shared" si="206"/>
        <v>Technology</v>
      </c>
      <c r="Z747" t="s">
        <v>94</v>
      </c>
      <c r="AA747" t="str">
        <f t="shared" si="207"/>
        <v>Copiers</v>
      </c>
      <c r="AB747" t="s">
        <v>3464</v>
      </c>
      <c r="AC747" t="s">
        <v>67</v>
      </c>
      <c r="AD747" t="str">
        <f t="shared" si="208"/>
        <v>Standard Class</v>
      </c>
      <c r="AE747">
        <v>3</v>
      </c>
      <c r="AF747">
        <v>723.59</v>
      </c>
      <c r="AG747">
        <v>0.2</v>
      </c>
      <c r="AH747">
        <v>0.2</v>
      </c>
      <c r="AI747" t="str">
        <f t="shared" si="209"/>
        <v>Valid</v>
      </c>
      <c r="AJ747">
        <v>1736.62</v>
      </c>
      <c r="AK747">
        <f t="shared" si="210"/>
        <v>1736.616</v>
      </c>
      <c r="AL747">
        <v>1059.52</v>
      </c>
      <c r="AM747">
        <v>677.1</v>
      </c>
      <c r="AN747">
        <f t="shared" si="211"/>
        <v>677.096</v>
      </c>
      <c r="AO747">
        <f t="shared" si="212"/>
        <v>-1059.52</v>
      </c>
      <c r="AP747" t="s">
        <v>34</v>
      </c>
      <c r="AQ747" t="str">
        <f t="shared" si="213"/>
        <v>Paid</v>
      </c>
      <c r="AR747" t="s">
        <v>35</v>
      </c>
      <c r="AS747" t="str">
        <f t="shared" si="214"/>
        <v>Completed</v>
      </c>
      <c r="AT747" t="str">
        <f t="shared" si="215"/>
        <v>Clean</v>
      </c>
    </row>
    <row r="748" spans="1:46">
      <c r="A748" t="s">
        <v>3465</v>
      </c>
      <c r="B748">
        <f>COUNTIF($D$2:D748,D748)</f>
        <v>1</v>
      </c>
      <c r="C748" t="str">
        <f>IF(COUNTIF($A:$A,A748)=1,
"Unique",
IF(COUNTIFS($A:$A,A748,$N:$N,N748,$AF:$AF,AF748,$AJ:$AJ,AJ748)&gt;1,
"Exact Duplicate",
"Conflicting Duplicate"))</f>
        <v>Unique</v>
      </c>
      <c r="D748" t="s">
        <v>1348</v>
      </c>
      <c r="E748" t="s">
        <v>3466</v>
      </c>
      <c r="F748" s="3">
        <v>45748</v>
      </c>
      <c r="G748" s="3">
        <v>45931</v>
      </c>
      <c r="H748" s="5" t="str">
        <f t="shared" si="198"/>
        <v>April</v>
      </c>
      <c r="I748" s="5">
        <f t="shared" si="199"/>
        <v>2025</v>
      </c>
      <c r="J748" t="str">
        <f>IF(F748="","Missing Date",
IF(ISNUMBER(F748),"Valid","Invalid Date"))</f>
        <v>Valid</v>
      </c>
      <c r="K748" t="str">
        <f t="shared" si="200"/>
        <v>Valid</v>
      </c>
      <c r="L748">
        <f>G748-F748</f>
        <v>183</v>
      </c>
      <c r="M748" t="s">
        <v>3053</v>
      </c>
      <c r="N748" t="s">
        <v>162</v>
      </c>
      <c r="O748" t="str">
        <f t="shared" si="201"/>
        <v>Aarav Sharma</v>
      </c>
      <c r="P748" t="s">
        <v>115</v>
      </c>
      <c r="Q748" t="str">
        <f t="shared" si="202"/>
        <v>Home Office</v>
      </c>
      <c r="R748" t="s">
        <v>42</v>
      </c>
      <c r="S748" t="str">
        <f t="shared" si="203"/>
        <v>East</v>
      </c>
      <c r="T748" t="s">
        <v>121</v>
      </c>
      <c r="U748" t="str">
        <f t="shared" si="204"/>
        <v>West Bengal</v>
      </c>
      <c r="V748" t="s">
        <v>122</v>
      </c>
      <c r="W748" t="str">
        <f t="shared" si="205"/>
        <v>Kolkata</v>
      </c>
      <c r="X748" t="s">
        <v>30</v>
      </c>
      <c r="Y748" t="str">
        <f t="shared" si="206"/>
        <v>Office Supplies</v>
      </c>
      <c r="Z748" t="s">
        <v>31</v>
      </c>
      <c r="AA748" t="str">
        <f t="shared" si="207"/>
        <v>Paper</v>
      </c>
      <c r="AB748" t="s">
        <v>3467</v>
      </c>
      <c r="AC748" t="s">
        <v>67</v>
      </c>
      <c r="AD748" t="str">
        <f t="shared" si="208"/>
        <v>Standard Class</v>
      </c>
      <c r="AE748">
        <v>4</v>
      </c>
      <c r="AF748">
        <v>2583.19</v>
      </c>
      <c r="AG748">
        <v>0.2</v>
      </c>
      <c r="AH748">
        <v>0.2</v>
      </c>
      <c r="AI748" t="str">
        <f t="shared" si="209"/>
        <v>Valid</v>
      </c>
      <c r="AJ748">
        <v>8266.2099999999991</v>
      </c>
      <c r="AK748">
        <f t="shared" si="210"/>
        <v>8266.2080000000005</v>
      </c>
      <c r="AL748">
        <v>6236.32</v>
      </c>
      <c r="AM748">
        <v>2029.89</v>
      </c>
      <c r="AN748">
        <f t="shared" si="211"/>
        <v>2029.8880000000008</v>
      </c>
      <c r="AO748">
        <f t="shared" si="212"/>
        <v>-6236.32</v>
      </c>
      <c r="AP748" t="s">
        <v>34</v>
      </c>
      <c r="AQ748" t="str">
        <f t="shared" si="213"/>
        <v>Paid</v>
      </c>
      <c r="AR748" t="s">
        <v>35</v>
      </c>
      <c r="AS748" t="str">
        <f t="shared" si="214"/>
        <v>Completed</v>
      </c>
      <c r="AT748" t="str">
        <f t="shared" si="215"/>
        <v>Clean</v>
      </c>
    </row>
    <row r="749" spans="1:46">
      <c r="A749" t="s">
        <v>3468</v>
      </c>
      <c r="B749">
        <f>COUNTIF($D$2:D749,D749)</f>
        <v>2</v>
      </c>
      <c r="C749" t="str">
        <f>IF(COUNTIF($A:$A,A749)=1,
"Unique",
IF(COUNTIFS($A:$A,A749,$N:$N,N749,$AF:$AF,AF749,$AJ:$AJ,AJ749)&gt;1,
"Exact Duplicate",
"Conflicting Duplicate"))</f>
        <v>Unique</v>
      </c>
      <c r="D749" t="s">
        <v>3469</v>
      </c>
      <c r="E749" t="s">
        <v>3470</v>
      </c>
      <c r="F749" s="3">
        <v>45296</v>
      </c>
      <c r="G749" s="2">
        <v>45478</v>
      </c>
      <c r="H749" s="5" t="str">
        <f t="shared" si="198"/>
        <v>January</v>
      </c>
      <c r="I749" s="5">
        <f t="shared" si="199"/>
        <v>2024</v>
      </c>
      <c r="J749" t="str">
        <f>IF(F749="","Missing Date",
IF(ISNUMBER(F749),"Valid","Invalid Date"))</f>
        <v>Valid</v>
      </c>
      <c r="K749" t="str">
        <f t="shared" si="200"/>
        <v>Valid</v>
      </c>
      <c r="L749">
        <f>G749-F749</f>
        <v>182</v>
      </c>
      <c r="M749" t="s">
        <v>3471</v>
      </c>
      <c r="N749" t="s">
        <v>53</v>
      </c>
      <c r="O749" t="str">
        <f t="shared" si="201"/>
        <v>Isha Nair</v>
      </c>
      <c r="P749" t="s">
        <v>115</v>
      </c>
      <c r="Q749" t="str">
        <f t="shared" si="202"/>
        <v>Home Office</v>
      </c>
      <c r="R749" t="s">
        <v>42</v>
      </c>
      <c r="S749" t="str">
        <f t="shared" si="203"/>
        <v>East</v>
      </c>
      <c r="T749" t="s">
        <v>43</v>
      </c>
      <c r="U749" t="str">
        <f t="shared" si="204"/>
        <v>Odisha</v>
      </c>
      <c r="V749" t="s">
        <v>44</v>
      </c>
      <c r="W749" t="str">
        <f t="shared" si="205"/>
        <v>Bhubaneswar</v>
      </c>
      <c r="X749" t="s">
        <v>30</v>
      </c>
      <c r="Y749" t="str">
        <f t="shared" si="206"/>
        <v>Office Supplies</v>
      </c>
      <c r="Z749" t="s">
        <v>31</v>
      </c>
      <c r="AA749" t="str">
        <f t="shared" si="207"/>
        <v>Paper</v>
      </c>
      <c r="AB749" t="s">
        <v>3472</v>
      </c>
      <c r="AC749" t="s">
        <v>48</v>
      </c>
      <c r="AD749" t="str">
        <f t="shared" si="208"/>
        <v>Same Day</v>
      </c>
      <c r="AE749">
        <v>8</v>
      </c>
      <c r="AF749">
        <v>1473.83</v>
      </c>
      <c r="AG749">
        <v>0.15</v>
      </c>
      <c r="AH749">
        <v>0.15</v>
      </c>
      <c r="AI749" t="str">
        <f t="shared" si="209"/>
        <v>Valid</v>
      </c>
      <c r="AJ749">
        <v>10022.040000000001</v>
      </c>
      <c r="AK749">
        <f t="shared" si="210"/>
        <v>10022.044</v>
      </c>
      <c r="AL749">
        <v>5576.98</v>
      </c>
      <c r="AM749">
        <v>4445.0600000000004</v>
      </c>
      <c r="AN749">
        <f t="shared" si="211"/>
        <v>4445.0640000000003</v>
      </c>
      <c r="AO749">
        <f t="shared" si="212"/>
        <v>-5576.98</v>
      </c>
      <c r="AP749" t="s">
        <v>34</v>
      </c>
      <c r="AQ749" t="str">
        <f t="shared" si="213"/>
        <v>Paid</v>
      </c>
      <c r="AR749" t="s">
        <v>35</v>
      </c>
      <c r="AS749" t="str">
        <f t="shared" si="214"/>
        <v>Completed</v>
      </c>
      <c r="AT749" t="str">
        <f t="shared" si="215"/>
        <v>Clean</v>
      </c>
    </row>
    <row r="750" spans="1:46">
      <c r="A750" t="s">
        <v>3473</v>
      </c>
      <c r="B750">
        <f>COUNTIF($D$2:D750,D750)</f>
        <v>1</v>
      </c>
      <c r="C750" t="str">
        <f>IF(COUNTIF($A:$A,A750)=1,
"Unique",
IF(COUNTIFS($A:$A,A750,$N:$N,N750,$AF:$AF,AF750,$AJ:$AJ,AJ750)&gt;1,
"Exact Duplicate",
"Conflicting Duplicate"))</f>
        <v>Unique</v>
      </c>
      <c r="D750" t="s">
        <v>3474</v>
      </c>
      <c r="E750" t="s">
        <v>3475</v>
      </c>
      <c r="F750" s="3">
        <v>45442</v>
      </c>
      <c r="G750" s="3">
        <v>45442</v>
      </c>
      <c r="H750" s="5" t="str">
        <f t="shared" si="198"/>
        <v>May</v>
      </c>
      <c r="I750" s="5">
        <f t="shared" si="199"/>
        <v>2024</v>
      </c>
      <c r="J750" t="str">
        <f>IF(F750="","Missing Date",
IF(ISNUMBER(F750),"Valid","Invalid Date"))</f>
        <v>Valid</v>
      </c>
      <c r="K750" t="str">
        <f t="shared" si="200"/>
        <v>Valid</v>
      </c>
      <c r="L750">
        <f>G750-F750</f>
        <v>0</v>
      </c>
      <c r="M750" t="s">
        <v>3476</v>
      </c>
      <c r="N750" t="s">
        <v>210</v>
      </c>
      <c r="O750" t="str">
        <f t="shared" si="201"/>
        <v>Diya Patel</v>
      </c>
      <c r="P750" t="s">
        <v>115</v>
      </c>
      <c r="Q750" t="str">
        <f t="shared" si="202"/>
        <v>Home Office</v>
      </c>
      <c r="R750" t="s">
        <v>27</v>
      </c>
      <c r="S750" t="str">
        <f t="shared" si="203"/>
        <v>North</v>
      </c>
      <c r="T750" t="s">
        <v>323</v>
      </c>
      <c r="U750" t="str">
        <f t="shared" si="204"/>
        <v>Haryana</v>
      </c>
      <c r="V750" t="s">
        <v>324</v>
      </c>
      <c r="W750" t="str">
        <f t="shared" si="205"/>
        <v>Gurugram</v>
      </c>
      <c r="X750" t="s">
        <v>86</v>
      </c>
      <c r="Y750" t="str">
        <f t="shared" si="206"/>
        <v>Technology</v>
      </c>
      <c r="Z750" t="s">
        <v>223</v>
      </c>
      <c r="AA750" t="str">
        <f t="shared" si="207"/>
        <v>Phones</v>
      </c>
      <c r="AB750" t="s">
        <v>3477</v>
      </c>
      <c r="AC750" t="s">
        <v>33</v>
      </c>
      <c r="AD750" t="str">
        <f t="shared" si="208"/>
        <v>Second Class</v>
      </c>
      <c r="AE750">
        <v>1</v>
      </c>
      <c r="AF750">
        <v>3848.04</v>
      </c>
      <c r="AG750">
        <v>0.25</v>
      </c>
      <c r="AH750">
        <v>0.25</v>
      </c>
      <c r="AI750" t="str">
        <f t="shared" si="209"/>
        <v>Valid</v>
      </c>
      <c r="AJ750">
        <v>2886.03</v>
      </c>
      <c r="AK750">
        <f t="shared" si="210"/>
        <v>2886.0299999999997</v>
      </c>
      <c r="AL750">
        <v>2064.83</v>
      </c>
      <c r="AM750">
        <v>821.2</v>
      </c>
      <c r="AN750">
        <f t="shared" si="211"/>
        <v>821.19999999999982</v>
      </c>
      <c r="AO750">
        <f t="shared" si="212"/>
        <v>-2064.83</v>
      </c>
      <c r="AP750" t="s">
        <v>34</v>
      </c>
      <c r="AQ750" t="str">
        <f t="shared" si="213"/>
        <v>Paid</v>
      </c>
      <c r="AR750" t="s">
        <v>35</v>
      </c>
      <c r="AS750" t="str">
        <f t="shared" si="214"/>
        <v>Completed</v>
      </c>
      <c r="AT750" t="str">
        <f t="shared" si="215"/>
        <v>Clean</v>
      </c>
    </row>
    <row r="751" spans="1:46">
      <c r="A751" t="s">
        <v>3478</v>
      </c>
      <c r="B751">
        <f>COUNTIF($D$2:D751,D751)</f>
        <v>1</v>
      </c>
      <c r="C751" t="str">
        <f>IF(COUNTIF($A:$A,A751)=1,
"Unique",
IF(COUNTIFS($A:$A,A751,$N:$N,N751,$AF:$AF,AF751,$AJ:$AJ,AJ751)&gt;1,
"Exact Duplicate",
"Conflicting Duplicate"))</f>
        <v>Unique</v>
      </c>
      <c r="D751" t="s">
        <v>3479</v>
      </c>
      <c r="E751" t="s">
        <v>3480</v>
      </c>
      <c r="F751" s="2">
        <v>45372</v>
      </c>
      <c r="G751" s="3">
        <v>45376</v>
      </c>
      <c r="H751" s="5" t="str">
        <f t="shared" si="198"/>
        <v>March</v>
      </c>
      <c r="I751" s="5">
        <f t="shared" si="199"/>
        <v>2024</v>
      </c>
      <c r="J751" t="str">
        <f>IF(F751="","Missing Date",
IF(ISNUMBER(F751),"Valid","Invalid Date"))</f>
        <v>Valid</v>
      </c>
      <c r="K751" t="str">
        <f t="shared" si="200"/>
        <v>Valid</v>
      </c>
      <c r="L751">
        <f>G751-F751</f>
        <v>4</v>
      </c>
      <c r="M751" t="s">
        <v>3481</v>
      </c>
      <c r="N751" t="s">
        <v>107</v>
      </c>
      <c r="O751" t="str">
        <f t="shared" si="201"/>
        <v>Aditi Sen</v>
      </c>
      <c r="P751" t="s">
        <v>115</v>
      </c>
      <c r="Q751" t="str">
        <f t="shared" si="202"/>
        <v>Home Office</v>
      </c>
      <c r="R751" t="s">
        <v>42</v>
      </c>
      <c r="S751" t="str">
        <f t="shared" si="203"/>
        <v>East</v>
      </c>
      <c r="T751" t="s">
        <v>216</v>
      </c>
      <c r="U751" t="str">
        <f t="shared" si="204"/>
        <v>Assam</v>
      </c>
      <c r="V751" t="s">
        <v>217</v>
      </c>
      <c r="W751" t="str">
        <f t="shared" si="205"/>
        <v>Guwahati</v>
      </c>
      <c r="X751" t="s">
        <v>86</v>
      </c>
      <c r="Y751" t="str">
        <f t="shared" si="206"/>
        <v>Technology</v>
      </c>
      <c r="Z751" t="s">
        <v>382</v>
      </c>
      <c r="AA751" t="str">
        <f t="shared" si="207"/>
        <v>Machines</v>
      </c>
      <c r="AB751" t="s">
        <v>3482</v>
      </c>
      <c r="AC751" t="s">
        <v>67</v>
      </c>
      <c r="AD751" t="str">
        <f t="shared" si="208"/>
        <v>Standard Class</v>
      </c>
      <c r="AE751">
        <v>1</v>
      </c>
      <c r="AF751">
        <v>1716.7</v>
      </c>
      <c r="AG751">
        <v>0.15</v>
      </c>
      <c r="AH751">
        <v>0.15</v>
      </c>
      <c r="AI751" t="str">
        <f t="shared" si="209"/>
        <v>Valid</v>
      </c>
      <c r="AJ751">
        <v>1459.19</v>
      </c>
      <c r="AK751">
        <f t="shared" si="210"/>
        <v>1459.1949999999999</v>
      </c>
      <c r="AL751">
        <v>1055.79</v>
      </c>
      <c r="AM751">
        <v>403.4</v>
      </c>
      <c r="AN751">
        <f t="shared" si="211"/>
        <v>403.40499999999997</v>
      </c>
      <c r="AO751">
        <f t="shared" si="212"/>
        <v>-1055.79</v>
      </c>
      <c r="AP751" t="s">
        <v>34</v>
      </c>
      <c r="AQ751" t="str">
        <f t="shared" si="213"/>
        <v>Paid</v>
      </c>
      <c r="AR751" t="s">
        <v>35</v>
      </c>
      <c r="AS751" t="str">
        <f t="shared" si="214"/>
        <v>Completed</v>
      </c>
      <c r="AT751" t="str">
        <f t="shared" si="215"/>
        <v>Clean</v>
      </c>
    </row>
    <row r="752" spans="1:46">
      <c r="A752" t="s">
        <v>3483</v>
      </c>
      <c r="B752">
        <f>COUNTIF($D$2:D752,D752)</f>
        <v>1</v>
      </c>
      <c r="C752" t="str">
        <f>IF(COUNTIF($A:$A,A752)=1,
"Unique",
IF(COUNTIFS($A:$A,A752,$N:$N,N752,$AF:$AF,AF752,$AJ:$AJ,AJ752)&gt;1,
"Exact Duplicate",
"Conflicting Duplicate"))</f>
        <v>Unique</v>
      </c>
      <c r="D752" t="s">
        <v>3484</v>
      </c>
      <c r="E752" t="s">
        <v>375</v>
      </c>
      <c r="F752" s="3">
        <v>45810</v>
      </c>
      <c r="G752" s="3">
        <v>45694</v>
      </c>
      <c r="H752" s="5" t="str">
        <f t="shared" si="198"/>
        <v>June</v>
      </c>
      <c r="I752" s="5">
        <f t="shared" si="199"/>
        <v>2025</v>
      </c>
      <c r="J752" t="str">
        <f>IF(F752="","Missing Date",
IF(ISNUMBER(F752),"Valid","Invalid Date"))</f>
        <v>Valid</v>
      </c>
      <c r="K752" t="str">
        <f t="shared" si="200"/>
        <v>Valid</v>
      </c>
      <c r="L752">
        <f>G752-F752</f>
        <v>-116</v>
      </c>
      <c r="M752" t="s">
        <v>3485</v>
      </c>
      <c r="N752" t="s">
        <v>162</v>
      </c>
      <c r="O752" t="str">
        <f t="shared" si="201"/>
        <v>Aarav Sharma</v>
      </c>
      <c r="P752" t="s">
        <v>115</v>
      </c>
      <c r="Q752" t="str">
        <f t="shared" si="202"/>
        <v>Home Office</v>
      </c>
      <c r="R752" t="s">
        <v>62</v>
      </c>
      <c r="S752" t="str">
        <f t="shared" si="203"/>
        <v>South</v>
      </c>
      <c r="T752" t="s">
        <v>63</v>
      </c>
      <c r="U752" t="str">
        <f t="shared" si="204"/>
        <v>Telangana</v>
      </c>
      <c r="V752" t="s">
        <v>64</v>
      </c>
      <c r="W752" t="str">
        <f t="shared" si="205"/>
        <v>Hyderabad</v>
      </c>
      <c r="X752" t="s">
        <v>86</v>
      </c>
      <c r="Y752" t="str">
        <f t="shared" si="206"/>
        <v>Technology</v>
      </c>
      <c r="Z752" t="s">
        <v>87</v>
      </c>
      <c r="AA752" t="str">
        <f t="shared" si="207"/>
        <v>Accessories</v>
      </c>
      <c r="AB752" t="s">
        <v>3486</v>
      </c>
      <c r="AC752" t="s">
        <v>56</v>
      </c>
      <c r="AD752" t="str">
        <f t="shared" si="208"/>
        <v>First Class</v>
      </c>
      <c r="AE752">
        <v>8</v>
      </c>
      <c r="AF752">
        <v>3925.93</v>
      </c>
      <c r="AG752">
        <v>0.15</v>
      </c>
      <c r="AH752">
        <v>0.15</v>
      </c>
      <c r="AI752" t="str">
        <f t="shared" si="209"/>
        <v>Valid</v>
      </c>
      <c r="AJ752">
        <v>26696.32</v>
      </c>
      <c r="AK752">
        <f t="shared" si="210"/>
        <v>26696.323999999997</v>
      </c>
      <c r="AL752">
        <v>22724.52</v>
      </c>
      <c r="AM752">
        <v>3971.8</v>
      </c>
      <c r="AN752">
        <f t="shared" si="211"/>
        <v>3971.8039999999964</v>
      </c>
      <c r="AO752">
        <f t="shared" si="212"/>
        <v>-22724.52</v>
      </c>
      <c r="AP752" t="s">
        <v>34</v>
      </c>
      <c r="AQ752" t="str">
        <f t="shared" si="213"/>
        <v>Paid</v>
      </c>
      <c r="AR752" t="s">
        <v>35</v>
      </c>
      <c r="AS752" t="str">
        <f t="shared" si="214"/>
        <v>Completed</v>
      </c>
      <c r="AT752" t="str">
        <f t="shared" si="215"/>
        <v>Clean</v>
      </c>
    </row>
    <row r="753" spans="1:46">
      <c r="A753" t="s">
        <v>3487</v>
      </c>
      <c r="B753">
        <f>COUNTIF($D$2:D753,D753)</f>
        <v>2</v>
      </c>
      <c r="C753" t="str">
        <f>IF(COUNTIF($A:$A,A753)=1,
"Unique",
IF(COUNTIFS($A:$A,A753,$N:$N,N753,$AF:$AF,AF753,$AJ:$AJ,AJ753)&gt;1,
"Exact Duplicate",
"Conflicting Duplicate"))</f>
        <v>Unique</v>
      </c>
      <c r="D753" t="s">
        <v>720</v>
      </c>
      <c r="E753" t="s">
        <v>3488</v>
      </c>
      <c r="F753" s="3">
        <v>45856</v>
      </c>
      <c r="G753" s="3">
        <v>45857</v>
      </c>
      <c r="H753" s="5" t="str">
        <f t="shared" si="198"/>
        <v>July</v>
      </c>
      <c r="I753" s="5">
        <f t="shared" si="199"/>
        <v>2025</v>
      </c>
      <c r="J753" t="str">
        <f>IF(F753="","Missing Date",
IF(ISNUMBER(F753),"Valid","Invalid Date"))</f>
        <v>Valid</v>
      </c>
      <c r="K753" t="str">
        <f t="shared" si="200"/>
        <v>Valid</v>
      </c>
      <c r="L753">
        <f>G753-F753</f>
        <v>1</v>
      </c>
      <c r="M753" t="s">
        <v>3489</v>
      </c>
      <c r="N753" t="s">
        <v>142</v>
      </c>
      <c r="O753" t="str">
        <f t="shared" si="201"/>
        <v>Priya Menon</v>
      </c>
      <c r="P753" t="s">
        <v>115</v>
      </c>
      <c r="Q753" t="str">
        <f t="shared" si="202"/>
        <v>Home Office</v>
      </c>
      <c r="R753" t="s">
        <v>4104</v>
      </c>
      <c r="S753" t="s">
        <v>4104</v>
      </c>
      <c r="T753" t="s">
        <v>174</v>
      </c>
      <c r="U753" t="str">
        <f t="shared" si="204"/>
        <v>Uttar Pradesh</v>
      </c>
      <c r="V753" t="s">
        <v>175</v>
      </c>
      <c r="W753" t="str">
        <f t="shared" si="205"/>
        <v>Noida</v>
      </c>
      <c r="X753" t="s">
        <v>86</v>
      </c>
      <c r="Y753" t="str">
        <f t="shared" si="206"/>
        <v>Technology</v>
      </c>
      <c r="Z753" t="s">
        <v>382</v>
      </c>
      <c r="AA753" t="str">
        <f t="shared" si="207"/>
        <v>Machines</v>
      </c>
      <c r="AB753" t="s">
        <v>3490</v>
      </c>
      <c r="AC753" t="s">
        <v>4104</v>
      </c>
      <c r="AD753" t="str">
        <f t="shared" si="208"/>
        <v>Unknown</v>
      </c>
      <c r="AE753">
        <v>3</v>
      </c>
      <c r="AF753">
        <v>2963.25</v>
      </c>
      <c r="AG753">
        <v>0.05</v>
      </c>
      <c r="AH753">
        <v>0.05</v>
      </c>
      <c r="AI753" t="str">
        <f t="shared" si="209"/>
        <v>Valid</v>
      </c>
      <c r="AJ753">
        <v>8445.26</v>
      </c>
      <c r="AK753">
        <f t="shared" si="210"/>
        <v>8445.2624999999989</v>
      </c>
      <c r="AL753">
        <v>6937.6</v>
      </c>
      <c r="AM753">
        <v>1507.66</v>
      </c>
      <c r="AN753">
        <f t="shared" si="211"/>
        <v>1507.6624999999985</v>
      </c>
      <c r="AO753">
        <f t="shared" si="212"/>
        <v>-6937.6</v>
      </c>
      <c r="AP753" t="s">
        <v>34</v>
      </c>
      <c r="AQ753" t="str">
        <f t="shared" si="213"/>
        <v>Paid</v>
      </c>
      <c r="AR753" t="s">
        <v>35</v>
      </c>
      <c r="AS753" t="str">
        <f t="shared" si="214"/>
        <v>Completed</v>
      </c>
      <c r="AT753" t="str">
        <f t="shared" si="215"/>
        <v>Clean</v>
      </c>
    </row>
    <row r="754" spans="1:46">
      <c r="A754" t="s">
        <v>3491</v>
      </c>
      <c r="B754">
        <f>COUNTIF($D$2:D754,D754)</f>
        <v>3</v>
      </c>
      <c r="C754" t="str">
        <f>IF(COUNTIF($A:$A,A754)=1,
"Unique",
IF(COUNTIFS($A:$A,A754,$N:$N,N754,$AF:$AF,AF754,$AJ:$AJ,AJ754)&gt;1,
"Exact Duplicate",
"Conflicting Duplicate"))</f>
        <v>Unique</v>
      </c>
      <c r="D754" t="s">
        <v>2217</v>
      </c>
      <c r="E754" t="s">
        <v>3162</v>
      </c>
      <c r="F754" s="3">
        <v>45375</v>
      </c>
      <c r="G754" s="3">
        <v>45378</v>
      </c>
      <c r="H754" s="5" t="str">
        <f t="shared" si="198"/>
        <v>March</v>
      </c>
      <c r="I754" s="5">
        <f t="shared" si="199"/>
        <v>2024</v>
      </c>
      <c r="J754" t="str">
        <f>IF(F754="","Missing Date",
IF(ISNUMBER(F754),"Valid","Invalid Date"))</f>
        <v>Valid</v>
      </c>
      <c r="K754" t="str">
        <f t="shared" si="200"/>
        <v>Valid</v>
      </c>
      <c r="L754">
        <f>G754-F754</f>
        <v>3</v>
      </c>
      <c r="M754" t="s">
        <v>3492</v>
      </c>
      <c r="N754" t="s">
        <v>107</v>
      </c>
      <c r="O754" t="str">
        <f t="shared" si="201"/>
        <v>Aditi Sen</v>
      </c>
      <c r="P754" t="s">
        <v>108</v>
      </c>
      <c r="Q754" t="str">
        <f t="shared" si="202"/>
        <v>Corporate</v>
      </c>
      <c r="R754" t="s">
        <v>73</v>
      </c>
      <c r="S754" t="str">
        <f t="shared" si="203"/>
        <v>West</v>
      </c>
      <c r="T754" t="s">
        <v>235</v>
      </c>
      <c r="U754" t="str">
        <f t="shared" si="204"/>
        <v>Gujarat</v>
      </c>
      <c r="V754" t="s">
        <v>236</v>
      </c>
      <c r="W754" t="str">
        <f t="shared" si="205"/>
        <v>Ahmedabad</v>
      </c>
      <c r="X754" t="s">
        <v>30</v>
      </c>
      <c r="Y754" t="str">
        <f t="shared" si="206"/>
        <v>Office Supplies</v>
      </c>
      <c r="Z754" t="s">
        <v>156</v>
      </c>
      <c r="AA754" t="str">
        <f t="shared" si="207"/>
        <v>Storage</v>
      </c>
      <c r="AB754" t="s">
        <v>3493</v>
      </c>
      <c r="AC754" t="s">
        <v>56</v>
      </c>
      <c r="AD754" t="str">
        <f t="shared" si="208"/>
        <v>First Class</v>
      </c>
      <c r="AE754">
        <v>5</v>
      </c>
      <c r="AF754">
        <v>2465.2199999999998</v>
      </c>
      <c r="AG754">
        <v>0.05</v>
      </c>
      <c r="AH754">
        <v>0.05</v>
      </c>
      <c r="AI754" t="str">
        <f t="shared" si="209"/>
        <v>Valid</v>
      </c>
      <c r="AJ754">
        <v>11709.79</v>
      </c>
      <c r="AK754">
        <f t="shared" si="210"/>
        <v>11709.794999999998</v>
      </c>
      <c r="AL754">
        <v>8372.2900000000009</v>
      </c>
      <c r="AM754">
        <v>3337.5</v>
      </c>
      <c r="AN754">
        <f t="shared" si="211"/>
        <v>3337.5049999999974</v>
      </c>
      <c r="AO754">
        <f t="shared" si="212"/>
        <v>-8372.2900000000009</v>
      </c>
      <c r="AP754" t="s">
        <v>34</v>
      </c>
      <c r="AQ754" t="str">
        <f t="shared" si="213"/>
        <v>Paid</v>
      </c>
      <c r="AR754" t="s">
        <v>35</v>
      </c>
      <c r="AS754" t="str">
        <f t="shared" si="214"/>
        <v>Completed</v>
      </c>
      <c r="AT754" t="str">
        <f t="shared" si="215"/>
        <v>Clean</v>
      </c>
    </row>
    <row r="755" spans="1:46">
      <c r="A755" t="s">
        <v>3494</v>
      </c>
      <c r="B755">
        <f>COUNTIF($D$2:D755,D755)</f>
        <v>4</v>
      </c>
      <c r="C755" t="str">
        <f>IF(COUNTIF($A:$A,A755)=1,
"Unique",
IF(COUNTIFS($A:$A,A755,$N:$N,N755,$AF:$AF,AF755,$AJ:$AJ,AJ755)&gt;1,
"Exact Duplicate",
"Conflicting Duplicate"))</f>
        <v>Unique</v>
      </c>
      <c r="D755" t="s">
        <v>2438</v>
      </c>
      <c r="E755" t="s">
        <v>2798</v>
      </c>
      <c r="F755" s="2">
        <v>45604</v>
      </c>
      <c r="G755" s="3">
        <v>45573</v>
      </c>
      <c r="H755" s="5" t="str">
        <f t="shared" si="198"/>
        <v>November</v>
      </c>
      <c r="I755" s="5">
        <f t="shared" si="199"/>
        <v>2024</v>
      </c>
      <c r="J755" t="str">
        <f>IF(F755="","Missing Date",
IF(ISNUMBER(F755),"Valid","Invalid Date"))</f>
        <v>Valid</v>
      </c>
      <c r="K755" t="str">
        <f t="shared" si="200"/>
        <v>Valid</v>
      </c>
      <c r="L755">
        <f>G755-F755</f>
        <v>-31</v>
      </c>
      <c r="M755" t="s">
        <v>3495</v>
      </c>
      <c r="N755" t="s">
        <v>107</v>
      </c>
      <c r="O755" t="str">
        <f t="shared" si="201"/>
        <v>Aditi Sen</v>
      </c>
      <c r="P755" t="s">
        <v>108</v>
      </c>
      <c r="Q755" t="str">
        <f t="shared" si="202"/>
        <v>Corporate</v>
      </c>
      <c r="R755" t="s">
        <v>27</v>
      </c>
      <c r="S755" t="str">
        <f t="shared" si="203"/>
        <v>North</v>
      </c>
      <c r="T755" t="s">
        <v>506</v>
      </c>
      <c r="U755" t="str">
        <f t="shared" si="204"/>
        <v>Delhi</v>
      </c>
      <c r="V755" t="s">
        <v>507</v>
      </c>
      <c r="W755" t="str">
        <f t="shared" si="205"/>
        <v>New Delhi</v>
      </c>
      <c r="X755" t="s">
        <v>45</v>
      </c>
      <c r="Y755" t="str">
        <f t="shared" si="206"/>
        <v>Furniture</v>
      </c>
      <c r="Z755" t="s">
        <v>65</v>
      </c>
      <c r="AA755" t="str">
        <f t="shared" si="207"/>
        <v>Furnishings</v>
      </c>
      <c r="AB755" t="s">
        <v>3496</v>
      </c>
      <c r="AC755" t="s">
        <v>33</v>
      </c>
      <c r="AD755" t="str">
        <f t="shared" si="208"/>
        <v>Second Class</v>
      </c>
      <c r="AE755">
        <v>3</v>
      </c>
      <c r="AF755">
        <v>1017.22</v>
      </c>
      <c r="AG755">
        <v>0.15</v>
      </c>
      <c r="AH755">
        <v>0.15</v>
      </c>
      <c r="AI755" t="str">
        <f t="shared" si="209"/>
        <v>Valid</v>
      </c>
      <c r="AJ755">
        <v>2593.91</v>
      </c>
      <c r="AK755">
        <f t="shared" si="210"/>
        <v>2593.9109999999996</v>
      </c>
      <c r="AL755">
        <v>1848.48</v>
      </c>
      <c r="AM755">
        <v>745.43</v>
      </c>
      <c r="AN755">
        <f t="shared" si="211"/>
        <v>745.43099999999959</v>
      </c>
      <c r="AO755">
        <f t="shared" si="212"/>
        <v>-1848.48</v>
      </c>
      <c r="AP755" t="s">
        <v>200</v>
      </c>
      <c r="AQ755" t="str">
        <f t="shared" si="213"/>
        <v>Failed</v>
      </c>
      <c r="AR755" t="s">
        <v>125</v>
      </c>
      <c r="AS755" t="str">
        <f t="shared" si="214"/>
        <v>Returned</v>
      </c>
      <c r="AT755" t="str">
        <f t="shared" si="215"/>
        <v>Clean</v>
      </c>
    </row>
    <row r="756" spans="1:46">
      <c r="A756" t="s">
        <v>3497</v>
      </c>
      <c r="B756">
        <f>COUNTIF($D$2:D756,D756)</f>
        <v>3</v>
      </c>
      <c r="C756" t="str">
        <f>IF(COUNTIF($A:$A,A756)=1,
"Unique",
IF(COUNTIFS($A:$A,A756,$N:$N,N756,$AF:$AF,AF756,$AJ:$AJ,AJ756)&gt;1,
"Exact Duplicate",
"Conflicting Duplicate"))</f>
        <v>Unique</v>
      </c>
      <c r="D756" t="s">
        <v>3498</v>
      </c>
      <c r="E756" t="s">
        <v>3498</v>
      </c>
      <c r="F756" s="3">
        <v>45812</v>
      </c>
      <c r="G756" s="3">
        <v>45812</v>
      </c>
      <c r="H756" s="5" t="str">
        <f t="shared" si="198"/>
        <v>June</v>
      </c>
      <c r="I756" s="5">
        <f t="shared" si="199"/>
        <v>2025</v>
      </c>
      <c r="J756" t="str">
        <f>IF(F756="","Missing Date",
IF(ISNUMBER(F756),"Valid","Invalid Date"))</f>
        <v>Valid</v>
      </c>
      <c r="K756" t="str">
        <f t="shared" si="200"/>
        <v>Valid</v>
      </c>
      <c r="L756">
        <f>G756-F756</f>
        <v>0</v>
      </c>
      <c r="M756" t="s">
        <v>3499</v>
      </c>
      <c r="N756" t="s">
        <v>93</v>
      </c>
      <c r="O756" t="str">
        <f t="shared" si="201"/>
        <v>Neha Gupta</v>
      </c>
      <c r="P756" t="s">
        <v>108</v>
      </c>
      <c r="Q756" t="str">
        <f t="shared" si="202"/>
        <v>Corporate</v>
      </c>
      <c r="R756" t="s">
        <v>62</v>
      </c>
      <c r="S756" t="str">
        <f t="shared" si="203"/>
        <v>South</v>
      </c>
      <c r="T756" t="s">
        <v>242</v>
      </c>
      <c r="U756" t="str">
        <f t="shared" si="204"/>
        <v>Kerala</v>
      </c>
      <c r="V756" t="s">
        <v>243</v>
      </c>
      <c r="W756" t="str">
        <f t="shared" si="205"/>
        <v>Kochi</v>
      </c>
      <c r="X756" t="s">
        <v>30</v>
      </c>
      <c r="Y756" t="str">
        <f t="shared" si="206"/>
        <v>Office Supplies</v>
      </c>
      <c r="Z756" t="s">
        <v>156</v>
      </c>
      <c r="AA756" t="str">
        <f t="shared" si="207"/>
        <v>Storage</v>
      </c>
      <c r="AB756" t="s">
        <v>3500</v>
      </c>
      <c r="AC756" t="s">
        <v>67</v>
      </c>
      <c r="AD756" t="str">
        <f t="shared" si="208"/>
        <v>Standard Class</v>
      </c>
      <c r="AE756">
        <v>4</v>
      </c>
      <c r="AF756">
        <v>891.34</v>
      </c>
      <c r="AG756">
        <v>0.25</v>
      </c>
      <c r="AH756">
        <v>0.25</v>
      </c>
      <c r="AI756" t="str">
        <f t="shared" si="209"/>
        <v>Valid</v>
      </c>
      <c r="AJ756">
        <v>2674.02</v>
      </c>
      <c r="AK756">
        <f t="shared" si="210"/>
        <v>2674.02</v>
      </c>
      <c r="AL756">
        <v>2207.5700000000002</v>
      </c>
      <c r="AM756">
        <v>466.45</v>
      </c>
      <c r="AN756">
        <f t="shared" si="211"/>
        <v>466.44999999999982</v>
      </c>
      <c r="AO756">
        <f t="shared" si="212"/>
        <v>-2207.5700000000002</v>
      </c>
      <c r="AP756" t="s">
        <v>34</v>
      </c>
      <c r="AQ756" t="str">
        <f t="shared" si="213"/>
        <v>Paid</v>
      </c>
      <c r="AR756" t="s">
        <v>35</v>
      </c>
      <c r="AS756" t="str">
        <f t="shared" si="214"/>
        <v>Completed</v>
      </c>
      <c r="AT756" t="str">
        <f t="shared" si="215"/>
        <v>Clean</v>
      </c>
    </row>
    <row r="757" spans="1:46">
      <c r="A757" t="s">
        <v>3501</v>
      </c>
      <c r="B757">
        <f>COUNTIF($D$2:D757,D757)</f>
        <v>3</v>
      </c>
      <c r="C757" t="str">
        <f>IF(COUNTIF($A:$A,A757)=1,
"Unique",
IF(COUNTIFS($A:$A,A757,$N:$N,N757,$AF:$AF,AF757,$AJ:$AJ,AJ757)&gt;1,
"Exact Duplicate",
"Conflicting Duplicate"))</f>
        <v>Unique</v>
      </c>
      <c r="D757" t="s">
        <v>1094</v>
      </c>
      <c r="E757" t="s">
        <v>1729</v>
      </c>
      <c r="F757" s="3">
        <v>45858</v>
      </c>
      <c r="G757" s="3">
        <v>45862</v>
      </c>
      <c r="H757" s="5" t="str">
        <f t="shared" si="198"/>
        <v>July</v>
      </c>
      <c r="I757" s="5">
        <f t="shared" si="199"/>
        <v>2025</v>
      </c>
      <c r="J757" t="str">
        <f>IF(F757="","Missing Date",
IF(ISNUMBER(F757),"Valid","Invalid Date"))</f>
        <v>Valid</v>
      </c>
      <c r="K757" t="str">
        <f t="shared" si="200"/>
        <v>Valid</v>
      </c>
      <c r="L757">
        <f>G757-F757</f>
        <v>4</v>
      </c>
      <c r="M757" t="s">
        <v>3502</v>
      </c>
      <c r="N757" t="s">
        <v>142</v>
      </c>
      <c r="O757" t="str">
        <f t="shared" si="201"/>
        <v>Priya Menon</v>
      </c>
      <c r="P757" t="s">
        <v>115</v>
      </c>
      <c r="Q757" t="str">
        <f t="shared" si="202"/>
        <v>Home Office</v>
      </c>
      <c r="R757" t="s">
        <v>73</v>
      </c>
      <c r="S757" t="str">
        <f t="shared" si="203"/>
        <v>West</v>
      </c>
      <c r="T757" t="s">
        <v>84</v>
      </c>
      <c r="U757" t="str">
        <f t="shared" si="204"/>
        <v>Madhya Pradesh</v>
      </c>
      <c r="V757" t="s">
        <v>85</v>
      </c>
      <c r="W757" t="str">
        <f t="shared" si="205"/>
        <v>Indore</v>
      </c>
      <c r="X757" t="s">
        <v>30</v>
      </c>
      <c r="Y757" t="str">
        <f t="shared" si="206"/>
        <v>Office Supplies</v>
      </c>
      <c r="Z757" t="s">
        <v>156</v>
      </c>
      <c r="AA757" t="str">
        <f t="shared" si="207"/>
        <v>Storage</v>
      </c>
      <c r="AB757" t="s">
        <v>3503</v>
      </c>
      <c r="AC757" t="s">
        <v>33</v>
      </c>
      <c r="AD757" t="str">
        <f t="shared" si="208"/>
        <v>Second Class</v>
      </c>
      <c r="AE757">
        <v>5</v>
      </c>
      <c r="AF757">
        <v>2481.7399999999998</v>
      </c>
      <c r="AG757">
        <v>0.2</v>
      </c>
      <c r="AH757">
        <v>0.2</v>
      </c>
      <c r="AI757" t="str">
        <f t="shared" si="209"/>
        <v>Valid</v>
      </c>
      <c r="AJ757">
        <v>9926.9599999999991</v>
      </c>
      <c r="AK757">
        <f t="shared" si="210"/>
        <v>9926.9599999999991</v>
      </c>
      <c r="AL757">
        <v>7994.98</v>
      </c>
      <c r="AM757">
        <v>1931.98</v>
      </c>
      <c r="AN757">
        <f t="shared" si="211"/>
        <v>1931.9799999999996</v>
      </c>
      <c r="AO757">
        <f t="shared" si="212"/>
        <v>-7994.98</v>
      </c>
      <c r="AP757" t="s">
        <v>34</v>
      </c>
      <c r="AQ757" t="str">
        <f t="shared" si="213"/>
        <v>Paid</v>
      </c>
      <c r="AR757" t="s">
        <v>35</v>
      </c>
      <c r="AS757" t="str">
        <f t="shared" si="214"/>
        <v>Completed</v>
      </c>
      <c r="AT757" t="str">
        <f t="shared" si="215"/>
        <v>Clean</v>
      </c>
    </row>
    <row r="758" spans="1:46">
      <c r="A758" t="s">
        <v>3504</v>
      </c>
      <c r="B758">
        <f>COUNTIF($D$2:D758,D758)</f>
        <v>1</v>
      </c>
      <c r="C758" t="str">
        <f>IF(COUNTIF($A:$A,A758)=1,
"Unique",
IF(COUNTIFS($A:$A,A758,$N:$N,N758,$AF:$AF,AF758,$AJ:$AJ,AJ758)&gt;1,
"Exact Duplicate",
"Conflicting Duplicate"))</f>
        <v>Unique</v>
      </c>
      <c r="D758" t="s">
        <v>3505</v>
      </c>
      <c r="E758" t="s">
        <v>3506</v>
      </c>
      <c r="F758" s="3">
        <v>45592</v>
      </c>
      <c r="G758" s="3">
        <v>45597</v>
      </c>
      <c r="H758" s="5" t="str">
        <f t="shared" si="198"/>
        <v>October</v>
      </c>
      <c r="I758" s="5">
        <f t="shared" si="199"/>
        <v>2024</v>
      </c>
      <c r="J758" t="str">
        <f>IF(F758="","Missing Date",
IF(ISNUMBER(F758),"Valid","Invalid Date"))</f>
        <v>Valid</v>
      </c>
      <c r="K758" t="str">
        <f t="shared" si="200"/>
        <v>Valid</v>
      </c>
      <c r="L758">
        <f>G758-F758</f>
        <v>5</v>
      </c>
      <c r="M758" t="s">
        <v>3507</v>
      </c>
      <c r="N758" t="s">
        <v>180</v>
      </c>
      <c r="O758" t="str">
        <f t="shared" si="201"/>
        <v>Rohan Mehta</v>
      </c>
      <c r="P758" t="s">
        <v>26</v>
      </c>
      <c r="Q758" t="str">
        <f t="shared" si="202"/>
        <v>Consumer</v>
      </c>
      <c r="R758" t="s">
        <v>27</v>
      </c>
      <c r="S758" t="str">
        <f t="shared" si="203"/>
        <v>North</v>
      </c>
      <c r="T758" t="s">
        <v>28</v>
      </c>
      <c r="U758" t="str">
        <f t="shared" si="204"/>
        <v>Rajasthan</v>
      </c>
      <c r="V758" t="s">
        <v>29</v>
      </c>
      <c r="W758" t="str">
        <f t="shared" si="205"/>
        <v>Jaipur</v>
      </c>
      <c r="X758" t="s">
        <v>86</v>
      </c>
      <c r="Y758" t="str">
        <f t="shared" si="206"/>
        <v>Technology</v>
      </c>
      <c r="Z758" t="s">
        <v>87</v>
      </c>
      <c r="AA758" t="str">
        <f t="shared" si="207"/>
        <v>Accessories</v>
      </c>
      <c r="AB758" t="s">
        <v>3508</v>
      </c>
      <c r="AC758" t="s">
        <v>48</v>
      </c>
      <c r="AD758" t="str">
        <f t="shared" si="208"/>
        <v>Same Day</v>
      </c>
      <c r="AE758">
        <v>7</v>
      </c>
      <c r="AF758">
        <v>2177.1</v>
      </c>
      <c r="AG758">
        <v>0.2</v>
      </c>
      <c r="AH758">
        <v>0.2</v>
      </c>
      <c r="AI758" t="str">
        <f t="shared" si="209"/>
        <v>Valid</v>
      </c>
      <c r="AJ758">
        <v>12191.76</v>
      </c>
      <c r="AK758">
        <f t="shared" si="210"/>
        <v>12191.76</v>
      </c>
      <c r="AL758">
        <v>10457.49</v>
      </c>
      <c r="AM758">
        <v>1734.27</v>
      </c>
      <c r="AN758">
        <f t="shared" si="211"/>
        <v>1734.2700000000004</v>
      </c>
      <c r="AO758">
        <f t="shared" si="212"/>
        <v>-10457.49</v>
      </c>
      <c r="AP758" t="s">
        <v>34</v>
      </c>
      <c r="AQ758" t="str">
        <f t="shared" si="213"/>
        <v>Paid</v>
      </c>
      <c r="AR758" t="s">
        <v>125</v>
      </c>
      <c r="AS758" t="str">
        <f t="shared" si="214"/>
        <v>Returned</v>
      </c>
      <c r="AT758" t="str">
        <f t="shared" si="215"/>
        <v>Clean</v>
      </c>
    </row>
    <row r="759" spans="1:46">
      <c r="A759" t="s">
        <v>3509</v>
      </c>
      <c r="B759">
        <f>COUNTIF($D$2:D759,D759)</f>
        <v>2</v>
      </c>
      <c r="C759" t="str">
        <f>IF(COUNTIF($A:$A,A759)=1,
"Unique",
IF(COUNTIFS($A:$A,A759,$N:$N,N759,$AF:$AF,AF759,$AJ:$AJ,AJ759)&gt;1,
"Exact Duplicate",
"Conflicting Duplicate"))</f>
        <v>Unique</v>
      </c>
      <c r="D759" t="s">
        <v>3510</v>
      </c>
      <c r="E759" t="s">
        <v>3511</v>
      </c>
      <c r="F759" s="2">
        <v>45665</v>
      </c>
      <c r="G759" s="3">
        <v>45724</v>
      </c>
      <c r="H759" s="5" t="str">
        <f t="shared" si="198"/>
        <v>January</v>
      </c>
      <c r="I759" s="5">
        <f t="shared" si="199"/>
        <v>2025</v>
      </c>
      <c r="J759" t="str">
        <f>IF(F759="","Missing Date",
IF(ISNUMBER(F759),"Valid","Invalid Date"))</f>
        <v>Valid</v>
      </c>
      <c r="K759" t="str">
        <f t="shared" si="200"/>
        <v>Valid</v>
      </c>
      <c r="L759">
        <f>G759-F759</f>
        <v>59</v>
      </c>
      <c r="M759" t="s">
        <v>3512</v>
      </c>
      <c r="N759" t="s">
        <v>107</v>
      </c>
      <c r="O759" t="str">
        <f t="shared" si="201"/>
        <v>Aditi Sen</v>
      </c>
      <c r="P759" t="s">
        <v>41</v>
      </c>
      <c r="Q759" t="str">
        <f t="shared" si="202"/>
        <v>Small Business</v>
      </c>
      <c r="R759" t="s">
        <v>62</v>
      </c>
      <c r="S759" t="str">
        <f t="shared" si="203"/>
        <v>South</v>
      </c>
      <c r="T759" t="s">
        <v>242</v>
      </c>
      <c r="U759" t="str">
        <f t="shared" si="204"/>
        <v>Kerala</v>
      </c>
      <c r="V759" t="s">
        <v>243</v>
      </c>
      <c r="W759" t="str">
        <f t="shared" si="205"/>
        <v>Kochi</v>
      </c>
      <c r="X759" t="s">
        <v>45</v>
      </c>
      <c r="Y759" t="str">
        <f t="shared" si="206"/>
        <v>Furniture</v>
      </c>
      <c r="Z759" t="s">
        <v>204</v>
      </c>
      <c r="AA759" t="str">
        <f t="shared" si="207"/>
        <v>Bookcases</v>
      </c>
      <c r="AB759" t="s">
        <v>3513</v>
      </c>
      <c r="AC759" t="s">
        <v>67</v>
      </c>
      <c r="AD759" t="str">
        <f t="shared" si="208"/>
        <v>Standard Class</v>
      </c>
      <c r="AE759">
        <v>3</v>
      </c>
      <c r="AF759">
        <v>1904.78</v>
      </c>
      <c r="AG759">
        <v>0.25</v>
      </c>
      <c r="AH759">
        <v>0.25</v>
      </c>
      <c r="AI759" t="str">
        <f t="shared" si="209"/>
        <v>Valid</v>
      </c>
      <c r="AJ759">
        <v>4285.76</v>
      </c>
      <c r="AK759">
        <f t="shared" si="210"/>
        <v>4285.7550000000001</v>
      </c>
      <c r="AL759">
        <v>2386.33</v>
      </c>
      <c r="AM759">
        <v>1899.43</v>
      </c>
      <c r="AN759">
        <f t="shared" si="211"/>
        <v>1899.4250000000002</v>
      </c>
      <c r="AO759">
        <f t="shared" si="212"/>
        <v>-2386.33</v>
      </c>
      <c r="AP759" t="s">
        <v>200</v>
      </c>
      <c r="AQ759" t="str">
        <f t="shared" si="213"/>
        <v>Failed</v>
      </c>
      <c r="AR759" t="s">
        <v>78</v>
      </c>
      <c r="AS759" t="str">
        <f t="shared" si="214"/>
        <v>Cancelled</v>
      </c>
      <c r="AT759" t="str">
        <f t="shared" si="215"/>
        <v>Clean</v>
      </c>
    </row>
    <row r="760" spans="1:46">
      <c r="A760" t="s">
        <v>3514</v>
      </c>
      <c r="B760">
        <f>COUNTIF($D$2:D760,D760)</f>
        <v>3</v>
      </c>
      <c r="C760" t="str">
        <f>IF(COUNTIF($A:$A,A760)=1,
"Unique",
IF(COUNTIFS($A:$A,A760,$N:$N,N760,$AF:$AF,AF760,$AJ:$AJ,AJ760)&gt;1,
"Exact Duplicate",
"Conflicting Duplicate"))</f>
        <v>Unique</v>
      </c>
      <c r="D760" t="s">
        <v>3515</v>
      </c>
      <c r="E760" t="s">
        <v>2704</v>
      </c>
      <c r="F760" s="2">
        <v>45327</v>
      </c>
      <c r="G760" s="2">
        <v>45570</v>
      </c>
      <c r="H760" s="5" t="str">
        <f t="shared" si="198"/>
        <v>February</v>
      </c>
      <c r="I760" s="5">
        <f t="shared" si="199"/>
        <v>2024</v>
      </c>
      <c r="J760" t="str">
        <f>IF(F760="","Missing Date",
IF(ISNUMBER(F760),"Valid","Invalid Date"))</f>
        <v>Valid</v>
      </c>
      <c r="K760" t="str">
        <f t="shared" si="200"/>
        <v>Valid</v>
      </c>
      <c r="L760">
        <f>G760-F760</f>
        <v>243</v>
      </c>
      <c r="M760" t="s">
        <v>3516</v>
      </c>
      <c r="N760" t="s">
        <v>162</v>
      </c>
      <c r="O760" t="str">
        <f t="shared" si="201"/>
        <v>Aarav Sharma</v>
      </c>
      <c r="P760" t="s">
        <v>41</v>
      </c>
      <c r="Q760" t="str">
        <f t="shared" si="202"/>
        <v>Small Business</v>
      </c>
      <c r="R760" t="s">
        <v>62</v>
      </c>
      <c r="S760" t="str">
        <f t="shared" si="203"/>
        <v>South</v>
      </c>
      <c r="T760" t="s">
        <v>229</v>
      </c>
      <c r="U760" t="str">
        <f t="shared" si="204"/>
        <v>Karnataka</v>
      </c>
      <c r="V760" t="s">
        <v>230</v>
      </c>
      <c r="W760" t="str">
        <f t="shared" si="205"/>
        <v>Bengaluru</v>
      </c>
      <c r="X760" t="s">
        <v>45</v>
      </c>
      <c r="Y760" t="str">
        <f t="shared" si="206"/>
        <v>Furniture</v>
      </c>
      <c r="Z760" t="s">
        <v>76</v>
      </c>
      <c r="AA760" t="str">
        <f t="shared" si="207"/>
        <v>Chairs</v>
      </c>
      <c r="AB760" t="s">
        <v>3517</v>
      </c>
      <c r="AC760" t="s">
        <v>67</v>
      </c>
      <c r="AD760" t="str">
        <f t="shared" si="208"/>
        <v>Standard Class</v>
      </c>
      <c r="AE760">
        <v>1</v>
      </c>
      <c r="AF760">
        <v>4166.91</v>
      </c>
      <c r="AG760">
        <v>0</v>
      </c>
      <c r="AH760">
        <v>0</v>
      </c>
      <c r="AI760" t="str">
        <f t="shared" si="209"/>
        <v>Valid</v>
      </c>
      <c r="AJ760">
        <v>4166.91</v>
      </c>
      <c r="AK760">
        <f t="shared" si="210"/>
        <v>4166.91</v>
      </c>
      <c r="AL760">
        <v>3412.63</v>
      </c>
      <c r="AM760">
        <v>754.28</v>
      </c>
      <c r="AN760">
        <f t="shared" si="211"/>
        <v>754.27999999999975</v>
      </c>
      <c r="AO760">
        <f t="shared" si="212"/>
        <v>-3412.63</v>
      </c>
      <c r="AP760" t="s">
        <v>34</v>
      </c>
      <c r="AQ760" t="str">
        <f t="shared" si="213"/>
        <v>Paid</v>
      </c>
      <c r="AR760" t="s">
        <v>35</v>
      </c>
      <c r="AS760" t="str">
        <f t="shared" si="214"/>
        <v>Completed</v>
      </c>
      <c r="AT760" t="str">
        <f t="shared" si="215"/>
        <v>Clean</v>
      </c>
    </row>
    <row r="761" spans="1:46">
      <c r="A761" t="s">
        <v>3518</v>
      </c>
      <c r="B761">
        <f>COUNTIF($D$2:D761,D761)</f>
        <v>5</v>
      </c>
      <c r="C761" t="str">
        <f>IF(COUNTIF($A:$A,A761)=1,
"Unique",
IF(COUNTIFS($A:$A,A761,$N:$N,N761,$AF:$AF,AF761,$AJ:$AJ,AJ761)&gt;1,
"Exact Duplicate",
"Conflicting Duplicate"))</f>
        <v>Unique</v>
      </c>
      <c r="D761" t="s">
        <v>406</v>
      </c>
      <c r="E761" t="s">
        <v>3519</v>
      </c>
      <c r="F761" s="3">
        <v>45492</v>
      </c>
      <c r="G761" s="3">
        <v>45499</v>
      </c>
      <c r="H761" s="5" t="str">
        <f t="shared" si="198"/>
        <v>July</v>
      </c>
      <c r="I761" s="5">
        <f t="shared" si="199"/>
        <v>2024</v>
      </c>
      <c r="J761" t="str">
        <f>IF(F761="","Missing Date",
IF(ISNUMBER(F761),"Valid","Invalid Date"))</f>
        <v>Valid</v>
      </c>
      <c r="K761" t="str">
        <f t="shared" si="200"/>
        <v>Valid</v>
      </c>
      <c r="L761">
        <f>G761-F761</f>
        <v>7</v>
      </c>
      <c r="M761" t="s">
        <v>3520</v>
      </c>
      <c r="N761" t="s">
        <v>61</v>
      </c>
      <c r="O761" t="str">
        <f t="shared" si="201"/>
        <v>Arjun Bose</v>
      </c>
      <c r="P761" t="s">
        <v>115</v>
      </c>
      <c r="Q761" t="str">
        <f t="shared" si="202"/>
        <v>Home Office</v>
      </c>
      <c r="R761" t="s">
        <v>62</v>
      </c>
      <c r="S761" t="str">
        <f t="shared" si="203"/>
        <v>South</v>
      </c>
      <c r="T761" t="s">
        <v>229</v>
      </c>
      <c r="U761" t="str">
        <f t="shared" si="204"/>
        <v>Karnataka</v>
      </c>
      <c r="V761" t="s">
        <v>230</v>
      </c>
      <c r="W761" t="str">
        <f t="shared" si="205"/>
        <v>Bengaluru</v>
      </c>
      <c r="X761" t="s">
        <v>45</v>
      </c>
      <c r="Y761" t="str">
        <f t="shared" si="206"/>
        <v>Furniture</v>
      </c>
      <c r="Z761" t="s">
        <v>46</v>
      </c>
      <c r="AA761" t="str">
        <f t="shared" si="207"/>
        <v>Tables</v>
      </c>
      <c r="AB761" t="s">
        <v>3521</v>
      </c>
      <c r="AC761" t="s">
        <v>33</v>
      </c>
      <c r="AD761" t="str">
        <f t="shared" si="208"/>
        <v>Second Class</v>
      </c>
      <c r="AE761">
        <v>5</v>
      </c>
      <c r="AF761">
        <v>3986.01</v>
      </c>
      <c r="AG761">
        <v>0.25</v>
      </c>
      <c r="AH761">
        <v>0.25</v>
      </c>
      <c r="AI761" t="str">
        <f t="shared" si="209"/>
        <v>Valid</v>
      </c>
      <c r="AJ761">
        <v>14947.54</v>
      </c>
      <c r="AK761">
        <f t="shared" si="210"/>
        <v>14947.537500000002</v>
      </c>
      <c r="AL761">
        <v>9438.4599999999991</v>
      </c>
      <c r="AM761">
        <v>5509.08</v>
      </c>
      <c r="AN761">
        <f t="shared" si="211"/>
        <v>5509.0775000000031</v>
      </c>
      <c r="AO761">
        <f t="shared" si="212"/>
        <v>-9438.4599999999991</v>
      </c>
      <c r="AP761" t="s">
        <v>34</v>
      </c>
      <c r="AQ761" t="str">
        <f t="shared" si="213"/>
        <v>Paid</v>
      </c>
      <c r="AR761" t="s">
        <v>35</v>
      </c>
      <c r="AS761" t="str">
        <f t="shared" si="214"/>
        <v>Completed</v>
      </c>
      <c r="AT761" t="str">
        <f t="shared" si="215"/>
        <v>Clean</v>
      </c>
    </row>
    <row r="762" spans="1:46">
      <c r="A762" t="s">
        <v>3522</v>
      </c>
      <c r="B762">
        <f>COUNTIF($D$2:D762,D762)</f>
        <v>1</v>
      </c>
      <c r="C762" t="str">
        <f>IF(COUNTIF($A:$A,A762)=1,
"Unique",
IF(COUNTIFS($A:$A,A762,$N:$N,N762,$AF:$AF,AF762,$AJ:$AJ,AJ762)&gt;1,
"Exact Duplicate",
"Conflicting Duplicate"))</f>
        <v>Unique</v>
      </c>
      <c r="D762" t="s">
        <v>3523</v>
      </c>
      <c r="E762" t="s">
        <v>1195</v>
      </c>
      <c r="F762" s="3">
        <v>45532</v>
      </c>
      <c r="G762" s="2">
        <v>45331</v>
      </c>
      <c r="H762" s="5" t="str">
        <f t="shared" si="198"/>
        <v>August</v>
      </c>
      <c r="I762" s="5">
        <f t="shared" si="199"/>
        <v>2024</v>
      </c>
      <c r="J762" t="str">
        <f>IF(F762="","Missing Date",
IF(ISNUMBER(F762),"Valid","Invalid Date"))</f>
        <v>Valid</v>
      </c>
      <c r="K762" t="str">
        <f t="shared" si="200"/>
        <v>Valid</v>
      </c>
      <c r="L762">
        <f>G762-F762</f>
        <v>-201</v>
      </c>
      <c r="M762" t="s">
        <v>3524</v>
      </c>
      <c r="N762" t="s">
        <v>107</v>
      </c>
      <c r="O762" t="str">
        <f t="shared" si="201"/>
        <v>Aditi Sen</v>
      </c>
      <c r="P762" t="s">
        <v>115</v>
      </c>
      <c r="Q762" t="str">
        <f t="shared" si="202"/>
        <v>Home Office</v>
      </c>
      <c r="R762" t="s">
        <v>42</v>
      </c>
      <c r="S762" t="str">
        <f t="shared" si="203"/>
        <v>East</v>
      </c>
      <c r="T762" t="s">
        <v>216</v>
      </c>
      <c r="U762" t="str">
        <f t="shared" si="204"/>
        <v>Assam</v>
      </c>
      <c r="V762" t="s">
        <v>217</v>
      </c>
      <c r="W762" t="str">
        <f t="shared" si="205"/>
        <v>Guwahati</v>
      </c>
      <c r="X762" t="s">
        <v>30</v>
      </c>
      <c r="Y762" t="str">
        <f t="shared" si="206"/>
        <v>Office Supplies</v>
      </c>
      <c r="Z762" t="s">
        <v>54</v>
      </c>
      <c r="AA762" t="str">
        <f t="shared" si="207"/>
        <v>Art</v>
      </c>
      <c r="AB762" t="s">
        <v>3525</v>
      </c>
      <c r="AC762" t="s">
        <v>33</v>
      </c>
      <c r="AD762" t="str">
        <f t="shared" si="208"/>
        <v>Second Class</v>
      </c>
      <c r="AE762">
        <v>4</v>
      </c>
      <c r="AF762">
        <v>3365.53</v>
      </c>
      <c r="AG762">
        <v>0</v>
      </c>
      <c r="AH762">
        <v>0</v>
      </c>
      <c r="AI762" t="str">
        <f t="shared" si="209"/>
        <v>Valid</v>
      </c>
      <c r="AJ762">
        <v>13462.12</v>
      </c>
      <c r="AK762">
        <f t="shared" si="210"/>
        <v>13462.12</v>
      </c>
      <c r="AL762">
        <v>7600.63</v>
      </c>
      <c r="AM762">
        <v>5861.49</v>
      </c>
      <c r="AN762">
        <f t="shared" si="211"/>
        <v>5861.4900000000007</v>
      </c>
      <c r="AO762">
        <f t="shared" si="212"/>
        <v>-7600.63</v>
      </c>
      <c r="AP762" t="s">
        <v>137</v>
      </c>
      <c r="AQ762" t="str">
        <f t="shared" si="213"/>
        <v>Pending</v>
      </c>
      <c r="AR762" t="s">
        <v>125</v>
      </c>
      <c r="AS762" t="str">
        <f t="shared" si="214"/>
        <v>Returned</v>
      </c>
      <c r="AT762" t="str">
        <f t="shared" si="215"/>
        <v>Clean</v>
      </c>
    </row>
    <row r="763" spans="1:46">
      <c r="A763" t="s">
        <v>3526</v>
      </c>
      <c r="B763">
        <f>COUNTIF($D$2:D763,D763)</f>
        <v>1</v>
      </c>
      <c r="C763" t="str">
        <f>IF(COUNTIF($A:$A,A763)=1,
"Unique",
IF(COUNTIFS($A:$A,A763,$N:$N,N763,$AF:$AF,AF763,$AJ:$AJ,AJ763)&gt;1,
"Exact Duplicate",
"Conflicting Duplicate"))</f>
        <v>Unique</v>
      </c>
      <c r="D763" t="s">
        <v>455</v>
      </c>
      <c r="E763" t="s">
        <v>3527</v>
      </c>
      <c r="F763" s="2">
        <v>45896</v>
      </c>
      <c r="G763" s="3">
        <v>45900</v>
      </c>
      <c r="H763" s="5" t="str">
        <f t="shared" si="198"/>
        <v>August</v>
      </c>
      <c r="I763" s="5">
        <f t="shared" si="199"/>
        <v>2025</v>
      </c>
      <c r="J763" t="str">
        <f>IF(F763="","Missing Date",
IF(ISNUMBER(F763),"Valid","Invalid Date"))</f>
        <v>Valid</v>
      </c>
      <c r="K763" t="str">
        <f t="shared" si="200"/>
        <v>Valid</v>
      </c>
      <c r="L763">
        <f>G763-F763</f>
        <v>4</v>
      </c>
      <c r="M763" t="s">
        <v>3528</v>
      </c>
      <c r="N763" t="s">
        <v>53</v>
      </c>
      <c r="O763" t="str">
        <f t="shared" si="201"/>
        <v>Isha Nair</v>
      </c>
      <c r="P763" t="s">
        <v>26</v>
      </c>
      <c r="Q763" t="str">
        <f t="shared" si="202"/>
        <v>Consumer</v>
      </c>
      <c r="R763" t="s">
        <v>62</v>
      </c>
      <c r="S763" t="str">
        <f t="shared" si="203"/>
        <v>South</v>
      </c>
      <c r="T763" t="s">
        <v>229</v>
      </c>
      <c r="U763" t="str">
        <f t="shared" si="204"/>
        <v>Karnataka</v>
      </c>
      <c r="V763" t="s">
        <v>230</v>
      </c>
      <c r="W763" t="str">
        <f t="shared" si="205"/>
        <v>Bengaluru</v>
      </c>
      <c r="X763" t="s">
        <v>86</v>
      </c>
      <c r="Y763" t="str">
        <f t="shared" si="206"/>
        <v>Technology</v>
      </c>
      <c r="Z763" t="s">
        <v>382</v>
      </c>
      <c r="AA763" t="str">
        <f t="shared" si="207"/>
        <v>Machines</v>
      </c>
      <c r="AB763" t="s">
        <v>3529</v>
      </c>
      <c r="AC763" t="s">
        <v>56</v>
      </c>
      <c r="AD763" t="str">
        <f t="shared" si="208"/>
        <v>First Class</v>
      </c>
      <c r="AE763">
        <v>3</v>
      </c>
      <c r="AF763">
        <v>2489.12</v>
      </c>
      <c r="AG763">
        <v>0</v>
      </c>
      <c r="AH763">
        <v>0</v>
      </c>
      <c r="AI763" t="str">
        <f t="shared" si="209"/>
        <v>Valid</v>
      </c>
      <c r="AJ763">
        <v>7467.36</v>
      </c>
      <c r="AK763">
        <f t="shared" si="210"/>
        <v>7467.36</v>
      </c>
      <c r="AL763">
        <v>5010.6099999999997</v>
      </c>
      <c r="AM763">
        <v>2456.75</v>
      </c>
      <c r="AN763">
        <f t="shared" si="211"/>
        <v>2456.75</v>
      </c>
      <c r="AO763">
        <f t="shared" si="212"/>
        <v>-5010.6099999999997</v>
      </c>
      <c r="AP763" t="s">
        <v>34</v>
      </c>
      <c r="AQ763" t="str">
        <f t="shared" si="213"/>
        <v>Paid</v>
      </c>
      <c r="AR763" t="s">
        <v>35</v>
      </c>
      <c r="AS763" t="str">
        <f t="shared" si="214"/>
        <v>Completed</v>
      </c>
      <c r="AT763" t="str">
        <f t="shared" si="215"/>
        <v>Clean</v>
      </c>
    </row>
    <row r="764" spans="1:46">
      <c r="A764" t="s">
        <v>3530</v>
      </c>
      <c r="B764">
        <f>COUNTIF($D$2:D764,D764)</f>
        <v>1</v>
      </c>
      <c r="C764" t="str">
        <f>IF(COUNTIF($A:$A,A764)=1,
"Unique",
IF(COUNTIFS($A:$A,A764,$N:$N,N764,$AF:$AF,AF764,$AJ:$AJ,AJ764)&gt;1,
"Exact Duplicate",
"Conflicting Duplicate"))</f>
        <v>Unique</v>
      </c>
      <c r="D764" t="s">
        <v>3531</v>
      </c>
      <c r="E764" t="s">
        <v>3532</v>
      </c>
      <c r="F764" s="3">
        <v>45292</v>
      </c>
      <c r="G764" s="2">
        <v>45413</v>
      </c>
      <c r="H764" s="5" t="str">
        <f t="shared" si="198"/>
        <v>January</v>
      </c>
      <c r="I764" s="5">
        <f t="shared" si="199"/>
        <v>2024</v>
      </c>
      <c r="J764" t="str">
        <f>IF(F764="","Missing Date",
IF(ISNUMBER(F764),"Valid","Invalid Date"))</f>
        <v>Valid</v>
      </c>
      <c r="K764" t="str">
        <f t="shared" si="200"/>
        <v>Valid</v>
      </c>
      <c r="L764">
        <f>G764-F764</f>
        <v>121</v>
      </c>
      <c r="M764" t="s">
        <v>3533</v>
      </c>
      <c r="N764" t="s">
        <v>210</v>
      </c>
      <c r="O764" t="str">
        <f t="shared" si="201"/>
        <v>Diya Patel</v>
      </c>
      <c r="P764" t="s">
        <v>108</v>
      </c>
      <c r="Q764" t="str">
        <f t="shared" si="202"/>
        <v>Corporate</v>
      </c>
      <c r="R764" t="s">
        <v>73</v>
      </c>
      <c r="S764" t="str">
        <f t="shared" si="203"/>
        <v>West</v>
      </c>
      <c r="T764" t="s">
        <v>84</v>
      </c>
      <c r="U764" t="str">
        <f t="shared" si="204"/>
        <v>Madhya Pradesh</v>
      </c>
      <c r="V764" t="s">
        <v>85</v>
      </c>
      <c r="W764" t="str">
        <f t="shared" si="205"/>
        <v>Indore</v>
      </c>
      <c r="X764" t="s">
        <v>86</v>
      </c>
      <c r="Y764" t="str">
        <f t="shared" si="206"/>
        <v>Technology</v>
      </c>
      <c r="Z764" t="s">
        <v>382</v>
      </c>
      <c r="AA764" t="str">
        <f t="shared" si="207"/>
        <v>Machines</v>
      </c>
      <c r="AB764" t="s">
        <v>3534</v>
      </c>
      <c r="AC764" t="s">
        <v>33</v>
      </c>
      <c r="AD764" t="str">
        <f t="shared" si="208"/>
        <v>Second Class</v>
      </c>
      <c r="AE764">
        <v>2</v>
      </c>
      <c r="AF764">
        <v>3694.12</v>
      </c>
      <c r="AG764">
        <v>0.2</v>
      </c>
      <c r="AH764">
        <v>0.2</v>
      </c>
      <c r="AI764" t="str">
        <f t="shared" si="209"/>
        <v>Valid</v>
      </c>
      <c r="AJ764">
        <v>5910.59</v>
      </c>
      <c r="AK764">
        <f t="shared" si="210"/>
        <v>5910.5920000000006</v>
      </c>
      <c r="AL764">
        <v>4775.4399999999996</v>
      </c>
      <c r="AM764">
        <v>1135.1500000000001</v>
      </c>
      <c r="AN764">
        <f t="shared" si="211"/>
        <v>1135.152000000001</v>
      </c>
      <c r="AO764">
        <f t="shared" si="212"/>
        <v>-4775.4399999999996</v>
      </c>
      <c r="AP764" t="s">
        <v>124</v>
      </c>
      <c r="AQ764" t="str">
        <f t="shared" si="213"/>
        <v>Refunded</v>
      </c>
      <c r="AR764" t="s">
        <v>125</v>
      </c>
      <c r="AS764" t="str">
        <f t="shared" si="214"/>
        <v>Returned</v>
      </c>
      <c r="AT764" t="str">
        <f t="shared" si="215"/>
        <v>Clean</v>
      </c>
    </row>
    <row r="765" spans="1:46">
      <c r="A765" t="s">
        <v>3535</v>
      </c>
      <c r="B765">
        <f>COUNTIF($D$2:D765,D765)</f>
        <v>3</v>
      </c>
      <c r="C765" t="str">
        <f>IF(COUNTIF($A:$A,A765)=1,
"Unique",
IF(COUNTIFS($A:$A,A765,$N:$N,N765,$AF:$AF,AF765,$AJ:$AJ,AJ765)&gt;1,
"Exact Duplicate",
"Conflicting Duplicate"))</f>
        <v>Unique</v>
      </c>
      <c r="D765" t="s">
        <v>3536</v>
      </c>
      <c r="E765" t="s">
        <v>3537</v>
      </c>
      <c r="F765" s="2">
        <v>45892</v>
      </c>
      <c r="G765" s="3">
        <v>45894</v>
      </c>
      <c r="H765" s="5" t="str">
        <f t="shared" si="198"/>
        <v>August</v>
      </c>
      <c r="I765" s="5">
        <f t="shared" si="199"/>
        <v>2025</v>
      </c>
      <c r="J765" t="str">
        <f>IF(F765="","Missing Date",
IF(ISNUMBER(F765),"Valid","Invalid Date"))</f>
        <v>Valid</v>
      </c>
      <c r="K765" t="str">
        <f t="shared" si="200"/>
        <v>Valid</v>
      </c>
      <c r="L765">
        <f>G765-F765</f>
        <v>2</v>
      </c>
      <c r="M765" t="s">
        <v>3538</v>
      </c>
      <c r="N765" t="s">
        <v>210</v>
      </c>
      <c r="O765" t="str">
        <f t="shared" si="201"/>
        <v>Diya Patel</v>
      </c>
      <c r="P765" t="s">
        <v>26</v>
      </c>
      <c r="Q765" t="str">
        <f t="shared" si="202"/>
        <v>Consumer</v>
      </c>
      <c r="R765" t="s">
        <v>27</v>
      </c>
      <c r="S765" t="str">
        <f t="shared" si="203"/>
        <v>North</v>
      </c>
      <c r="T765" t="s">
        <v>28</v>
      </c>
      <c r="U765" t="str">
        <f t="shared" si="204"/>
        <v>Rajasthan</v>
      </c>
      <c r="V765" t="s">
        <v>29</v>
      </c>
      <c r="W765" t="str">
        <f t="shared" si="205"/>
        <v>Jaipur</v>
      </c>
      <c r="X765" t="s">
        <v>45</v>
      </c>
      <c r="Y765" t="str">
        <f t="shared" si="206"/>
        <v>Furniture</v>
      </c>
      <c r="Z765" t="s">
        <v>65</v>
      </c>
      <c r="AA765" t="str">
        <f t="shared" si="207"/>
        <v>Furnishings</v>
      </c>
      <c r="AB765" t="s">
        <v>3539</v>
      </c>
      <c r="AC765" t="s">
        <v>48</v>
      </c>
      <c r="AD765" t="str">
        <f t="shared" si="208"/>
        <v>Same Day</v>
      </c>
      <c r="AE765">
        <v>6</v>
      </c>
      <c r="AF765">
        <v>2742.48</v>
      </c>
      <c r="AG765">
        <v>0</v>
      </c>
      <c r="AH765">
        <v>0</v>
      </c>
      <c r="AI765" t="str">
        <f t="shared" si="209"/>
        <v>Valid</v>
      </c>
      <c r="AJ765">
        <v>16454.88</v>
      </c>
      <c r="AK765">
        <f t="shared" si="210"/>
        <v>16454.88</v>
      </c>
      <c r="AL765">
        <v>12081.54</v>
      </c>
      <c r="AM765">
        <v>4373.34</v>
      </c>
      <c r="AN765">
        <f t="shared" si="211"/>
        <v>4373.34</v>
      </c>
      <c r="AO765">
        <f t="shared" si="212"/>
        <v>-12081.54</v>
      </c>
      <c r="AP765" t="s">
        <v>34</v>
      </c>
      <c r="AQ765" t="str">
        <f t="shared" si="213"/>
        <v>Paid</v>
      </c>
      <c r="AR765" t="s">
        <v>35</v>
      </c>
      <c r="AS765" t="str">
        <f t="shared" si="214"/>
        <v>Completed</v>
      </c>
      <c r="AT765" t="str">
        <f t="shared" si="215"/>
        <v>Clean</v>
      </c>
    </row>
    <row r="766" spans="1:46">
      <c r="A766" t="s">
        <v>3540</v>
      </c>
      <c r="B766">
        <f>COUNTIF($D$2:D766,D766)</f>
        <v>2</v>
      </c>
      <c r="C766" t="str">
        <f>IF(COUNTIF($A:$A,A766)=1,
"Unique",
IF(COUNTIFS($A:$A,A766,$N:$N,N766,$AF:$AF,AF766,$AJ:$AJ,AJ766)&gt;1,
"Exact Duplicate",
"Conflicting Duplicate"))</f>
        <v>Unique</v>
      </c>
      <c r="D766" t="s">
        <v>1862</v>
      </c>
      <c r="E766" t="s">
        <v>2913</v>
      </c>
      <c r="F766" s="3">
        <v>45760</v>
      </c>
      <c r="G766" s="3">
        <v>45760</v>
      </c>
      <c r="H766" s="5" t="str">
        <f t="shared" si="198"/>
        <v>April</v>
      </c>
      <c r="I766" s="5">
        <f t="shared" si="199"/>
        <v>2025</v>
      </c>
      <c r="J766" t="str">
        <f>IF(F766="","Missing Date",
IF(ISNUMBER(F766),"Valid","Invalid Date"))</f>
        <v>Valid</v>
      </c>
      <c r="K766" t="str">
        <f t="shared" si="200"/>
        <v>Valid</v>
      </c>
      <c r="L766">
        <f>G766-F766</f>
        <v>0</v>
      </c>
      <c r="M766" t="s">
        <v>1354</v>
      </c>
      <c r="N766" t="s">
        <v>142</v>
      </c>
      <c r="O766" t="str">
        <f t="shared" si="201"/>
        <v>Priya Menon</v>
      </c>
      <c r="P766" t="s">
        <v>108</v>
      </c>
      <c r="Q766" t="str">
        <f t="shared" si="202"/>
        <v>Corporate</v>
      </c>
      <c r="R766" t="s">
        <v>62</v>
      </c>
      <c r="S766" t="str">
        <f t="shared" si="203"/>
        <v>South</v>
      </c>
      <c r="T766" t="s">
        <v>242</v>
      </c>
      <c r="U766" t="str">
        <f t="shared" si="204"/>
        <v>Kerala</v>
      </c>
      <c r="V766" t="s">
        <v>243</v>
      </c>
      <c r="W766" t="str">
        <f t="shared" si="205"/>
        <v>Kochi</v>
      </c>
      <c r="X766" t="s">
        <v>45</v>
      </c>
      <c r="Y766" t="str">
        <f t="shared" si="206"/>
        <v>Furniture</v>
      </c>
      <c r="Z766" t="s">
        <v>204</v>
      </c>
      <c r="AA766" t="str">
        <f t="shared" si="207"/>
        <v>Bookcases</v>
      </c>
      <c r="AB766" t="s">
        <v>3541</v>
      </c>
      <c r="AC766" t="s">
        <v>56</v>
      </c>
      <c r="AD766" t="str">
        <f t="shared" si="208"/>
        <v>First Class</v>
      </c>
      <c r="AE766">
        <v>6</v>
      </c>
      <c r="AF766">
        <v>4414</v>
      </c>
      <c r="AG766">
        <v>0.05</v>
      </c>
      <c r="AH766">
        <v>0.05</v>
      </c>
      <c r="AI766" t="str">
        <f t="shared" si="209"/>
        <v>Valid</v>
      </c>
      <c r="AJ766">
        <v>25159.8</v>
      </c>
      <c r="AK766">
        <f t="shared" si="210"/>
        <v>25159.8</v>
      </c>
      <c r="AL766">
        <v>21606.83</v>
      </c>
      <c r="AM766">
        <v>3552.97</v>
      </c>
      <c r="AN766">
        <f t="shared" si="211"/>
        <v>3552.9699999999975</v>
      </c>
      <c r="AO766">
        <f t="shared" si="212"/>
        <v>-21606.83</v>
      </c>
      <c r="AP766" t="s">
        <v>34</v>
      </c>
      <c r="AQ766" t="str">
        <f t="shared" si="213"/>
        <v>Paid</v>
      </c>
      <c r="AR766" t="s">
        <v>35</v>
      </c>
      <c r="AS766" t="str">
        <f t="shared" si="214"/>
        <v>Completed</v>
      </c>
      <c r="AT766" t="str">
        <f t="shared" si="215"/>
        <v>Clean</v>
      </c>
    </row>
    <row r="767" spans="1:46">
      <c r="A767" t="s">
        <v>3542</v>
      </c>
      <c r="B767">
        <f>COUNTIF($D$2:D767,D767)</f>
        <v>1</v>
      </c>
      <c r="C767" t="str">
        <f>IF(COUNTIF($A:$A,A767)=1,
"Unique",
IF(COUNTIFS($A:$A,A767,$N:$N,N767,$AF:$AF,AF767,$AJ:$AJ,AJ767)&gt;1,
"Exact Duplicate",
"Conflicting Duplicate"))</f>
        <v>Unique</v>
      </c>
      <c r="D767" t="s">
        <v>3543</v>
      </c>
      <c r="E767" t="s">
        <v>3544</v>
      </c>
      <c r="F767" s="3">
        <v>45837</v>
      </c>
      <c r="G767" s="3">
        <v>45723</v>
      </c>
      <c r="H767" s="5" t="str">
        <f t="shared" si="198"/>
        <v>June</v>
      </c>
      <c r="I767" s="5">
        <f t="shared" si="199"/>
        <v>2025</v>
      </c>
      <c r="J767" t="str">
        <f>IF(F767="","Missing Date",
IF(ISNUMBER(F767),"Valid","Invalid Date"))</f>
        <v>Valid</v>
      </c>
      <c r="K767" t="str">
        <f t="shared" si="200"/>
        <v>Valid</v>
      </c>
      <c r="L767">
        <f>G767-F767</f>
        <v>-114</v>
      </c>
      <c r="M767" t="s">
        <v>3545</v>
      </c>
      <c r="N767" t="s">
        <v>83</v>
      </c>
      <c r="O767" t="str">
        <f t="shared" si="201"/>
        <v>Vikram Iyer</v>
      </c>
      <c r="P767" t="s">
        <v>108</v>
      </c>
      <c r="Q767" t="str">
        <f t="shared" si="202"/>
        <v>Corporate</v>
      </c>
      <c r="R767" t="s">
        <v>42</v>
      </c>
      <c r="S767" t="str">
        <f t="shared" si="203"/>
        <v>East</v>
      </c>
      <c r="T767" t="s">
        <v>311</v>
      </c>
      <c r="U767" t="str">
        <f t="shared" si="204"/>
        <v>Jharkhand</v>
      </c>
      <c r="V767" t="s">
        <v>312</v>
      </c>
      <c r="W767" t="str">
        <f t="shared" si="205"/>
        <v>Ranchi</v>
      </c>
      <c r="X767" t="s">
        <v>30</v>
      </c>
      <c r="Y767" t="str">
        <f t="shared" si="206"/>
        <v>Office Supplies</v>
      </c>
      <c r="Z767" t="s">
        <v>109</v>
      </c>
      <c r="AA767" t="str">
        <f t="shared" si="207"/>
        <v>Labels</v>
      </c>
      <c r="AB767" t="s">
        <v>3546</v>
      </c>
      <c r="AC767" t="s">
        <v>56</v>
      </c>
      <c r="AD767" t="str">
        <f t="shared" si="208"/>
        <v>First Class</v>
      </c>
      <c r="AE767">
        <v>3</v>
      </c>
      <c r="AF767">
        <v>608.14</v>
      </c>
      <c r="AG767">
        <v>0</v>
      </c>
      <c r="AH767">
        <v>0</v>
      </c>
      <c r="AI767" t="str">
        <f t="shared" si="209"/>
        <v>Valid</v>
      </c>
      <c r="AJ767">
        <v>1824.42</v>
      </c>
      <c r="AK767">
        <f t="shared" si="210"/>
        <v>1824.42</v>
      </c>
      <c r="AL767">
        <v>1214.8699999999999</v>
      </c>
      <c r="AM767">
        <v>609.54999999999995</v>
      </c>
      <c r="AN767">
        <f t="shared" si="211"/>
        <v>609.55000000000018</v>
      </c>
      <c r="AO767">
        <f t="shared" si="212"/>
        <v>-1214.8699999999999</v>
      </c>
      <c r="AP767" t="s">
        <v>34</v>
      </c>
      <c r="AQ767" t="str">
        <f t="shared" si="213"/>
        <v>Paid</v>
      </c>
      <c r="AR767" t="s">
        <v>35</v>
      </c>
      <c r="AS767" t="str">
        <f t="shared" si="214"/>
        <v>Completed</v>
      </c>
      <c r="AT767" t="str">
        <f t="shared" si="215"/>
        <v>Clean</v>
      </c>
    </row>
    <row r="768" spans="1:46">
      <c r="A768" t="s">
        <v>3547</v>
      </c>
      <c r="B768">
        <f>COUNTIF($D$2:D768,D768)</f>
        <v>1</v>
      </c>
      <c r="C768" t="str">
        <f>IF(COUNTIF($A:$A,A768)=1,
"Unique",
IF(COUNTIFS($A:$A,A768,$N:$N,N768,$AF:$AF,AF768,$AJ:$AJ,AJ768)&gt;1,
"Exact Duplicate",
"Conflicting Duplicate"))</f>
        <v>Unique</v>
      </c>
      <c r="D768" t="s">
        <v>3548</v>
      </c>
      <c r="E768" t="s">
        <v>2009</v>
      </c>
      <c r="F768" s="2">
        <v>45552</v>
      </c>
      <c r="G768" s="2">
        <v>45559</v>
      </c>
      <c r="H768" s="5" t="str">
        <f t="shared" si="198"/>
        <v>September</v>
      </c>
      <c r="I768" s="5">
        <f t="shared" si="199"/>
        <v>2024</v>
      </c>
      <c r="J768" t="str">
        <f>IF(F768="","Missing Date",
IF(ISNUMBER(F768),"Valid","Invalid Date"))</f>
        <v>Valid</v>
      </c>
      <c r="K768" t="str">
        <f t="shared" si="200"/>
        <v>Valid</v>
      </c>
      <c r="L768">
        <f>G768-F768</f>
        <v>7</v>
      </c>
      <c r="M768" t="s">
        <v>3549</v>
      </c>
      <c r="N768" t="s">
        <v>40</v>
      </c>
      <c r="O768" t="str">
        <f t="shared" si="201"/>
        <v>Mira Das</v>
      </c>
      <c r="P768" t="s">
        <v>108</v>
      </c>
      <c r="Q768" t="str">
        <f t="shared" si="202"/>
        <v>Corporate</v>
      </c>
      <c r="R768" t="s">
        <v>73</v>
      </c>
      <c r="S768" t="str">
        <f t="shared" si="203"/>
        <v>West</v>
      </c>
      <c r="T768" t="s">
        <v>235</v>
      </c>
      <c r="U768" t="str">
        <f t="shared" si="204"/>
        <v>Gujarat</v>
      </c>
      <c r="V768" t="s">
        <v>236</v>
      </c>
      <c r="W768" t="str">
        <f t="shared" si="205"/>
        <v>Ahmedabad</v>
      </c>
      <c r="X768" t="s">
        <v>30</v>
      </c>
      <c r="Y768" t="str">
        <f t="shared" si="206"/>
        <v>Office Supplies</v>
      </c>
      <c r="Z768" t="s">
        <v>54</v>
      </c>
      <c r="AA768" t="str">
        <f t="shared" si="207"/>
        <v>Art</v>
      </c>
      <c r="AB768" t="s">
        <v>3550</v>
      </c>
      <c r="AC768" t="s">
        <v>33</v>
      </c>
      <c r="AD768" t="str">
        <f t="shared" si="208"/>
        <v>Second Class</v>
      </c>
      <c r="AE768">
        <v>9</v>
      </c>
      <c r="AF768">
        <v>2307.96</v>
      </c>
      <c r="AG768">
        <v>0.2</v>
      </c>
      <c r="AH768">
        <v>0.2</v>
      </c>
      <c r="AI768" t="str">
        <f t="shared" si="209"/>
        <v>Valid</v>
      </c>
      <c r="AJ768">
        <v>16617.310000000001</v>
      </c>
      <c r="AK768">
        <f t="shared" si="210"/>
        <v>16617.312000000002</v>
      </c>
      <c r="AL768">
        <v>9195.73</v>
      </c>
      <c r="AM768">
        <v>7421.58</v>
      </c>
      <c r="AN768">
        <f t="shared" si="211"/>
        <v>7421.5820000000022</v>
      </c>
      <c r="AO768">
        <f t="shared" si="212"/>
        <v>-9195.73</v>
      </c>
      <c r="AP768" t="s">
        <v>34</v>
      </c>
      <c r="AQ768" t="str">
        <f t="shared" si="213"/>
        <v>Paid</v>
      </c>
      <c r="AR768" t="s">
        <v>78</v>
      </c>
      <c r="AS768" t="str">
        <f t="shared" si="214"/>
        <v>Cancelled</v>
      </c>
      <c r="AT768" t="str">
        <f t="shared" si="215"/>
        <v>Clean</v>
      </c>
    </row>
    <row r="769" spans="1:46">
      <c r="A769" t="s">
        <v>3551</v>
      </c>
      <c r="B769">
        <f>COUNTIF($D$2:D769,D769)</f>
        <v>1</v>
      </c>
      <c r="C769" t="str">
        <f>IF(COUNTIF($A:$A,A769)=1,
"Unique",
IF(COUNTIFS($A:$A,A769,$N:$N,N769,$AF:$AF,AF769,$AJ:$AJ,AJ769)&gt;1,
"Exact Duplicate",
"Conflicting Duplicate"))</f>
        <v>Unique</v>
      </c>
      <c r="D769" t="s">
        <v>3552</v>
      </c>
      <c r="E769" t="s">
        <v>2708</v>
      </c>
      <c r="F769" s="2">
        <v>45356</v>
      </c>
      <c r="G769" s="3">
        <v>45418</v>
      </c>
      <c r="H769" s="5" t="str">
        <f t="shared" si="198"/>
        <v>March</v>
      </c>
      <c r="I769" s="5">
        <f t="shared" si="199"/>
        <v>2024</v>
      </c>
      <c r="J769" t="str">
        <f>IF(F769="","Missing Date",
IF(ISNUMBER(F769),"Valid","Invalid Date"))</f>
        <v>Valid</v>
      </c>
      <c r="K769" t="str">
        <f t="shared" si="200"/>
        <v>Valid</v>
      </c>
      <c r="L769">
        <f>G769-F769</f>
        <v>62</v>
      </c>
      <c r="M769" t="s">
        <v>3553</v>
      </c>
      <c r="N769" t="s">
        <v>72</v>
      </c>
      <c r="O769" t="str">
        <f t="shared" si="201"/>
        <v>Ananya Rao</v>
      </c>
      <c r="P769" t="s">
        <v>115</v>
      </c>
      <c r="Q769" t="str">
        <f t="shared" si="202"/>
        <v>Home Office</v>
      </c>
      <c r="R769" t="s">
        <v>27</v>
      </c>
      <c r="S769" t="str">
        <f t="shared" si="203"/>
        <v>North</v>
      </c>
      <c r="T769" t="s">
        <v>174</v>
      </c>
      <c r="U769" t="str">
        <f t="shared" si="204"/>
        <v>Uttar Pradesh</v>
      </c>
      <c r="V769" t="s">
        <v>175</v>
      </c>
      <c r="W769" t="str">
        <f t="shared" si="205"/>
        <v>Noida</v>
      </c>
      <c r="X769" t="s">
        <v>918</v>
      </c>
      <c r="Y769" t="str">
        <f t="shared" si="206"/>
        <v>Office Supplies</v>
      </c>
      <c r="Z769" t="s">
        <v>198</v>
      </c>
      <c r="AA769" t="str">
        <f t="shared" si="207"/>
        <v>Binders</v>
      </c>
      <c r="AB769" t="s">
        <v>3554</v>
      </c>
      <c r="AC769" t="s">
        <v>67</v>
      </c>
      <c r="AD769" t="str">
        <f t="shared" si="208"/>
        <v>Standard Class</v>
      </c>
      <c r="AE769">
        <v>1</v>
      </c>
      <c r="AF769">
        <v>1244.58</v>
      </c>
      <c r="AG769">
        <v>0.25</v>
      </c>
      <c r="AH769">
        <v>0.25</v>
      </c>
      <c r="AI769" t="str">
        <f t="shared" si="209"/>
        <v>Valid</v>
      </c>
      <c r="AJ769">
        <v>933.43</v>
      </c>
      <c r="AK769">
        <f t="shared" si="210"/>
        <v>933.43499999999995</v>
      </c>
      <c r="AL769">
        <v>583.09</v>
      </c>
      <c r="AM769">
        <v>350.34</v>
      </c>
      <c r="AN769">
        <f t="shared" si="211"/>
        <v>350.34499999999991</v>
      </c>
      <c r="AO769">
        <f t="shared" si="212"/>
        <v>-583.09</v>
      </c>
      <c r="AP769" t="s">
        <v>34</v>
      </c>
      <c r="AQ769" t="str">
        <f t="shared" si="213"/>
        <v>Paid</v>
      </c>
      <c r="AR769" t="s">
        <v>35</v>
      </c>
      <c r="AS769" t="str">
        <f t="shared" si="214"/>
        <v>Completed</v>
      </c>
      <c r="AT769" t="str">
        <f t="shared" si="215"/>
        <v>Clean</v>
      </c>
    </row>
    <row r="770" spans="1:46">
      <c r="A770" t="s">
        <v>3555</v>
      </c>
      <c r="B770">
        <f>COUNTIF($D$2:D770,D770)</f>
        <v>1</v>
      </c>
      <c r="C770" t="str">
        <f>IF(COUNTIF($A:$A,A770)=1,
"Unique",
IF(COUNTIFS($A:$A,A770,$N:$N,N770,$AF:$AF,AF770,$AJ:$AJ,AJ770)&gt;1,
"Exact Duplicate",
"Conflicting Duplicate"))</f>
        <v>Unique</v>
      </c>
      <c r="D770" t="s">
        <v>1812</v>
      </c>
      <c r="E770" t="s">
        <v>3556</v>
      </c>
      <c r="F770" s="3">
        <v>45692</v>
      </c>
      <c r="G770" s="3">
        <v>45751</v>
      </c>
      <c r="H770" s="5" t="str">
        <f t="shared" si="198"/>
        <v>February</v>
      </c>
      <c r="I770" s="5">
        <f t="shared" si="199"/>
        <v>2025</v>
      </c>
      <c r="J770" t="str">
        <f>IF(F770="","Missing Date",
IF(ISNUMBER(F770),"Valid","Invalid Date"))</f>
        <v>Valid</v>
      </c>
      <c r="K770" t="str">
        <f t="shared" si="200"/>
        <v>Valid</v>
      </c>
      <c r="L770">
        <f>G770-F770</f>
        <v>59</v>
      </c>
      <c r="M770" t="s">
        <v>3557</v>
      </c>
      <c r="N770" t="s">
        <v>168</v>
      </c>
      <c r="O770" t="str">
        <f t="shared" si="201"/>
        <v>Sneha Kapoor</v>
      </c>
      <c r="P770" t="s">
        <v>115</v>
      </c>
      <c r="Q770" t="str">
        <f t="shared" si="202"/>
        <v>Home Office</v>
      </c>
      <c r="R770" t="s">
        <v>42</v>
      </c>
      <c r="S770" t="str">
        <f t="shared" si="203"/>
        <v>East</v>
      </c>
      <c r="T770" t="s">
        <v>311</v>
      </c>
      <c r="U770" t="str">
        <f t="shared" si="204"/>
        <v>Jharkhand</v>
      </c>
      <c r="V770" t="s">
        <v>312</v>
      </c>
      <c r="W770" t="str">
        <f t="shared" si="205"/>
        <v>Ranchi</v>
      </c>
      <c r="X770" t="s">
        <v>30</v>
      </c>
      <c r="Y770" t="str">
        <f t="shared" si="206"/>
        <v>Office Supplies</v>
      </c>
      <c r="Z770" t="s">
        <v>31</v>
      </c>
      <c r="AA770" t="str">
        <f t="shared" si="207"/>
        <v>Paper</v>
      </c>
      <c r="AB770" t="s">
        <v>3558</v>
      </c>
      <c r="AC770" t="s">
        <v>48</v>
      </c>
      <c r="AD770" t="str">
        <f t="shared" si="208"/>
        <v>Same Day</v>
      </c>
      <c r="AE770">
        <v>5</v>
      </c>
      <c r="AF770">
        <v>3234.24</v>
      </c>
      <c r="AG770">
        <v>0.1</v>
      </c>
      <c r="AH770">
        <v>0.1</v>
      </c>
      <c r="AI770" t="str">
        <f t="shared" si="209"/>
        <v>Valid</v>
      </c>
      <c r="AJ770">
        <v>14554.08</v>
      </c>
      <c r="AK770">
        <f t="shared" si="210"/>
        <v>14554.08</v>
      </c>
      <c r="AL770">
        <v>11166.84</v>
      </c>
      <c r="AM770">
        <v>3387.24</v>
      </c>
      <c r="AN770">
        <f t="shared" si="211"/>
        <v>3387.24</v>
      </c>
      <c r="AO770">
        <f t="shared" si="212"/>
        <v>-11166.84</v>
      </c>
      <c r="AP770" t="s">
        <v>34</v>
      </c>
      <c r="AQ770" t="str">
        <f t="shared" si="213"/>
        <v>Paid</v>
      </c>
      <c r="AR770" t="s">
        <v>35</v>
      </c>
      <c r="AS770" t="str">
        <f t="shared" si="214"/>
        <v>Completed</v>
      </c>
      <c r="AT770" t="str">
        <f t="shared" si="215"/>
        <v>Clean</v>
      </c>
    </row>
    <row r="771" spans="1:46">
      <c r="A771" t="s">
        <v>3559</v>
      </c>
      <c r="B771">
        <f>COUNTIF($D$2:D771,D771)</f>
        <v>2</v>
      </c>
      <c r="C771" t="str">
        <f>IF(COUNTIF($A:$A,A771)=1,
"Unique",
IF(COUNTIFS($A:$A,A771,$N:$N,N771,$AF:$AF,AF771,$AJ:$AJ,AJ771)&gt;1,
"Exact Duplicate",
"Conflicting Duplicate"))</f>
        <v>Unique</v>
      </c>
      <c r="D771" t="s">
        <v>3560</v>
      </c>
      <c r="E771" t="s">
        <v>2018</v>
      </c>
      <c r="F771" s="3">
        <v>45423</v>
      </c>
      <c r="G771" s="2">
        <v>45425</v>
      </c>
      <c r="H771" s="5" t="str">
        <f t="shared" ref="H771:H834" si="216">TEXT(DATE(2024,MONTH(F771),1),"MMMM")</f>
        <v>May</v>
      </c>
      <c r="I771" s="5">
        <f t="shared" ref="I771:I834" si="217">YEAR(F771)</f>
        <v>2024</v>
      </c>
      <c r="J771" t="str">
        <f>IF(F771="","Missing Date",
IF(ISNUMBER(F771),"Valid","Invalid Date"))</f>
        <v>Valid</v>
      </c>
      <c r="K771" t="str">
        <f t="shared" ref="K771:K834" si="218">IF(G771="","Missing Date",
IF(ISNUMBER(G771),"Valid","Invalid Date"))</f>
        <v>Valid</v>
      </c>
      <c r="L771">
        <f>G771-F771</f>
        <v>2</v>
      </c>
      <c r="M771" t="s">
        <v>3561</v>
      </c>
      <c r="N771" t="s">
        <v>142</v>
      </c>
      <c r="O771" t="str">
        <f t="shared" ref="O771:O834" si="219">TRIM(PROPER(CLEAN(N771)))</f>
        <v>Priya Menon</v>
      </c>
      <c r="P771" t="s">
        <v>115</v>
      </c>
      <c r="Q771" t="str">
        <f t="shared" ref="Q771:Q834" si="220">TRIM(PROPER(CLEAN(P771)))</f>
        <v>Home Office</v>
      </c>
      <c r="R771" t="s">
        <v>73</v>
      </c>
      <c r="S771" t="str">
        <f t="shared" ref="S771:S834" si="221">TRIM(PROPER(CLEAN(R771)))</f>
        <v>West</v>
      </c>
      <c r="T771" t="s">
        <v>249</v>
      </c>
      <c r="U771" t="str">
        <f t="shared" ref="U771:U834" si="222">TRIM(PROPER(CLEAN(T771)))</f>
        <v>Goa</v>
      </c>
      <c r="V771" t="s">
        <v>250</v>
      </c>
      <c r="W771" t="str">
        <f t="shared" ref="W771:W834" si="223">TRIM(PROPER(CLEAN(V771)))</f>
        <v>Panaji</v>
      </c>
      <c r="X771" t="s">
        <v>45</v>
      </c>
      <c r="Y771" t="str">
        <f t="shared" ref="Y771:Y834" si="224">TRIM(PROPER(CLEAN(X771)))</f>
        <v>Furniture</v>
      </c>
      <c r="Z771" t="s">
        <v>204</v>
      </c>
      <c r="AA771" t="str">
        <f t="shared" ref="AA771:AA834" si="225">TRIM(PROPER(CLEAN(Z771)))</f>
        <v>Bookcases</v>
      </c>
      <c r="AB771" t="s">
        <v>3562</v>
      </c>
      <c r="AC771" t="s">
        <v>48</v>
      </c>
      <c r="AD771" t="str">
        <f t="shared" ref="AD771:AD834" si="226">TRIM(PROPER(CLEAN(AC771)))</f>
        <v>Same Day</v>
      </c>
      <c r="AE771">
        <v>3</v>
      </c>
      <c r="AF771">
        <v>3612.75</v>
      </c>
      <c r="AG771">
        <v>0.25</v>
      </c>
      <c r="AH771">
        <v>0.25</v>
      </c>
      <c r="AI771" t="str">
        <f t="shared" ref="AI771:AI834" si="227">IF(AG771="","Missing Discount",IF(AG771&lt;0,"Invalid - Negative Discount",IF(AG771&gt;1,"Invalid - Above Range","Valid")))</f>
        <v>Valid</v>
      </c>
      <c r="AJ771">
        <v>8128.69</v>
      </c>
      <c r="AK771">
        <f t="shared" ref="AK771:AK834" si="228">AE771*AF771*(1-AH771)</f>
        <v>8128.6875</v>
      </c>
      <c r="AL771">
        <v>5071.66</v>
      </c>
      <c r="AM771">
        <v>3057.03</v>
      </c>
      <c r="AN771">
        <f t="shared" ref="AN771:AN834" si="229">AK771-AL771</f>
        <v>3057.0275000000001</v>
      </c>
      <c r="AO771">
        <f t="shared" ref="AO771:AO834" si="230">AN771-AK771</f>
        <v>-5071.66</v>
      </c>
      <c r="AP771" t="s">
        <v>34</v>
      </c>
      <c r="AQ771" t="str">
        <f t="shared" ref="AQ771:AQ834" si="231">TRIM(PROPER(CLEAN(AP771)))</f>
        <v>Paid</v>
      </c>
      <c r="AR771" t="s">
        <v>35</v>
      </c>
      <c r="AS771" t="str">
        <f t="shared" ref="AS771:AS834" si="232">TRIM(PROPER(CLEAN(AR771)))</f>
        <v>Completed</v>
      </c>
      <c r="AT771" t="str">
        <f t="shared" ref="AT771:AT834" si="233">IF(OR(AH771="Unknown",AJ771="Unknown",AM771="Unknown",A771="Unknown"),"Needs Review","Clean")</f>
        <v>Clean</v>
      </c>
    </row>
    <row r="772" spans="1:46">
      <c r="A772" t="s">
        <v>3563</v>
      </c>
      <c r="B772">
        <f>COUNTIF($D$2:D772,D772)</f>
        <v>1</v>
      </c>
      <c r="C772" t="str">
        <f>IF(COUNTIF($A:$A,A772)=1,
"Unique",
IF(COUNTIFS($A:$A,A772,$N:$N,N772,$AF:$AF,AF772,$AJ:$AJ,AJ772)&gt;1,
"Exact Duplicate",
"Conflicting Duplicate"))</f>
        <v>Unique</v>
      </c>
      <c r="D772" t="s">
        <v>2307</v>
      </c>
      <c r="E772" t="s">
        <v>2762</v>
      </c>
      <c r="F772" s="3">
        <v>45337</v>
      </c>
      <c r="G772" s="3">
        <v>45339</v>
      </c>
      <c r="H772" s="5" t="str">
        <f t="shared" si="216"/>
        <v>February</v>
      </c>
      <c r="I772" s="5">
        <f t="shared" si="217"/>
        <v>2024</v>
      </c>
      <c r="J772" t="str">
        <f>IF(F772="","Missing Date",
IF(ISNUMBER(F772),"Valid","Invalid Date"))</f>
        <v>Valid</v>
      </c>
      <c r="K772" t="str">
        <f t="shared" si="218"/>
        <v>Valid</v>
      </c>
      <c r="L772">
        <f>G772-F772</f>
        <v>2</v>
      </c>
      <c r="M772" t="s">
        <v>3564</v>
      </c>
      <c r="N772" t="s">
        <v>93</v>
      </c>
      <c r="O772" t="str">
        <f t="shared" si="219"/>
        <v>Neha Gupta</v>
      </c>
      <c r="P772" t="s">
        <v>26</v>
      </c>
      <c r="Q772" t="str">
        <f t="shared" si="220"/>
        <v>Consumer</v>
      </c>
      <c r="R772" t="s">
        <v>27</v>
      </c>
      <c r="S772" t="str">
        <f t="shared" si="221"/>
        <v>North</v>
      </c>
      <c r="T772" t="s">
        <v>174</v>
      </c>
      <c r="U772" t="str">
        <f t="shared" si="222"/>
        <v>Uttar Pradesh</v>
      </c>
      <c r="V772" t="s">
        <v>175</v>
      </c>
      <c r="W772" t="str">
        <f t="shared" si="223"/>
        <v>Noida</v>
      </c>
      <c r="X772" t="s">
        <v>86</v>
      </c>
      <c r="Y772" t="str">
        <f t="shared" si="224"/>
        <v>Technology</v>
      </c>
      <c r="Z772" t="s">
        <v>94</v>
      </c>
      <c r="AA772" t="str">
        <f t="shared" si="225"/>
        <v>Copiers</v>
      </c>
      <c r="AB772" t="s">
        <v>3565</v>
      </c>
      <c r="AC772" t="s">
        <v>56</v>
      </c>
      <c r="AD772" t="str">
        <f t="shared" si="226"/>
        <v>First Class</v>
      </c>
      <c r="AE772">
        <v>4</v>
      </c>
      <c r="AF772">
        <v>863</v>
      </c>
      <c r="AG772" t="s">
        <v>4104</v>
      </c>
      <c r="AH772" t="s">
        <v>4104</v>
      </c>
      <c r="AI772" t="str">
        <f t="shared" si="227"/>
        <v>Invalid - Above Range</v>
      </c>
      <c r="AJ772">
        <v>3106.8</v>
      </c>
      <c r="AK772" t="s">
        <v>4104</v>
      </c>
      <c r="AL772">
        <v>2376.62</v>
      </c>
      <c r="AM772">
        <v>730.18</v>
      </c>
      <c r="AN772" t="s">
        <v>4104</v>
      </c>
      <c r="AO772" t="s">
        <v>4104</v>
      </c>
      <c r="AP772" t="s">
        <v>34</v>
      </c>
      <c r="AQ772" t="str">
        <f t="shared" si="231"/>
        <v>Paid</v>
      </c>
      <c r="AR772" t="s">
        <v>35</v>
      </c>
      <c r="AS772" t="str">
        <f t="shared" si="232"/>
        <v>Completed</v>
      </c>
      <c r="AT772" t="str">
        <f t="shared" si="233"/>
        <v>Needs Review</v>
      </c>
    </row>
    <row r="773" spans="1:46">
      <c r="A773" t="s">
        <v>3566</v>
      </c>
      <c r="B773">
        <f>COUNTIF($D$2:D773,D773)</f>
        <v>1</v>
      </c>
      <c r="C773" t="str">
        <f>IF(COUNTIF($A:$A,A773)=1,
"Unique",
IF(COUNTIFS($A:$A,A773,$N:$N,N773,$AF:$AF,AF773,$AJ:$AJ,AJ773)&gt;1,
"Exact Duplicate",
"Conflicting Duplicate"))</f>
        <v>Unique</v>
      </c>
      <c r="D773" t="s">
        <v>3567</v>
      </c>
      <c r="E773" t="s">
        <v>2623</v>
      </c>
      <c r="F773" s="3">
        <v>45633</v>
      </c>
      <c r="G773" s="3">
        <v>45487</v>
      </c>
      <c r="H773" s="5" t="str">
        <f t="shared" si="216"/>
        <v>December</v>
      </c>
      <c r="I773" s="5">
        <f t="shared" si="217"/>
        <v>2024</v>
      </c>
      <c r="J773" t="str">
        <f>IF(F773="","Missing Date",
IF(ISNUMBER(F773),"Valid","Invalid Date"))</f>
        <v>Valid</v>
      </c>
      <c r="K773" t="str">
        <f t="shared" si="218"/>
        <v>Valid</v>
      </c>
      <c r="L773">
        <f>G773-F773</f>
        <v>-146</v>
      </c>
      <c r="M773" t="s">
        <v>691</v>
      </c>
      <c r="N773" t="s">
        <v>72</v>
      </c>
      <c r="O773" t="str">
        <f t="shared" si="219"/>
        <v>Ananya Rao</v>
      </c>
      <c r="P773" t="s">
        <v>26</v>
      </c>
      <c r="Q773" t="str">
        <f t="shared" si="220"/>
        <v>Consumer</v>
      </c>
      <c r="R773" t="s">
        <v>27</v>
      </c>
      <c r="S773" t="str">
        <f t="shared" si="221"/>
        <v>North</v>
      </c>
      <c r="T773" t="s">
        <v>323</v>
      </c>
      <c r="U773" t="str">
        <f t="shared" si="222"/>
        <v>Haryana</v>
      </c>
      <c r="V773" t="s">
        <v>324</v>
      </c>
      <c r="W773" t="str">
        <f t="shared" si="223"/>
        <v>Gurugram</v>
      </c>
      <c r="X773" t="s">
        <v>86</v>
      </c>
      <c r="Y773" t="str">
        <f t="shared" si="224"/>
        <v>Technology</v>
      </c>
      <c r="Z773" t="s">
        <v>382</v>
      </c>
      <c r="AA773" t="str">
        <f t="shared" si="225"/>
        <v>Machines</v>
      </c>
      <c r="AB773" t="s">
        <v>3568</v>
      </c>
      <c r="AC773" t="s">
        <v>33</v>
      </c>
      <c r="AD773" t="str">
        <f t="shared" si="226"/>
        <v>Second Class</v>
      </c>
      <c r="AE773">
        <v>4</v>
      </c>
      <c r="AF773">
        <v>2131.41</v>
      </c>
      <c r="AG773" t="s">
        <v>4104</v>
      </c>
      <c r="AH773" t="s">
        <v>4104</v>
      </c>
      <c r="AI773" t="str">
        <f t="shared" si="227"/>
        <v>Invalid - Above Range</v>
      </c>
      <c r="AJ773">
        <v>6394.23</v>
      </c>
      <c r="AK773" t="s">
        <v>4104</v>
      </c>
      <c r="AL773">
        <v>3520.69</v>
      </c>
      <c r="AM773">
        <v>2873.54</v>
      </c>
      <c r="AN773" t="s">
        <v>4104</v>
      </c>
      <c r="AO773" t="s">
        <v>4104</v>
      </c>
      <c r="AP773" t="s">
        <v>34</v>
      </c>
      <c r="AQ773" t="str">
        <f t="shared" si="231"/>
        <v>Paid</v>
      </c>
      <c r="AR773" t="s">
        <v>35</v>
      </c>
      <c r="AS773" t="str">
        <f t="shared" si="232"/>
        <v>Completed</v>
      </c>
      <c r="AT773" t="str">
        <f t="shared" si="233"/>
        <v>Needs Review</v>
      </c>
    </row>
    <row r="774" spans="1:46">
      <c r="A774" t="s">
        <v>3569</v>
      </c>
      <c r="B774">
        <f>COUNTIF($D$2:D774,D774)</f>
        <v>3</v>
      </c>
      <c r="C774" t="str">
        <f>IF(COUNTIF($A:$A,A774)=1,
"Unique",
IF(COUNTIFS($A:$A,A774,$N:$N,N774,$AF:$AF,AF774,$AJ:$AJ,AJ774)&gt;1,
"Exact Duplicate",
"Conflicting Duplicate"))</f>
        <v>Unique</v>
      </c>
      <c r="D774" t="s">
        <v>171</v>
      </c>
      <c r="E774" t="s">
        <v>1571</v>
      </c>
      <c r="F774" s="3">
        <v>45853</v>
      </c>
      <c r="G774" s="2">
        <v>45857</v>
      </c>
      <c r="H774" s="5" t="str">
        <f t="shared" si="216"/>
        <v>July</v>
      </c>
      <c r="I774" s="5">
        <f t="shared" si="217"/>
        <v>2025</v>
      </c>
      <c r="J774" t="str">
        <f>IF(F774="","Missing Date",
IF(ISNUMBER(F774),"Valid","Invalid Date"))</f>
        <v>Valid</v>
      </c>
      <c r="K774" t="str">
        <f t="shared" si="218"/>
        <v>Valid</v>
      </c>
      <c r="L774">
        <f>G774-F774</f>
        <v>4</v>
      </c>
      <c r="M774" t="s">
        <v>3570</v>
      </c>
      <c r="N774" t="s">
        <v>210</v>
      </c>
      <c r="O774" t="str">
        <f t="shared" si="219"/>
        <v>Diya Patel</v>
      </c>
      <c r="P774" t="s">
        <v>26</v>
      </c>
      <c r="Q774" t="str">
        <f t="shared" si="220"/>
        <v>Consumer</v>
      </c>
      <c r="R774" t="s">
        <v>62</v>
      </c>
      <c r="S774" t="str">
        <f t="shared" si="221"/>
        <v>South</v>
      </c>
      <c r="T774" t="s">
        <v>339</v>
      </c>
      <c r="U774" t="str">
        <f t="shared" si="222"/>
        <v>Tamil Nadu</v>
      </c>
      <c r="V774" t="s">
        <v>340</v>
      </c>
      <c r="W774" t="str">
        <f t="shared" si="223"/>
        <v>Chennai</v>
      </c>
      <c r="X774" t="s">
        <v>45</v>
      </c>
      <c r="Y774" t="str">
        <f t="shared" si="224"/>
        <v>Furniture</v>
      </c>
      <c r="Z774" t="s">
        <v>76</v>
      </c>
      <c r="AA774" t="str">
        <f t="shared" si="225"/>
        <v>Chairs</v>
      </c>
      <c r="AB774" t="s">
        <v>3571</v>
      </c>
      <c r="AC774" t="s">
        <v>48</v>
      </c>
      <c r="AD774" t="str">
        <f t="shared" si="226"/>
        <v>Same Day</v>
      </c>
      <c r="AE774">
        <v>1</v>
      </c>
      <c r="AF774">
        <v>3903.22</v>
      </c>
      <c r="AG774">
        <v>0.05</v>
      </c>
      <c r="AH774">
        <v>0.05</v>
      </c>
      <c r="AI774" t="str">
        <f t="shared" si="227"/>
        <v>Valid</v>
      </c>
      <c r="AJ774">
        <v>3708.06</v>
      </c>
      <c r="AK774">
        <f t="shared" si="228"/>
        <v>3708.0589999999997</v>
      </c>
      <c r="AL774">
        <v>2760.29</v>
      </c>
      <c r="AM774">
        <v>947.77</v>
      </c>
      <c r="AN774">
        <f t="shared" si="229"/>
        <v>947.76899999999978</v>
      </c>
      <c r="AO774">
        <f t="shared" si="230"/>
        <v>-2760.29</v>
      </c>
      <c r="AP774" t="s">
        <v>137</v>
      </c>
      <c r="AQ774" t="str">
        <f t="shared" si="231"/>
        <v>Pending</v>
      </c>
      <c r="AR774" t="s">
        <v>78</v>
      </c>
      <c r="AS774" t="str">
        <f t="shared" si="232"/>
        <v>Cancelled</v>
      </c>
      <c r="AT774" t="str">
        <f t="shared" si="233"/>
        <v>Clean</v>
      </c>
    </row>
    <row r="775" spans="1:46">
      <c r="A775" t="s">
        <v>3572</v>
      </c>
      <c r="B775">
        <f>COUNTIF($D$2:D775,D775)</f>
        <v>2</v>
      </c>
      <c r="C775" t="str">
        <f>IF(COUNTIF($A:$A,A775)=1,
"Unique",
IF(COUNTIFS($A:$A,A775,$N:$N,N775,$AF:$AF,AF775,$AJ:$AJ,AJ775)&gt;1,
"Exact Duplicate",
"Conflicting Duplicate"))</f>
        <v>Unique</v>
      </c>
      <c r="D775" t="s">
        <v>3573</v>
      </c>
      <c r="E775" t="s">
        <v>3574</v>
      </c>
      <c r="F775" s="3">
        <v>45709</v>
      </c>
      <c r="G775" s="2">
        <v>45709</v>
      </c>
      <c r="H775" s="5" t="str">
        <f t="shared" si="216"/>
        <v>February</v>
      </c>
      <c r="I775" s="5">
        <f t="shared" si="217"/>
        <v>2025</v>
      </c>
      <c r="J775" t="str">
        <f>IF(F775="","Missing Date",
IF(ISNUMBER(F775),"Valid","Invalid Date"))</f>
        <v>Valid</v>
      </c>
      <c r="K775" t="str">
        <f t="shared" si="218"/>
        <v>Valid</v>
      </c>
      <c r="L775">
        <f>G775-F775</f>
        <v>0</v>
      </c>
      <c r="M775" t="s">
        <v>3575</v>
      </c>
      <c r="N775" t="s">
        <v>25</v>
      </c>
      <c r="O775" t="str">
        <f t="shared" si="219"/>
        <v>Karan Malhotra</v>
      </c>
      <c r="P775" t="s">
        <v>115</v>
      </c>
      <c r="Q775" t="str">
        <f t="shared" si="220"/>
        <v>Home Office</v>
      </c>
      <c r="R775" t="s">
        <v>73</v>
      </c>
      <c r="S775" t="str">
        <f t="shared" si="221"/>
        <v>West</v>
      </c>
      <c r="T775" t="s">
        <v>235</v>
      </c>
      <c r="U775" t="str">
        <f t="shared" si="222"/>
        <v>Gujarat</v>
      </c>
      <c r="V775" t="s">
        <v>236</v>
      </c>
      <c r="W775" t="str">
        <f t="shared" si="223"/>
        <v>Ahmedabad</v>
      </c>
      <c r="X775" t="s">
        <v>86</v>
      </c>
      <c r="Y775" t="str">
        <f t="shared" si="224"/>
        <v>Technology</v>
      </c>
      <c r="Z775" t="s">
        <v>223</v>
      </c>
      <c r="AA775" t="str">
        <f t="shared" si="225"/>
        <v>Phones</v>
      </c>
      <c r="AB775" t="s">
        <v>3576</v>
      </c>
      <c r="AC775" t="s">
        <v>4104</v>
      </c>
      <c r="AD775" t="str">
        <f t="shared" si="226"/>
        <v>Unknown</v>
      </c>
      <c r="AE775">
        <v>4</v>
      </c>
      <c r="AF775">
        <v>2945.07</v>
      </c>
      <c r="AG775">
        <v>0.2</v>
      </c>
      <c r="AH775">
        <v>0.2</v>
      </c>
      <c r="AI775" t="str">
        <f t="shared" si="227"/>
        <v>Valid</v>
      </c>
      <c r="AJ775">
        <v>9424.2199999999993</v>
      </c>
      <c r="AK775">
        <f t="shared" si="228"/>
        <v>9424.2240000000002</v>
      </c>
      <c r="AL775">
        <v>6178.92</v>
      </c>
      <c r="AM775">
        <v>3245.3</v>
      </c>
      <c r="AN775">
        <f t="shared" si="229"/>
        <v>3245.3040000000001</v>
      </c>
      <c r="AO775">
        <f t="shared" si="230"/>
        <v>-6178.92</v>
      </c>
      <c r="AP775" t="s">
        <v>34</v>
      </c>
      <c r="AQ775" t="str">
        <f t="shared" si="231"/>
        <v>Paid</v>
      </c>
      <c r="AR775" t="s">
        <v>35</v>
      </c>
      <c r="AS775" t="str">
        <f t="shared" si="232"/>
        <v>Completed</v>
      </c>
      <c r="AT775" t="str">
        <f t="shared" si="233"/>
        <v>Clean</v>
      </c>
    </row>
    <row r="776" spans="1:46">
      <c r="A776" t="s">
        <v>3577</v>
      </c>
      <c r="B776">
        <f>COUNTIF($D$2:D776,D776)</f>
        <v>3</v>
      </c>
      <c r="C776" t="str">
        <f>IF(COUNTIF($A:$A,A776)=1,
"Unique",
IF(COUNTIFS($A:$A,A776,$N:$N,N776,$AF:$AF,AF776,$AJ:$AJ,AJ776)&gt;1,
"Exact Duplicate",
"Conflicting Duplicate"))</f>
        <v>Unique</v>
      </c>
      <c r="D776" t="s">
        <v>3578</v>
      </c>
      <c r="E776" t="s">
        <v>1799</v>
      </c>
      <c r="F776" s="3">
        <v>45846</v>
      </c>
      <c r="G776" s="3">
        <v>45846</v>
      </c>
      <c r="H776" s="5" t="str">
        <f t="shared" si="216"/>
        <v>July</v>
      </c>
      <c r="I776" s="5">
        <f t="shared" si="217"/>
        <v>2025</v>
      </c>
      <c r="J776" t="str">
        <f>IF(F776="","Missing Date",
IF(ISNUMBER(F776),"Valid","Invalid Date"))</f>
        <v>Valid</v>
      </c>
      <c r="K776" t="str">
        <f t="shared" si="218"/>
        <v>Valid</v>
      </c>
      <c r="L776">
        <f>G776-F776</f>
        <v>0</v>
      </c>
      <c r="M776" t="s">
        <v>3579</v>
      </c>
      <c r="N776" t="s">
        <v>366</v>
      </c>
      <c r="O776" t="str">
        <f t="shared" si="219"/>
        <v>Kabir Singh</v>
      </c>
      <c r="P776" t="s">
        <v>26</v>
      </c>
      <c r="Q776" t="str">
        <f t="shared" si="220"/>
        <v>Consumer</v>
      </c>
      <c r="R776" t="s">
        <v>73</v>
      </c>
      <c r="S776" t="str">
        <f t="shared" si="221"/>
        <v>West</v>
      </c>
      <c r="T776" t="s">
        <v>28</v>
      </c>
      <c r="U776" t="str">
        <f t="shared" si="222"/>
        <v>Rajasthan</v>
      </c>
      <c r="V776" t="s">
        <v>135</v>
      </c>
      <c r="W776" t="str">
        <f t="shared" si="223"/>
        <v>Udaipur</v>
      </c>
      <c r="X776" t="s">
        <v>86</v>
      </c>
      <c r="Y776" t="str">
        <f t="shared" si="224"/>
        <v>Technology</v>
      </c>
      <c r="Z776" t="s">
        <v>382</v>
      </c>
      <c r="AA776" t="str">
        <f t="shared" si="225"/>
        <v>Machines</v>
      </c>
      <c r="AB776" t="s">
        <v>3580</v>
      </c>
      <c r="AC776" t="s">
        <v>4104</v>
      </c>
      <c r="AD776" t="str">
        <f t="shared" si="226"/>
        <v>Unknown</v>
      </c>
      <c r="AE776">
        <v>9</v>
      </c>
      <c r="AF776">
        <v>1076.75</v>
      </c>
      <c r="AG776">
        <v>0.2</v>
      </c>
      <c r="AH776">
        <v>0.2</v>
      </c>
      <c r="AI776" t="str">
        <f t="shared" si="227"/>
        <v>Valid</v>
      </c>
      <c r="AJ776">
        <v>7752.6</v>
      </c>
      <c r="AK776">
        <f t="shared" si="228"/>
        <v>7752.6</v>
      </c>
      <c r="AL776">
        <v>4689.3</v>
      </c>
      <c r="AM776">
        <v>3063.3</v>
      </c>
      <c r="AN776">
        <f t="shared" si="229"/>
        <v>3063.3</v>
      </c>
      <c r="AO776">
        <f t="shared" si="230"/>
        <v>-4689.3</v>
      </c>
      <c r="AP776" t="s">
        <v>34</v>
      </c>
      <c r="AQ776" t="str">
        <f t="shared" si="231"/>
        <v>Paid</v>
      </c>
      <c r="AR776" t="s">
        <v>35</v>
      </c>
      <c r="AS776" t="str">
        <f t="shared" si="232"/>
        <v>Completed</v>
      </c>
      <c r="AT776" t="str">
        <f t="shared" si="233"/>
        <v>Clean</v>
      </c>
    </row>
    <row r="777" spans="1:46">
      <c r="A777" t="s">
        <v>3581</v>
      </c>
      <c r="B777">
        <f>COUNTIF($D$2:D777,D777)</f>
        <v>1</v>
      </c>
      <c r="C777" t="str">
        <f>IF(COUNTIF($A:$A,A777)=1,
"Unique",
IF(COUNTIFS($A:$A,A777,$N:$N,N777,$AF:$AF,AF777,$AJ:$AJ,AJ777)&gt;1,
"Exact Duplicate",
"Conflicting Duplicate"))</f>
        <v>Unique</v>
      </c>
      <c r="D777" t="s">
        <v>3582</v>
      </c>
      <c r="E777" t="s">
        <v>3583</v>
      </c>
      <c r="F777" s="2">
        <v>45396</v>
      </c>
      <c r="G777" s="3">
        <v>45404</v>
      </c>
      <c r="H777" s="5" t="str">
        <f t="shared" si="216"/>
        <v>April</v>
      </c>
      <c r="I777" s="5">
        <f t="shared" si="217"/>
        <v>2024</v>
      </c>
      <c r="J777" t="str">
        <f>IF(F777="","Missing Date",
IF(ISNUMBER(F777),"Valid","Invalid Date"))</f>
        <v>Valid</v>
      </c>
      <c r="K777" t="str">
        <f t="shared" si="218"/>
        <v>Valid</v>
      </c>
      <c r="L777">
        <f>G777-F777</f>
        <v>8</v>
      </c>
      <c r="M777" t="s">
        <v>3584</v>
      </c>
      <c r="N777" t="s">
        <v>61</v>
      </c>
      <c r="O777" t="str">
        <f t="shared" si="219"/>
        <v>Arjun Bose</v>
      </c>
      <c r="P777" t="s">
        <v>26</v>
      </c>
      <c r="Q777" t="str">
        <f t="shared" si="220"/>
        <v>Consumer</v>
      </c>
      <c r="R777" t="s">
        <v>27</v>
      </c>
      <c r="S777" t="str">
        <f t="shared" si="221"/>
        <v>North</v>
      </c>
      <c r="T777" t="s">
        <v>323</v>
      </c>
      <c r="U777" t="str">
        <f t="shared" si="222"/>
        <v>Haryana</v>
      </c>
      <c r="V777" t="s">
        <v>324</v>
      </c>
      <c r="W777" t="str">
        <f t="shared" si="223"/>
        <v>Gurugram</v>
      </c>
      <c r="X777" t="s">
        <v>86</v>
      </c>
      <c r="Y777" t="str">
        <f t="shared" si="224"/>
        <v>Technology</v>
      </c>
      <c r="Z777" t="s">
        <v>87</v>
      </c>
      <c r="AA777" t="str">
        <f t="shared" si="225"/>
        <v>Accessories</v>
      </c>
      <c r="AB777" t="s">
        <v>3585</v>
      </c>
      <c r="AC777" t="s">
        <v>67</v>
      </c>
      <c r="AD777" t="str">
        <f t="shared" si="226"/>
        <v>Standard Class</v>
      </c>
      <c r="AE777">
        <v>8</v>
      </c>
      <c r="AF777">
        <v>3956.12</v>
      </c>
      <c r="AG777">
        <v>0.25</v>
      </c>
      <c r="AH777">
        <v>0.25</v>
      </c>
      <c r="AI777" t="str">
        <f t="shared" si="227"/>
        <v>Valid</v>
      </c>
      <c r="AJ777">
        <v>23736.720000000001</v>
      </c>
      <c r="AK777">
        <f t="shared" si="228"/>
        <v>23736.720000000001</v>
      </c>
      <c r="AL777">
        <v>13890.9</v>
      </c>
      <c r="AM777">
        <v>9845.82</v>
      </c>
      <c r="AN777">
        <f t="shared" si="229"/>
        <v>9845.8200000000015</v>
      </c>
      <c r="AO777">
        <f t="shared" si="230"/>
        <v>-13890.9</v>
      </c>
      <c r="AP777" t="s">
        <v>34</v>
      </c>
      <c r="AQ777" t="str">
        <f t="shared" si="231"/>
        <v>Paid</v>
      </c>
      <c r="AR777" t="s">
        <v>35</v>
      </c>
      <c r="AS777" t="str">
        <f t="shared" si="232"/>
        <v>Completed</v>
      </c>
      <c r="AT777" t="str">
        <f t="shared" si="233"/>
        <v>Clean</v>
      </c>
    </row>
    <row r="778" spans="1:46">
      <c r="A778" t="s">
        <v>3586</v>
      </c>
      <c r="B778">
        <f>COUNTIF($D$2:D778,D778)</f>
        <v>1</v>
      </c>
      <c r="C778" t="str">
        <f>IF(COUNTIF($A:$A,A778)=1,
"Unique",
IF(COUNTIFS($A:$A,A778,$N:$N,N778,$AF:$AF,AF778,$AJ:$AJ,AJ778)&gt;1,
"Exact Duplicate",
"Conflicting Duplicate"))</f>
        <v>Unique</v>
      </c>
      <c r="D778" t="s">
        <v>3587</v>
      </c>
      <c r="E778" t="s">
        <v>2351</v>
      </c>
      <c r="F778" s="3">
        <v>45875</v>
      </c>
      <c r="G778" s="3">
        <v>45821</v>
      </c>
      <c r="H778" s="5" t="str">
        <f t="shared" si="216"/>
        <v>August</v>
      </c>
      <c r="I778" s="5">
        <f t="shared" si="217"/>
        <v>2025</v>
      </c>
      <c r="J778" t="str">
        <f>IF(F778="","Missing Date",
IF(ISNUMBER(F778),"Valid","Invalid Date"))</f>
        <v>Valid</v>
      </c>
      <c r="K778" t="str">
        <f t="shared" si="218"/>
        <v>Valid</v>
      </c>
      <c r="L778">
        <f>G778-F778</f>
        <v>-54</v>
      </c>
      <c r="M778" t="s">
        <v>3588</v>
      </c>
      <c r="N778" t="s">
        <v>107</v>
      </c>
      <c r="O778" t="str">
        <f t="shared" si="219"/>
        <v>Aditi Sen</v>
      </c>
      <c r="P778" t="s">
        <v>41</v>
      </c>
      <c r="Q778" t="str">
        <f t="shared" si="220"/>
        <v>Small Business</v>
      </c>
      <c r="R778" t="s">
        <v>27</v>
      </c>
      <c r="S778" t="str">
        <f t="shared" si="221"/>
        <v>North</v>
      </c>
      <c r="T778" t="s">
        <v>28</v>
      </c>
      <c r="U778" t="str">
        <f t="shared" si="222"/>
        <v>Rajasthan</v>
      </c>
      <c r="V778" t="s">
        <v>29</v>
      </c>
      <c r="W778" t="str">
        <f t="shared" si="223"/>
        <v>Jaipur</v>
      </c>
      <c r="X778" t="s">
        <v>86</v>
      </c>
      <c r="Y778" t="str">
        <f t="shared" si="224"/>
        <v>Technology</v>
      </c>
      <c r="Z778" t="s">
        <v>94</v>
      </c>
      <c r="AA778" t="str">
        <f t="shared" si="225"/>
        <v>Copiers</v>
      </c>
      <c r="AB778" t="s">
        <v>3589</v>
      </c>
      <c r="AC778" t="s">
        <v>33</v>
      </c>
      <c r="AD778" t="str">
        <f t="shared" si="226"/>
        <v>Second Class</v>
      </c>
      <c r="AE778">
        <v>7</v>
      </c>
      <c r="AF778">
        <v>3857.13</v>
      </c>
      <c r="AG778">
        <v>0</v>
      </c>
      <c r="AH778">
        <v>0</v>
      </c>
      <c r="AI778" t="str">
        <f t="shared" si="227"/>
        <v>Valid</v>
      </c>
      <c r="AJ778">
        <v>26999.91</v>
      </c>
      <c r="AK778">
        <f t="shared" si="228"/>
        <v>26999.91</v>
      </c>
      <c r="AL778">
        <v>17815.98</v>
      </c>
      <c r="AM778">
        <v>9183.93</v>
      </c>
      <c r="AN778">
        <f t="shared" si="229"/>
        <v>9183.93</v>
      </c>
      <c r="AO778">
        <f t="shared" si="230"/>
        <v>-17815.98</v>
      </c>
      <c r="AP778" t="s">
        <v>34</v>
      </c>
      <c r="AQ778" t="str">
        <f t="shared" si="231"/>
        <v>Paid</v>
      </c>
      <c r="AR778" t="s">
        <v>35</v>
      </c>
      <c r="AS778" t="str">
        <f t="shared" si="232"/>
        <v>Completed</v>
      </c>
      <c r="AT778" t="str">
        <f t="shared" si="233"/>
        <v>Clean</v>
      </c>
    </row>
    <row r="779" spans="1:46">
      <c r="A779" t="s">
        <v>3590</v>
      </c>
      <c r="B779">
        <f>COUNTIF($D$2:D779,D779)</f>
        <v>2</v>
      </c>
      <c r="C779" t="str">
        <f>IF(COUNTIF($A:$A,A779)=1,
"Unique",
IF(COUNTIFS($A:$A,A779,$N:$N,N779,$AF:$AF,AF779,$AJ:$AJ,AJ779)&gt;1,
"Exact Duplicate",
"Conflicting Duplicate"))</f>
        <v>Unique</v>
      </c>
      <c r="D779" t="s">
        <v>3591</v>
      </c>
      <c r="E779" t="s">
        <v>2280</v>
      </c>
      <c r="F779" s="3">
        <v>45384</v>
      </c>
      <c r="G779" s="3">
        <v>45445</v>
      </c>
      <c r="H779" s="5" t="str">
        <f t="shared" si="216"/>
        <v>April</v>
      </c>
      <c r="I779" s="5">
        <f t="shared" si="217"/>
        <v>2024</v>
      </c>
      <c r="J779" t="str">
        <f>IF(F779="","Missing Date",
IF(ISNUMBER(F779),"Valid","Invalid Date"))</f>
        <v>Valid</v>
      </c>
      <c r="K779" t="str">
        <f t="shared" si="218"/>
        <v>Valid</v>
      </c>
      <c r="L779">
        <f>G779-F779</f>
        <v>61</v>
      </c>
      <c r="M779" t="s">
        <v>3592</v>
      </c>
      <c r="N779" t="s">
        <v>366</v>
      </c>
      <c r="O779" t="str">
        <f t="shared" si="219"/>
        <v>Kabir Singh</v>
      </c>
      <c r="P779" t="s">
        <v>41</v>
      </c>
      <c r="Q779" t="str">
        <f t="shared" si="220"/>
        <v>Small Business</v>
      </c>
      <c r="R779" t="s">
        <v>73</v>
      </c>
      <c r="S779" t="str">
        <f t="shared" si="221"/>
        <v>West</v>
      </c>
      <c r="T779" t="s">
        <v>84</v>
      </c>
      <c r="U779" t="str">
        <f t="shared" si="222"/>
        <v>Madhya Pradesh</v>
      </c>
      <c r="V779" t="s">
        <v>85</v>
      </c>
      <c r="W779" t="str">
        <f t="shared" si="223"/>
        <v>Indore</v>
      </c>
      <c r="X779" t="s">
        <v>86</v>
      </c>
      <c r="Y779" t="str">
        <f t="shared" si="224"/>
        <v>Technology</v>
      </c>
      <c r="Z779" t="s">
        <v>87</v>
      </c>
      <c r="AA779" t="str">
        <f t="shared" si="225"/>
        <v>Accessories</v>
      </c>
      <c r="AB779" t="s">
        <v>3593</v>
      </c>
      <c r="AC779" t="s">
        <v>33</v>
      </c>
      <c r="AD779" t="str">
        <f t="shared" si="226"/>
        <v>Second Class</v>
      </c>
      <c r="AE779">
        <v>4</v>
      </c>
      <c r="AF779">
        <v>1489.74</v>
      </c>
      <c r="AG779">
        <v>0.15</v>
      </c>
      <c r="AH779">
        <v>0.15</v>
      </c>
      <c r="AI779" t="str">
        <f t="shared" si="227"/>
        <v>Valid</v>
      </c>
      <c r="AJ779">
        <v>5065.12</v>
      </c>
      <c r="AK779">
        <f t="shared" si="228"/>
        <v>5065.116</v>
      </c>
      <c r="AL779">
        <v>3530.12</v>
      </c>
      <c r="AM779">
        <v>1535</v>
      </c>
      <c r="AN779">
        <f t="shared" si="229"/>
        <v>1534.9960000000001</v>
      </c>
      <c r="AO779">
        <f t="shared" si="230"/>
        <v>-3530.12</v>
      </c>
      <c r="AP779" t="s">
        <v>200</v>
      </c>
      <c r="AQ779" t="str">
        <f t="shared" si="231"/>
        <v>Failed</v>
      </c>
      <c r="AR779" t="s">
        <v>78</v>
      </c>
      <c r="AS779" t="str">
        <f t="shared" si="232"/>
        <v>Cancelled</v>
      </c>
      <c r="AT779" t="str">
        <f t="shared" si="233"/>
        <v>Clean</v>
      </c>
    </row>
    <row r="780" spans="1:46">
      <c r="A780" t="s">
        <v>3594</v>
      </c>
      <c r="B780">
        <f>COUNTIF($D$2:D780,D780)</f>
        <v>1</v>
      </c>
      <c r="C780" t="str">
        <f>IF(COUNTIF($A:$A,A780)=1,
"Unique",
IF(COUNTIFS($A:$A,A780,$N:$N,N780,$AF:$AF,AF780,$AJ:$AJ,AJ780)&gt;1,
"Exact Duplicate",
"Conflicting Duplicate"))</f>
        <v>Unique</v>
      </c>
      <c r="D780" t="s">
        <v>715</v>
      </c>
      <c r="E780" t="s">
        <v>3595</v>
      </c>
      <c r="F780" s="3">
        <v>45497</v>
      </c>
      <c r="G780" s="3">
        <v>45497</v>
      </c>
      <c r="H780" s="5" t="str">
        <f t="shared" si="216"/>
        <v>July</v>
      </c>
      <c r="I780" s="5">
        <f t="shared" si="217"/>
        <v>2024</v>
      </c>
      <c r="J780" t="str">
        <f>IF(F780="","Missing Date",
IF(ISNUMBER(F780),"Valid","Invalid Date"))</f>
        <v>Valid</v>
      </c>
      <c r="K780" t="str">
        <f t="shared" si="218"/>
        <v>Valid</v>
      </c>
      <c r="L780">
        <f>G780-F780</f>
        <v>0</v>
      </c>
      <c r="M780" t="s">
        <v>3596</v>
      </c>
      <c r="N780" t="s">
        <v>25</v>
      </c>
      <c r="O780" t="str">
        <f t="shared" si="219"/>
        <v>Karan Malhotra</v>
      </c>
      <c r="P780" t="s">
        <v>41</v>
      </c>
      <c r="Q780" t="str">
        <f t="shared" si="220"/>
        <v>Small Business</v>
      </c>
      <c r="R780" t="s">
        <v>27</v>
      </c>
      <c r="S780" t="str">
        <f t="shared" si="221"/>
        <v>North</v>
      </c>
      <c r="T780" t="s">
        <v>323</v>
      </c>
      <c r="U780" t="str">
        <f t="shared" si="222"/>
        <v>Haryana</v>
      </c>
      <c r="V780" t="s">
        <v>324</v>
      </c>
      <c r="W780" t="str">
        <f t="shared" si="223"/>
        <v>Gurugram</v>
      </c>
      <c r="X780" t="s">
        <v>86</v>
      </c>
      <c r="Y780" t="str">
        <f t="shared" si="224"/>
        <v>Technology</v>
      </c>
      <c r="Z780" t="s">
        <v>94</v>
      </c>
      <c r="AA780" t="str">
        <f t="shared" si="225"/>
        <v>Copiers</v>
      </c>
      <c r="AB780" t="s">
        <v>3597</v>
      </c>
      <c r="AC780" t="s">
        <v>33</v>
      </c>
      <c r="AD780" t="str">
        <f t="shared" si="226"/>
        <v>Second Class</v>
      </c>
      <c r="AE780">
        <v>4</v>
      </c>
      <c r="AF780">
        <v>1676.88</v>
      </c>
      <c r="AG780">
        <v>0</v>
      </c>
      <c r="AH780">
        <v>0</v>
      </c>
      <c r="AI780" t="str">
        <f t="shared" si="227"/>
        <v>Valid</v>
      </c>
      <c r="AJ780">
        <v>6707.52</v>
      </c>
      <c r="AK780">
        <f t="shared" si="228"/>
        <v>6707.52</v>
      </c>
      <c r="AL780">
        <v>5672.57</v>
      </c>
      <c r="AM780">
        <v>1034.95</v>
      </c>
      <c r="AN780">
        <f t="shared" si="229"/>
        <v>1034.9500000000007</v>
      </c>
      <c r="AO780">
        <f t="shared" si="230"/>
        <v>-5672.57</v>
      </c>
      <c r="AP780" t="s">
        <v>34</v>
      </c>
      <c r="AQ780" t="str">
        <f t="shared" si="231"/>
        <v>Paid</v>
      </c>
      <c r="AR780" t="s">
        <v>35</v>
      </c>
      <c r="AS780" t="str">
        <f t="shared" si="232"/>
        <v>Completed</v>
      </c>
      <c r="AT780" t="str">
        <f t="shared" si="233"/>
        <v>Clean</v>
      </c>
    </row>
    <row r="781" spans="1:46">
      <c r="A781" t="s">
        <v>3598</v>
      </c>
      <c r="B781">
        <f>COUNTIF($D$2:D781,D781)</f>
        <v>2</v>
      </c>
      <c r="C781" t="str">
        <f>IF(COUNTIF($A:$A,A781)=1,
"Unique",
IF(COUNTIFS($A:$A,A781,$N:$N,N781,$AF:$AF,AF781,$AJ:$AJ,AJ781)&gt;1,
"Exact Duplicate",
"Conflicting Duplicate"))</f>
        <v>Unique</v>
      </c>
      <c r="D781" t="s">
        <v>2205</v>
      </c>
      <c r="E781" t="s">
        <v>3599</v>
      </c>
      <c r="F781" s="3">
        <v>45306</v>
      </c>
      <c r="G781" s="3">
        <v>45311</v>
      </c>
      <c r="H781" s="5" t="str">
        <f t="shared" si="216"/>
        <v>January</v>
      </c>
      <c r="I781" s="5">
        <f t="shared" si="217"/>
        <v>2024</v>
      </c>
      <c r="J781" t="str">
        <f>IF(F781="","Missing Date",
IF(ISNUMBER(F781),"Valid","Invalid Date"))</f>
        <v>Valid</v>
      </c>
      <c r="K781" t="str">
        <f t="shared" si="218"/>
        <v>Valid</v>
      </c>
      <c r="L781">
        <f>G781-F781</f>
        <v>5</v>
      </c>
      <c r="M781" t="s">
        <v>3600</v>
      </c>
      <c r="N781" t="s">
        <v>142</v>
      </c>
      <c r="O781" t="str">
        <f t="shared" si="219"/>
        <v>Priya Menon</v>
      </c>
      <c r="P781" t="s">
        <v>41</v>
      </c>
      <c r="Q781" t="str">
        <f t="shared" si="220"/>
        <v>Small Business</v>
      </c>
      <c r="R781" t="s">
        <v>62</v>
      </c>
      <c r="S781" t="str">
        <f t="shared" si="221"/>
        <v>South</v>
      </c>
      <c r="T781" t="s">
        <v>100</v>
      </c>
      <c r="U781" t="str">
        <f t="shared" si="222"/>
        <v>Andhra Pradesh</v>
      </c>
      <c r="V781" t="s">
        <v>101</v>
      </c>
      <c r="W781" t="str">
        <f t="shared" si="223"/>
        <v>Vijayawada</v>
      </c>
      <c r="X781" t="s">
        <v>45</v>
      </c>
      <c r="Y781" t="str">
        <f t="shared" si="224"/>
        <v>Furniture</v>
      </c>
      <c r="Z781" t="s">
        <v>76</v>
      </c>
      <c r="AA781" t="str">
        <f t="shared" si="225"/>
        <v>Chairs</v>
      </c>
      <c r="AB781" t="s">
        <v>3601</v>
      </c>
      <c r="AC781" t="s">
        <v>67</v>
      </c>
      <c r="AD781" t="str">
        <f t="shared" si="226"/>
        <v>Standard Class</v>
      </c>
      <c r="AE781">
        <v>4</v>
      </c>
      <c r="AF781">
        <v>3153.54</v>
      </c>
      <c r="AG781">
        <v>0.05</v>
      </c>
      <c r="AH781">
        <v>0.05</v>
      </c>
      <c r="AI781" t="str">
        <f t="shared" si="227"/>
        <v>Valid</v>
      </c>
      <c r="AJ781">
        <v>11983.45</v>
      </c>
      <c r="AK781">
        <f t="shared" si="228"/>
        <v>11983.451999999999</v>
      </c>
      <c r="AL781">
        <v>8572.9</v>
      </c>
      <c r="AM781">
        <v>3410.55</v>
      </c>
      <c r="AN781">
        <f t="shared" si="229"/>
        <v>3410.5519999999997</v>
      </c>
      <c r="AO781">
        <f t="shared" si="230"/>
        <v>-8572.9</v>
      </c>
      <c r="AP781" t="s">
        <v>34</v>
      </c>
      <c r="AQ781" t="str">
        <f t="shared" si="231"/>
        <v>Paid</v>
      </c>
      <c r="AR781" t="s">
        <v>35</v>
      </c>
      <c r="AS781" t="str">
        <f t="shared" si="232"/>
        <v>Completed</v>
      </c>
      <c r="AT781" t="str">
        <f t="shared" si="233"/>
        <v>Clean</v>
      </c>
    </row>
    <row r="782" spans="1:46">
      <c r="A782" t="s">
        <v>3602</v>
      </c>
      <c r="B782">
        <f>COUNTIF($D$2:D782,D782)</f>
        <v>1</v>
      </c>
      <c r="C782" t="str">
        <f>IF(COUNTIF($A:$A,A782)=1,
"Unique",
IF(COUNTIFS($A:$A,A782,$N:$N,N782,$AF:$AF,AF782,$AJ:$AJ,AJ782)&gt;1,
"Exact Duplicate",
"Conflicting Duplicate"))</f>
        <v>Unique</v>
      </c>
      <c r="D782" t="s">
        <v>3603</v>
      </c>
      <c r="E782" t="s">
        <v>2654</v>
      </c>
      <c r="F782" s="2">
        <v>45390</v>
      </c>
      <c r="G782" s="3">
        <v>45514</v>
      </c>
      <c r="H782" s="5" t="str">
        <f t="shared" si="216"/>
        <v>April</v>
      </c>
      <c r="I782" s="5">
        <f t="shared" si="217"/>
        <v>2024</v>
      </c>
      <c r="J782" t="str">
        <f>IF(F782="","Missing Date",
IF(ISNUMBER(F782),"Valid","Invalid Date"))</f>
        <v>Valid</v>
      </c>
      <c r="K782" t="str">
        <f t="shared" si="218"/>
        <v>Valid</v>
      </c>
      <c r="L782">
        <f>G782-F782</f>
        <v>124</v>
      </c>
      <c r="M782" t="s">
        <v>3604</v>
      </c>
      <c r="N782" t="s">
        <v>210</v>
      </c>
      <c r="O782" t="str">
        <f t="shared" si="219"/>
        <v>Diya Patel</v>
      </c>
      <c r="P782" t="s">
        <v>41</v>
      </c>
      <c r="Q782" t="str">
        <f t="shared" si="220"/>
        <v>Small Business</v>
      </c>
      <c r="R782" t="s">
        <v>73</v>
      </c>
      <c r="S782" t="str">
        <f t="shared" si="221"/>
        <v>West</v>
      </c>
      <c r="T782" t="s">
        <v>28</v>
      </c>
      <c r="U782" t="str">
        <f t="shared" si="222"/>
        <v>Rajasthan</v>
      </c>
      <c r="V782" t="s">
        <v>135</v>
      </c>
      <c r="W782" t="str">
        <f t="shared" si="223"/>
        <v>Udaipur</v>
      </c>
      <c r="X782" t="s">
        <v>45</v>
      </c>
      <c r="Y782" t="str">
        <f t="shared" si="224"/>
        <v>Furniture</v>
      </c>
      <c r="Z782" t="s">
        <v>76</v>
      </c>
      <c r="AA782" t="str">
        <f t="shared" si="225"/>
        <v>Chairs</v>
      </c>
      <c r="AB782" t="s">
        <v>3605</v>
      </c>
      <c r="AC782" t="s">
        <v>48</v>
      </c>
      <c r="AD782" t="str">
        <f t="shared" si="226"/>
        <v>Same Day</v>
      </c>
      <c r="AE782">
        <v>4</v>
      </c>
      <c r="AF782">
        <v>426.43</v>
      </c>
      <c r="AG782">
        <v>0.2</v>
      </c>
      <c r="AH782">
        <v>0.2</v>
      </c>
      <c r="AI782" t="str">
        <f t="shared" si="227"/>
        <v>Valid</v>
      </c>
      <c r="AJ782">
        <v>1364.58</v>
      </c>
      <c r="AK782">
        <f t="shared" si="228"/>
        <v>1364.576</v>
      </c>
      <c r="AL782">
        <v>978.16</v>
      </c>
      <c r="AM782">
        <v>386.42</v>
      </c>
      <c r="AN782">
        <f t="shared" si="229"/>
        <v>386.41600000000005</v>
      </c>
      <c r="AO782">
        <f t="shared" si="230"/>
        <v>-978.16</v>
      </c>
      <c r="AP782" t="s">
        <v>34</v>
      </c>
      <c r="AQ782" t="str">
        <f t="shared" si="231"/>
        <v>Paid</v>
      </c>
      <c r="AR782" t="s">
        <v>35</v>
      </c>
      <c r="AS782" t="str">
        <f t="shared" si="232"/>
        <v>Completed</v>
      </c>
      <c r="AT782" t="str">
        <f t="shared" si="233"/>
        <v>Clean</v>
      </c>
    </row>
    <row r="783" spans="1:46">
      <c r="A783" t="s">
        <v>3606</v>
      </c>
      <c r="B783">
        <f>COUNTIF($D$2:D783,D783)</f>
        <v>1</v>
      </c>
      <c r="C783" t="str">
        <f>IF(COUNTIF($A:$A,A783)=1,
"Unique",
IF(COUNTIFS($A:$A,A783,$N:$N,N783,$AF:$AF,AF783,$AJ:$AJ,AJ783)&gt;1,
"Exact Duplicate",
"Conflicting Duplicate"))</f>
        <v>Unique</v>
      </c>
      <c r="D783" t="s">
        <v>3607</v>
      </c>
      <c r="E783" t="s">
        <v>2129</v>
      </c>
      <c r="F783" s="3">
        <v>45324</v>
      </c>
      <c r="G783" s="2">
        <v>45567</v>
      </c>
      <c r="H783" s="5" t="str">
        <f t="shared" si="216"/>
        <v>February</v>
      </c>
      <c r="I783" s="5">
        <f t="shared" si="217"/>
        <v>2024</v>
      </c>
      <c r="J783" t="str">
        <f>IF(F783="","Missing Date",
IF(ISNUMBER(F783),"Valid","Invalid Date"))</f>
        <v>Valid</v>
      </c>
      <c r="K783" t="str">
        <f t="shared" si="218"/>
        <v>Valid</v>
      </c>
      <c r="L783">
        <f>G783-F783</f>
        <v>243</v>
      </c>
      <c r="M783" t="s">
        <v>3608</v>
      </c>
      <c r="N783" t="s">
        <v>25</v>
      </c>
      <c r="O783" t="str">
        <f t="shared" si="219"/>
        <v>Karan Malhotra</v>
      </c>
      <c r="P783" t="s">
        <v>115</v>
      </c>
      <c r="Q783" t="str">
        <f t="shared" si="220"/>
        <v>Home Office</v>
      </c>
      <c r="R783" t="s">
        <v>73</v>
      </c>
      <c r="S783" t="str">
        <f t="shared" si="221"/>
        <v>West</v>
      </c>
      <c r="T783" t="s">
        <v>28</v>
      </c>
      <c r="U783" t="str">
        <f t="shared" si="222"/>
        <v>Rajasthan</v>
      </c>
      <c r="V783" t="s">
        <v>135</v>
      </c>
      <c r="W783" t="str">
        <f t="shared" si="223"/>
        <v>Udaipur</v>
      </c>
      <c r="X783" t="s">
        <v>30</v>
      </c>
      <c r="Y783" t="str">
        <f t="shared" si="224"/>
        <v>Office Supplies</v>
      </c>
      <c r="Z783" t="s">
        <v>109</v>
      </c>
      <c r="AA783" t="str">
        <f t="shared" si="225"/>
        <v>Labels</v>
      </c>
      <c r="AB783" t="s">
        <v>3609</v>
      </c>
      <c r="AC783" t="s">
        <v>56</v>
      </c>
      <c r="AD783" t="str">
        <f t="shared" si="226"/>
        <v>First Class</v>
      </c>
      <c r="AE783">
        <v>3</v>
      </c>
      <c r="AF783">
        <v>383.4</v>
      </c>
      <c r="AG783">
        <v>0.25</v>
      </c>
      <c r="AH783">
        <v>0.25</v>
      </c>
      <c r="AI783" t="str">
        <f t="shared" si="227"/>
        <v>Valid</v>
      </c>
      <c r="AJ783">
        <v>862.65</v>
      </c>
      <c r="AK783">
        <f t="shared" si="228"/>
        <v>862.64999999999986</v>
      </c>
      <c r="AL783">
        <v>603.73</v>
      </c>
      <c r="AM783">
        <v>258.92</v>
      </c>
      <c r="AN783">
        <f t="shared" si="229"/>
        <v>258.91999999999985</v>
      </c>
      <c r="AO783">
        <f t="shared" si="230"/>
        <v>-603.73</v>
      </c>
      <c r="AP783" t="s">
        <v>137</v>
      </c>
      <c r="AQ783" t="str">
        <f t="shared" si="231"/>
        <v>Pending</v>
      </c>
      <c r="AR783" t="s">
        <v>125</v>
      </c>
      <c r="AS783" t="str">
        <f t="shared" si="232"/>
        <v>Returned</v>
      </c>
      <c r="AT783" t="str">
        <f t="shared" si="233"/>
        <v>Clean</v>
      </c>
    </row>
    <row r="784" spans="1:46">
      <c r="A784" t="s">
        <v>3610</v>
      </c>
      <c r="B784">
        <f>COUNTIF($D$2:D784,D784)</f>
        <v>1</v>
      </c>
      <c r="C784" t="str">
        <f>IF(COUNTIF($A:$A,A784)=1,
"Unique",
IF(COUNTIFS($A:$A,A784,$N:$N,N784,$AF:$AF,AF784,$AJ:$AJ,AJ784)&gt;1,
"Exact Duplicate",
"Conflicting Duplicate"))</f>
        <v>Unique</v>
      </c>
      <c r="D784" t="s">
        <v>1435</v>
      </c>
      <c r="E784" t="s">
        <v>3611</v>
      </c>
      <c r="F784" s="3">
        <v>45730</v>
      </c>
      <c r="G784" s="3">
        <v>45738</v>
      </c>
      <c r="H784" s="5" t="str">
        <f t="shared" si="216"/>
        <v>March</v>
      </c>
      <c r="I784" s="5">
        <f t="shared" si="217"/>
        <v>2025</v>
      </c>
      <c r="J784" t="str">
        <f>IF(F784="","Missing Date",
IF(ISNUMBER(F784),"Valid","Invalid Date"))</f>
        <v>Valid</v>
      </c>
      <c r="K784" t="str">
        <f t="shared" si="218"/>
        <v>Valid</v>
      </c>
      <c r="L784">
        <f>G784-F784</f>
        <v>8</v>
      </c>
      <c r="M784" t="s">
        <v>3612</v>
      </c>
      <c r="N784" t="s">
        <v>40</v>
      </c>
      <c r="O784" t="str">
        <f t="shared" si="219"/>
        <v>Mira Das</v>
      </c>
      <c r="P784" t="s">
        <v>108</v>
      </c>
      <c r="Q784" t="str">
        <f t="shared" si="220"/>
        <v>Corporate</v>
      </c>
      <c r="R784" t="s">
        <v>42</v>
      </c>
      <c r="S784" t="str">
        <f t="shared" si="221"/>
        <v>East</v>
      </c>
      <c r="T784" t="s">
        <v>121</v>
      </c>
      <c r="U784" t="str">
        <f t="shared" si="222"/>
        <v>West Bengal</v>
      </c>
      <c r="V784" t="s">
        <v>122</v>
      </c>
      <c r="W784" t="str">
        <f t="shared" si="223"/>
        <v>Kolkata</v>
      </c>
      <c r="X784" t="s">
        <v>86</v>
      </c>
      <c r="Y784" t="str">
        <f t="shared" si="224"/>
        <v>Technology</v>
      </c>
      <c r="Z784" t="s">
        <v>94</v>
      </c>
      <c r="AA784" t="str">
        <f t="shared" si="225"/>
        <v>Copiers</v>
      </c>
      <c r="AB784" t="s">
        <v>3613</v>
      </c>
      <c r="AC784" t="s">
        <v>67</v>
      </c>
      <c r="AD784" t="str">
        <f t="shared" si="226"/>
        <v>Standard Class</v>
      </c>
      <c r="AE784">
        <v>2</v>
      </c>
      <c r="AF784">
        <v>669.63</v>
      </c>
      <c r="AG784">
        <v>0.15</v>
      </c>
      <c r="AH784">
        <v>0.15</v>
      </c>
      <c r="AI784" t="str">
        <f t="shared" si="227"/>
        <v>Valid</v>
      </c>
      <c r="AJ784">
        <v>1138.3699999999999</v>
      </c>
      <c r="AK784">
        <f t="shared" si="228"/>
        <v>1138.3709999999999</v>
      </c>
      <c r="AL784">
        <v>797.34</v>
      </c>
      <c r="AM784">
        <v>341.03</v>
      </c>
      <c r="AN784">
        <f t="shared" si="229"/>
        <v>341.03099999999984</v>
      </c>
      <c r="AO784">
        <f t="shared" si="230"/>
        <v>-797.34</v>
      </c>
      <c r="AP784" t="s">
        <v>34</v>
      </c>
      <c r="AQ784" t="str">
        <f t="shared" si="231"/>
        <v>Paid</v>
      </c>
      <c r="AR784" t="s">
        <v>35</v>
      </c>
      <c r="AS784" t="str">
        <f t="shared" si="232"/>
        <v>Completed</v>
      </c>
      <c r="AT784" t="str">
        <f t="shared" si="233"/>
        <v>Clean</v>
      </c>
    </row>
    <row r="785" spans="1:46">
      <c r="A785" t="s">
        <v>3614</v>
      </c>
      <c r="B785">
        <f>COUNTIF($D$2:D785,D785)</f>
        <v>2</v>
      </c>
      <c r="C785" t="str">
        <f>IF(COUNTIF($A:$A,A785)=1,
"Unique",
IF(COUNTIFS($A:$A,A785,$N:$N,N785,$AF:$AF,AF785,$AJ:$AJ,AJ785)&gt;1,
"Exact Duplicate",
"Conflicting Duplicate"))</f>
        <v>Unique</v>
      </c>
      <c r="D785" t="s">
        <v>3615</v>
      </c>
      <c r="E785" t="s">
        <v>3616</v>
      </c>
      <c r="F785" s="2">
        <v>45479</v>
      </c>
      <c r="G785" s="3">
        <v>45479</v>
      </c>
      <c r="H785" s="5" t="str">
        <f t="shared" si="216"/>
        <v>July</v>
      </c>
      <c r="I785" s="5">
        <f t="shared" si="217"/>
        <v>2024</v>
      </c>
      <c r="J785" t="str">
        <f>IF(F785="","Missing Date",
IF(ISNUMBER(F785),"Valid","Invalid Date"))</f>
        <v>Valid</v>
      </c>
      <c r="K785" t="str">
        <f t="shared" si="218"/>
        <v>Valid</v>
      </c>
      <c r="L785">
        <f>G785-F785</f>
        <v>0</v>
      </c>
      <c r="M785" t="s">
        <v>3617</v>
      </c>
      <c r="N785" t="s">
        <v>162</v>
      </c>
      <c r="O785" t="str">
        <f t="shared" si="219"/>
        <v>Aarav Sharma</v>
      </c>
      <c r="P785" t="s">
        <v>41</v>
      </c>
      <c r="Q785" t="str">
        <f t="shared" si="220"/>
        <v>Small Business</v>
      </c>
      <c r="R785" t="s">
        <v>42</v>
      </c>
      <c r="S785" t="str">
        <f t="shared" si="221"/>
        <v>East</v>
      </c>
      <c r="T785" t="s">
        <v>186</v>
      </c>
      <c r="U785" t="str">
        <f t="shared" si="222"/>
        <v>Bihar</v>
      </c>
      <c r="V785" t="s">
        <v>187</v>
      </c>
      <c r="W785" t="str">
        <f t="shared" si="223"/>
        <v>Patna</v>
      </c>
      <c r="X785" t="s">
        <v>30</v>
      </c>
      <c r="Y785" t="str">
        <f t="shared" si="224"/>
        <v>Office Supplies</v>
      </c>
      <c r="Z785" t="s">
        <v>54</v>
      </c>
      <c r="AA785" t="str">
        <f t="shared" si="225"/>
        <v>Art</v>
      </c>
      <c r="AB785" t="s">
        <v>3618</v>
      </c>
      <c r="AC785" t="s">
        <v>33</v>
      </c>
      <c r="AD785" t="str">
        <f t="shared" si="226"/>
        <v>Second Class</v>
      </c>
      <c r="AE785">
        <v>1</v>
      </c>
      <c r="AF785">
        <v>2581.9299999999998</v>
      </c>
      <c r="AG785">
        <v>0.05</v>
      </c>
      <c r="AH785">
        <v>0.05</v>
      </c>
      <c r="AI785" t="str">
        <f t="shared" si="227"/>
        <v>Valid</v>
      </c>
      <c r="AJ785">
        <v>2452.83</v>
      </c>
      <c r="AK785">
        <f t="shared" si="228"/>
        <v>2452.8334999999997</v>
      </c>
      <c r="AL785">
        <v>1906.7</v>
      </c>
      <c r="AM785">
        <v>546.13</v>
      </c>
      <c r="AN785">
        <f t="shared" si="229"/>
        <v>546.13349999999969</v>
      </c>
      <c r="AO785">
        <f t="shared" si="230"/>
        <v>-1906.7</v>
      </c>
      <c r="AP785" t="s">
        <v>34</v>
      </c>
      <c r="AQ785" t="str">
        <f t="shared" si="231"/>
        <v>Paid</v>
      </c>
      <c r="AR785" t="s">
        <v>35</v>
      </c>
      <c r="AS785" t="str">
        <f t="shared" si="232"/>
        <v>Completed</v>
      </c>
      <c r="AT785" t="str">
        <f t="shared" si="233"/>
        <v>Clean</v>
      </c>
    </row>
    <row r="786" spans="1:46">
      <c r="A786" t="s">
        <v>3619</v>
      </c>
      <c r="B786">
        <f>COUNTIF($D$2:D786,D786)</f>
        <v>4</v>
      </c>
      <c r="C786" t="str">
        <f>IF(COUNTIF($A:$A,A786)=1,
"Unique",
IF(COUNTIFS($A:$A,A786,$N:$N,N786,$AF:$AF,AF786,$AJ:$AJ,AJ786)&gt;1,
"Exact Duplicate",
"Conflicting Duplicate"))</f>
        <v>Unique</v>
      </c>
      <c r="D786" t="s">
        <v>3620</v>
      </c>
      <c r="E786" t="s">
        <v>2553</v>
      </c>
      <c r="F786" s="3">
        <v>45934</v>
      </c>
      <c r="G786" s="3">
        <v>45787</v>
      </c>
      <c r="H786" s="5" t="str">
        <f t="shared" si="216"/>
        <v>October</v>
      </c>
      <c r="I786" s="5">
        <f t="shared" si="217"/>
        <v>2025</v>
      </c>
      <c r="J786" t="str">
        <f>IF(F786="","Missing Date",
IF(ISNUMBER(F786),"Valid","Invalid Date"))</f>
        <v>Valid</v>
      </c>
      <c r="K786" t="str">
        <f t="shared" si="218"/>
        <v>Valid</v>
      </c>
      <c r="L786">
        <f>G786-F786</f>
        <v>-147</v>
      </c>
      <c r="M786" t="s">
        <v>3621</v>
      </c>
      <c r="N786" t="s">
        <v>142</v>
      </c>
      <c r="O786" t="str">
        <f t="shared" si="219"/>
        <v>Priya Menon</v>
      </c>
      <c r="P786" t="s">
        <v>108</v>
      </c>
      <c r="Q786" t="str">
        <f t="shared" si="220"/>
        <v>Corporate</v>
      </c>
      <c r="R786" t="s">
        <v>3622</v>
      </c>
      <c r="S786" t="str">
        <f t="shared" si="221"/>
        <v>North</v>
      </c>
      <c r="T786" t="s">
        <v>154</v>
      </c>
      <c r="U786" t="str">
        <f t="shared" si="222"/>
        <v>Punjab</v>
      </c>
      <c r="V786" t="s">
        <v>155</v>
      </c>
      <c r="W786" t="str">
        <f t="shared" si="223"/>
        <v>Ludhiana</v>
      </c>
      <c r="X786" t="s">
        <v>86</v>
      </c>
      <c r="Y786" t="str">
        <f t="shared" si="224"/>
        <v>Technology</v>
      </c>
      <c r="Z786" t="s">
        <v>94</v>
      </c>
      <c r="AA786" t="str">
        <f t="shared" si="225"/>
        <v>Copiers</v>
      </c>
      <c r="AB786" t="s">
        <v>3623</v>
      </c>
      <c r="AC786" t="s">
        <v>56</v>
      </c>
      <c r="AD786" t="str">
        <f t="shared" si="226"/>
        <v>First Class</v>
      </c>
      <c r="AE786">
        <v>4</v>
      </c>
      <c r="AF786">
        <v>418.18</v>
      </c>
      <c r="AG786">
        <v>0.05</v>
      </c>
      <c r="AH786">
        <v>0.05</v>
      </c>
      <c r="AI786" t="str">
        <f t="shared" si="227"/>
        <v>Valid</v>
      </c>
      <c r="AJ786">
        <v>1589.08</v>
      </c>
      <c r="AK786">
        <f t="shared" si="228"/>
        <v>1589.0840000000001</v>
      </c>
      <c r="AL786">
        <v>1084.6600000000001</v>
      </c>
      <c r="AM786">
        <v>504.42</v>
      </c>
      <c r="AN786">
        <f t="shared" si="229"/>
        <v>504.42399999999998</v>
      </c>
      <c r="AO786">
        <f t="shared" si="230"/>
        <v>-1084.6600000000001</v>
      </c>
      <c r="AP786" t="s">
        <v>34</v>
      </c>
      <c r="AQ786" t="str">
        <f t="shared" si="231"/>
        <v>Paid</v>
      </c>
      <c r="AR786" t="s">
        <v>35</v>
      </c>
      <c r="AS786" t="str">
        <f t="shared" si="232"/>
        <v>Completed</v>
      </c>
      <c r="AT786" t="str">
        <f t="shared" si="233"/>
        <v>Clean</v>
      </c>
    </row>
    <row r="787" spans="1:46">
      <c r="A787" t="s">
        <v>3624</v>
      </c>
      <c r="B787">
        <f>COUNTIF($D$2:D787,D787)</f>
        <v>1</v>
      </c>
      <c r="C787" t="str">
        <f>IF(COUNTIF($A:$A,A787)=1,
"Unique",
IF(COUNTIFS($A:$A,A787,$N:$N,N787,$AF:$AF,AF787,$AJ:$AJ,AJ787)&gt;1,
"Exact Duplicate",
"Conflicting Duplicate"))</f>
        <v>Unique</v>
      </c>
      <c r="D787" t="s">
        <v>3625</v>
      </c>
      <c r="E787" t="s">
        <v>273</v>
      </c>
      <c r="F787" s="3">
        <v>45435</v>
      </c>
      <c r="G787" s="3">
        <v>45441</v>
      </c>
      <c r="H787" s="5" t="str">
        <f t="shared" si="216"/>
        <v>May</v>
      </c>
      <c r="I787" s="5">
        <f t="shared" si="217"/>
        <v>2024</v>
      </c>
      <c r="J787" t="str">
        <f>IF(F787="","Missing Date",
IF(ISNUMBER(F787),"Valid","Invalid Date"))</f>
        <v>Valid</v>
      </c>
      <c r="K787" t="str">
        <f t="shared" si="218"/>
        <v>Valid</v>
      </c>
      <c r="L787">
        <f>G787-F787</f>
        <v>6</v>
      </c>
      <c r="M787" t="s">
        <v>3626</v>
      </c>
      <c r="N787" t="s">
        <v>210</v>
      </c>
      <c r="O787" t="str">
        <f t="shared" si="219"/>
        <v>Diya Patel</v>
      </c>
      <c r="P787" t="s">
        <v>41</v>
      </c>
      <c r="Q787" t="str">
        <f t="shared" si="220"/>
        <v>Small Business</v>
      </c>
      <c r="R787" t="s">
        <v>27</v>
      </c>
      <c r="S787" t="str">
        <f t="shared" si="221"/>
        <v>North</v>
      </c>
      <c r="T787" t="s">
        <v>323</v>
      </c>
      <c r="U787" t="str">
        <f t="shared" si="222"/>
        <v>Haryana</v>
      </c>
      <c r="V787" t="s">
        <v>324</v>
      </c>
      <c r="W787" t="str">
        <f t="shared" si="223"/>
        <v>Gurugram</v>
      </c>
      <c r="X787" t="s">
        <v>30</v>
      </c>
      <c r="Y787" t="str">
        <f t="shared" si="224"/>
        <v>Office Supplies</v>
      </c>
      <c r="Z787" t="s">
        <v>156</v>
      </c>
      <c r="AA787" t="str">
        <f t="shared" si="225"/>
        <v>Storage</v>
      </c>
      <c r="AB787" t="s">
        <v>3627</v>
      </c>
      <c r="AC787" t="s">
        <v>48</v>
      </c>
      <c r="AD787" t="str">
        <f t="shared" si="226"/>
        <v>Same Day</v>
      </c>
      <c r="AE787">
        <v>2</v>
      </c>
      <c r="AF787">
        <v>3012.94</v>
      </c>
      <c r="AG787">
        <v>0.25</v>
      </c>
      <c r="AH787">
        <v>0.25</v>
      </c>
      <c r="AI787" t="str">
        <f t="shared" si="227"/>
        <v>Valid</v>
      </c>
      <c r="AJ787">
        <v>4519.41</v>
      </c>
      <c r="AK787">
        <f t="shared" si="228"/>
        <v>4519.41</v>
      </c>
      <c r="AL787">
        <v>3504.16</v>
      </c>
      <c r="AM787">
        <v>1275.55</v>
      </c>
      <c r="AN787">
        <f t="shared" si="229"/>
        <v>1015.25</v>
      </c>
      <c r="AO787">
        <f t="shared" si="230"/>
        <v>-3504.16</v>
      </c>
      <c r="AP787" t="s">
        <v>200</v>
      </c>
      <c r="AQ787" t="str">
        <f t="shared" si="231"/>
        <v>Failed</v>
      </c>
      <c r="AR787" t="s">
        <v>78</v>
      </c>
      <c r="AS787" t="str">
        <f t="shared" si="232"/>
        <v>Cancelled</v>
      </c>
      <c r="AT787" t="str">
        <f t="shared" si="233"/>
        <v>Clean</v>
      </c>
    </row>
    <row r="788" spans="1:46">
      <c r="A788" t="s">
        <v>3628</v>
      </c>
      <c r="B788">
        <f>COUNTIF($D$2:D788,D788)</f>
        <v>3</v>
      </c>
      <c r="C788" t="str">
        <f>IF(COUNTIF($A:$A,A788)=1,
"Unique",
IF(COUNTIFS($A:$A,A788,$N:$N,N788,$AF:$AF,AF788,$AJ:$AJ,AJ788)&gt;1,
"Exact Duplicate",
"Conflicting Duplicate"))</f>
        <v>Unique</v>
      </c>
      <c r="D788" t="s">
        <v>1271</v>
      </c>
      <c r="E788" t="s">
        <v>2853</v>
      </c>
      <c r="F788" s="3">
        <v>45844</v>
      </c>
      <c r="G788" s="2">
        <v>45876</v>
      </c>
      <c r="H788" s="5" t="str">
        <f t="shared" si="216"/>
        <v>July</v>
      </c>
      <c r="I788" s="5">
        <f t="shared" si="217"/>
        <v>2025</v>
      </c>
      <c r="J788" t="str">
        <f>IF(F788="","Missing Date",
IF(ISNUMBER(F788),"Valid","Invalid Date"))</f>
        <v>Valid</v>
      </c>
      <c r="K788" t="str">
        <f t="shared" si="218"/>
        <v>Valid</v>
      </c>
      <c r="L788">
        <f>G788-F788</f>
        <v>32</v>
      </c>
      <c r="M788" t="s">
        <v>3629</v>
      </c>
      <c r="N788" t="s">
        <v>72</v>
      </c>
      <c r="O788" t="str">
        <f t="shared" si="219"/>
        <v>Ananya Rao</v>
      </c>
      <c r="P788" t="s">
        <v>108</v>
      </c>
      <c r="Q788" t="str">
        <f t="shared" si="220"/>
        <v>Corporate</v>
      </c>
      <c r="R788" t="s">
        <v>27</v>
      </c>
      <c r="S788" t="str">
        <f t="shared" si="221"/>
        <v>North</v>
      </c>
      <c r="T788" t="s">
        <v>28</v>
      </c>
      <c r="U788" t="str">
        <f t="shared" si="222"/>
        <v>Rajasthan</v>
      </c>
      <c r="V788" t="s">
        <v>29</v>
      </c>
      <c r="W788" t="str">
        <f t="shared" si="223"/>
        <v>Jaipur</v>
      </c>
      <c r="X788" t="s">
        <v>45</v>
      </c>
      <c r="Y788" t="str">
        <f t="shared" si="224"/>
        <v>Furniture</v>
      </c>
      <c r="Z788" t="s">
        <v>65</v>
      </c>
      <c r="AA788" t="str">
        <f t="shared" si="225"/>
        <v>Furnishings</v>
      </c>
      <c r="AB788" t="s">
        <v>3630</v>
      </c>
      <c r="AC788" t="s">
        <v>4104</v>
      </c>
      <c r="AD788" t="str">
        <f t="shared" si="226"/>
        <v>Unknown</v>
      </c>
      <c r="AE788">
        <v>4</v>
      </c>
      <c r="AF788">
        <v>715.45</v>
      </c>
      <c r="AG788">
        <v>0.05</v>
      </c>
      <c r="AH788">
        <v>0.05</v>
      </c>
      <c r="AI788" t="str">
        <f t="shared" si="227"/>
        <v>Valid</v>
      </c>
      <c r="AJ788">
        <v>2718.71</v>
      </c>
      <c r="AK788">
        <f t="shared" si="228"/>
        <v>2718.71</v>
      </c>
      <c r="AL788">
        <v>2065.0500000000002</v>
      </c>
      <c r="AM788">
        <v>653.66</v>
      </c>
      <c r="AN788">
        <f t="shared" si="229"/>
        <v>653.65999999999985</v>
      </c>
      <c r="AO788">
        <f t="shared" si="230"/>
        <v>-2065.0500000000002</v>
      </c>
      <c r="AP788" t="s">
        <v>124</v>
      </c>
      <c r="AQ788" t="str">
        <f t="shared" si="231"/>
        <v>Refunded</v>
      </c>
      <c r="AR788" t="s">
        <v>125</v>
      </c>
      <c r="AS788" t="str">
        <f t="shared" si="232"/>
        <v>Returned</v>
      </c>
      <c r="AT788" t="str">
        <f t="shared" si="233"/>
        <v>Clean</v>
      </c>
    </row>
    <row r="789" spans="1:46">
      <c r="A789" t="s">
        <v>3631</v>
      </c>
      <c r="B789">
        <f>COUNTIF($D$2:D789,D789)</f>
        <v>3</v>
      </c>
      <c r="C789" t="str">
        <f>IF(COUNTIF($A:$A,A789)=1,
"Unique",
IF(COUNTIFS($A:$A,A789,$N:$N,N789,$AF:$AF,AF789,$AJ:$AJ,AJ789)&gt;1,
"Exact Duplicate",
"Conflicting Duplicate"))</f>
        <v>Unique</v>
      </c>
      <c r="D789" t="s">
        <v>1324</v>
      </c>
      <c r="E789" t="s">
        <v>3632</v>
      </c>
      <c r="F789" s="3">
        <v>45635</v>
      </c>
      <c r="G789" s="3">
        <v>45553</v>
      </c>
      <c r="H789" s="5" t="str">
        <f t="shared" si="216"/>
        <v>December</v>
      </c>
      <c r="I789" s="5">
        <f t="shared" si="217"/>
        <v>2024</v>
      </c>
      <c r="J789" t="str">
        <f>IF(F789="","Missing Date",
IF(ISNUMBER(F789),"Valid","Invalid Date"))</f>
        <v>Valid</v>
      </c>
      <c r="K789" t="str">
        <f t="shared" si="218"/>
        <v>Valid</v>
      </c>
      <c r="L789">
        <f>G789-F789</f>
        <v>-82</v>
      </c>
      <c r="M789" t="s">
        <v>3633</v>
      </c>
      <c r="N789" t="s">
        <v>72</v>
      </c>
      <c r="O789" t="str">
        <f t="shared" si="219"/>
        <v>Ananya Rao</v>
      </c>
      <c r="P789" t="s">
        <v>115</v>
      </c>
      <c r="Q789" t="str">
        <f t="shared" si="220"/>
        <v>Home Office</v>
      </c>
      <c r="R789" t="s">
        <v>42</v>
      </c>
      <c r="S789" t="str">
        <f t="shared" si="221"/>
        <v>East</v>
      </c>
      <c r="T789" t="s">
        <v>186</v>
      </c>
      <c r="U789" t="str">
        <f t="shared" si="222"/>
        <v>Bihar</v>
      </c>
      <c r="V789" t="s">
        <v>187</v>
      </c>
      <c r="W789" t="str">
        <f t="shared" si="223"/>
        <v>Patna</v>
      </c>
      <c r="X789" t="s">
        <v>30</v>
      </c>
      <c r="Y789" t="str">
        <f t="shared" si="224"/>
        <v>Office Supplies</v>
      </c>
      <c r="Z789" t="s">
        <v>31</v>
      </c>
      <c r="AA789" t="str">
        <f t="shared" si="225"/>
        <v>Paper</v>
      </c>
      <c r="AB789" t="s">
        <v>3634</v>
      </c>
      <c r="AC789" t="s">
        <v>33</v>
      </c>
      <c r="AD789" t="str">
        <f t="shared" si="226"/>
        <v>Second Class</v>
      </c>
      <c r="AE789">
        <v>2</v>
      </c>
      <c r="AF789">
        <v>3718.77</v>
      </c>
      <c r="AG789">
        <v>0.05</v>
      </c>
      <c r="AH789">
        <v>0.05</v>
      </c>
      <c r="AI789" t="str">
        <f t="shared" si="227"/>
        <v>Valid</v>
      </c>
      <c r="AJ789">
        <v>7065.66</v>
      </c>
      <c r="AK789">
        <f t="shared" si="228"/>
        <v>7065.6629999999996</v>
      </c>
      <c r="AL789">
        <v>4915.2700000000004</v>
      </c>
      <c r="AM789">
        <v>2150.39</v>
      </c>
      <c r="AN789">
        <f t="shared" si="229"/>
        <v>2150.3929999999991</v>
      </c>
      <c r="AO789">
        <f t="shared" si="230"/>
        <v>-4915.2700000000004</v>
      </c>
      <c r="AP789" t="s">
        <v>34</v>
      </c>
      <c r="AQ789" t="str">
        <f t="shared" si="231"/>
        <v>Paid</v>
      </c>
      <c r="AR789" t="s">
        <v>35</v>
      </c>
      <c r="AS789" t="str">
        <f t="shared" si="232"/>
        <v>Completed</v>
      </c>
      <c r="AT789" t="str">
        <f t="shared" si="233"/>
        <v>Clean</v>
      </c>
    </row>
    <row r="790" spans="1:46">
      <c r="A790" t="s">
        <v>3635</v>
      </c>
      <c r="B790">
        <f>COUNTIF($D$2:D790,D790)</f>
        <v>2</v>
      </c>
      <c r="C790" t="str">
        <f>IF(COUNTIF($A:$A,A790)=1,
"Unique",
IF(COUNTIFS($A:$A,A790,$N:$N,N790,$AF:$AF,AF790,$AJ:$AJ,AJ790)&gt;1,
"Exact Duplicate",
"Conflicting Duplicate"))</f>
        <v>Unique</v>
      </c>
      <c r="D790" t="s">
        <v>1299</v>
      </c>
      <c r="E790" t="s">
        <v>538</v>
      </c>
      <c r="F790" s="2">
        <v>45299</v>
      </c>
      <c r="G790" s="3">
        <v>45330</v>
      </c>
      <c r="H790" s="5" t="str">
        <f t="shared" si="216"/>
        <v>January</v>
      </c>
      <c r="I790" s="5">
        <f t="shared" si="217"/>
        <v>2024</v>
      </c>
      <c r="J790" t="str">
        <f>IF(F790="","Missing Date",
IF(ISNUMBER(F790),"Valid","Invalid Date"))</f>
        <v>Valid</v>
      </c>
      <c r="K790" t="str">
        <f t="shared" si="218"/>
        <v>Valid</v>
      </c>
      <c r="L790">
        <f>G790-F790</f>
        <v>31</v>
      </c>
      <c r="M790" t="s">
        <v>3636</v>
      </c>
      <c r="N790" t="s">
        <v>53</v>
      </c>
      <c r="O790" t="str">
        <f t="shared" si="219"/>
        <v>Isha Nair</v>
      </c>
      <c r="P790" t="s">
        <v>108</v>
      </c>
      <c r="Q790" t="str">
        <f t="shared" si="220"/>
        <v>Corporate</v>
      </c>
      <c r="R790" t="s">
        <v>27</v>
      </c>
      <c r="S790" t="str">
        <f t="shared" si="221"/>
        <v>North</v>
      </c>
      <c r="T790" t="s">
        <v>174</v>
      </c>
      <c r="U790" t="str">
        <f t="shared" si="222"/>
        <v>Uttar Pradesh</v>
      </c>
      <c r="V790" t="s">
        <v>175</v>
      </c>
      <c r="W790" t="str">
        <f t="shared" si="223"/>
        <v>Noida</v>
      </c>
      <c r="X790" t="s">
        <v>45</v>
      </c>
      <c r="Y790" t="str">
        <f t="shared" si="224"/>
        <v>Furniture</v>
      </c>
      <c r="Z790" t="s">
        <v>76</v>
      </c>
      <c r="AA790" t="str">
        <f t="shared" si="225"/>
        <v>Chairs</v>
      </c>
      <c r="AB790" t="s">
        <v>3637</v>
      </c>
      <c r="AC790" t="s">
        <v>67</v>
      </c>
      <c r="AD790" t="str">
        <f t="shared" si="226"/>
        <v>Standard Class</v>
      </c>
      <c r="AE790">
        <v>8</v>
      </c>
      <c r="AF790">
        <v>2487.64</v>
      </c>
      <c r="AG790">
        <v>0.1</v>
      </c>
      <c r="AH790">
        <v>0.1</v>
      </c>
      <c r="AI790" t="str">
        <f t="shared" si="227"/>
        <v>Valid</v>
      </c>
      <c r="AJ790">
        <v>17911.009999999998</v>
      </c>
      <c r="AK790">
        <f t="shared" si="228"/>
        <v>17911.007999999998</v>
      </c>
      <c r="AL790">
        <v>11546.05</v>
      </c>
      <c r="AM790">
        <v>6364.96</v>
      </c>
      <c r="AN790">
        <f t="shared" si="229"/>
        <v>6364.9579999999987</v>
      </c>
      <c r="AO790">
        <f t="shared" si="230"/>
        <v>-11546.05</v>
      </c>
      <c r="AP790" t="s">
        <v>200</v>
      </c>
      <c r="AQ790" t="str">
        <f t="shared" si="231"/>
        <v>Failed</v>
      </c>
      <c r="AR790" t="s">
        <v>125</v>
      </c>
      <c r="AS790" t="str">
        <f t="shared" si="232"/>
        <v>Returned</v>
      </c>
      <c r="AT790" t="str">
        <f t="shared" si="233"/>
        <v>Clean</v>
      </c>
    </row>
    <row r="791" spans="1:46">
      <c r="A791" t="s">
        <v>3638</v>
      </c>
      <c r="B791">
        <f>COUNTIF($D$2:D791,D791)</f>
        <v>2</v>
      </c>
      <c r="C791" t="str">
        <f>IF(COUNTIF($A:$A,A791)=1,
"Unique",
IF(COUNTIFS($A:$A,A791,$N:$N,N791,$AF:$AF,AF791,$AJ:$AJ,AJ791)&gt;1,
"Exact Duplicate",
"Conflicting Duplicate"))</f>
        <v>Unique</v>
      </c>
      <c r="D791" t="s">
        <v>3639</v>
      </c>
      <c r="E791" t="s">
        <v>2324</v>
      </c>
      <c r="F791" s="2">
        <v>45841</v>
      </c>
      <c r="G791" s="2">
        <v>45872</v>
      </c>
      <c r="H791" s="5" t="str">
        <f t="shared" si="216"/>
        <v>July</v>
      </c>
      <c r="I791" s="5">
        <f t="shared" si="217"/>
        <v>2025</v>
      </c>
      <c r="J791" t="str">
        <f>IF(F791="","Missing Date",
IF(ISNUMBER(F791),"Valid","Invalid Date"))</f>
        <v>Valid</v>
      </c>
      <c r="K791" t="str">
        <f t="shared" si="218"/>
        <v>Valid</v>
      </c>
      <c r="L791">
        <f>G791-F791</f>
        <v>31</v>
      </c>
      <c r="M791" t="s">
        <v>3640</v>
      </c>
      <c r="N791" t="s">
        <v>142</v>
      </c>
      <c r="O791" t="str">
        <f t="shared" si="219"/>
        <v>Priya Menon</v>
      </c>
      <c r="P791" t="s">
        <v>115</v>
      </c>
      <c r="Q791" t="str">
        <f t="shared" si="220"/>
        <v>Home Office</v>
      </c>
      <c r="R791" t="s">
        <v>4104</v>
      </c>
      <c r="S791" t="s">
        <v>4104</v>
      </c>
      <c r="T791" t="s">
        <v>28</v>
      </c>
      <c r="U791" t="str">
        <f t="shared" si="222"/>
        <v>Rajasthan</v>
      </c>
      <c r="V791" t="s">
        <v>135</v>
      </c>
      <c r="W791" t="str">
        <f t="shared" si="223"/>
        <v>Udaipur</v>
      </c>
      <c r="X791" t="s">
        <v>86</v>
      </c>
      <c r="Y791" t="str">
        <f t="shared" si="224"/>
        <v>Technology</v>
      </c>
      <c r="Z791" t="s">
        <v>94</v>
      </c>
      <c r="AA791" t="str">
        <f t="shared" si="225"/>
        <v>Copiers</v>
      </c>
      <c r="AB791" t="s">
        <v>3641</v>
      </c>
      <c r="AC791" t="s">
        <v>48</v>
      </c>
      <c r="AD791" t="str">
        <f t="shared" si="226"/>
        <v>Same Day</v>
      </c>
      <c r="AE791">
        <v>4</v>
      </c>
      <c r="AF791">
        <v>3537.48</v>
      </c>
      <c r="AG791">
        <v>0</v>
      </c>
      <c r="AH791">
        <v>0</v>
      </c>
      <c r="AI791" t="str">
        <f t="shared" si="227"/>
        <v>Valid</v>
      </c>
      <c r="AJ791">
        <v>14149.92</v>
      </c>
      <c r="AK791">
        <f t="shared" si="228"/>
        <v>14149.92</v>
      </c>
      <c r="AL791">
        <v>9466.51</v>
      </c>
      <c r="AM791">
        <v>4683.41</v>
      </c>
      <c r="AN791">
        <f t="shared" si="229"/>
        <v>4683.41</v>
      </c>
      <c r="AO791">
        <f t="shared" si="230"/>
        <v>-9466.51</v>
      </c>
      <c r="AP791" t="s">
        <v>34</v>
      </c>
      <c r="AQ791" t="str">
        <f t="shared" si="231"/>
        <v>Paid</v>
      </c>
      <c r="AR791" t="s">
        <v>35</v>
      </c>
      <c r="AS791" t="str">
        <f t="shared" si="232"/>
        <v>Completed</v>
      </c>
      <c r="AT791" t="str">
        <f t="shared" si="233"/>
        <v>Clean</v>
      </c>
    </row>
    <row r="792" spans="1:46">
      <c r="A792" t="s">
        <v>3642</v>
      </c>
      <c r="B792">
        <f>COUNTIF($D$2:D792,D792)</f>
        <v>2</v>
      </c>
      <c r="C792" t="str">
        <f>IF(COUNTIF($A:$A,A792)=1,
"Unique",
IF(COUNTIFS($A:$A,A792,$N:$N,N792,$AF:$AF,AF792,$AJ:$AJ,AJ792)&gt;1,
"Exact Duplicate",
"Conflicting Duplicate"))</f>
        <v>Unique</v>
      </c>
      <c r="D792" t="s">
        <v>3643</v>
      </c>
      <c r="E792" t="s">
        <v>3644</v>
      </c>
      <c r="F792" s="2">
        <v>45443</v>
      </c>
      <c r="G792" s="3">
        <v>45328</v>
      </c>
      <c r="H792" s="5" t="str">
        <f t="shared" si="216"/>
        <v>May</v>
      </c>
      <c r="I792" s="5">
        <f t="shared" si="217"/>
        <v>2024</v>
      </c>
      <c r="J792" t="str">
        <f>IF(F792="","Missing Date",
IF(ISNUMBER(F792),"Valid","Invalid Date"))</f>
        <v>Valid</v>
      </c>
      <c r="K792" t="str">
        <f t="shared" si="218"/>
        <v>Valid</v>
      </c>
      <c r="L792">
        <f>G792-F792</f>
        <v>-115</v>
      </c>
      <c r="M792" t="s">
        <v>3645</v>
      </c>
      <c r="N792" t="s">
        <v>148</v>
      </c>
      <c r="O792" t="str">
        <f t="shared" si="219"/>
        <v>Rahul Verma</v>
      </c>
      <c r="P792" t="s">
        <v>108</v>
      </c>
      <c r="Q792" t="str">
        <f t="shared" si="220"/>
        <v>Corporate</v>
      </c>
      <c r="R792" t="s">
        <v>62</v>
      </c>
      <c r="S792" t="str">
        <f t="shared" si="221"/>
        <v>South</v>
      </c>
      <c r="T792" t="s">
        <v>100</v>
      </c>
      <c r="U792" t="str">
        <f t="shared" si="222"/>
        <v>Andhra Pradesh</v>
      </c>
      <c r="V792" t="s">
        <v>101</v>
      </c>
      <c r="W792" t="str">
        <f t="shared" si="223"/>
        <v>Vijayawada</v>
      </c>
      <c r="X792" t="s">
        <v>30</v>
      </c>
      <c r="Y792" t="str">
        <f t="shared" si="224"/>
        <v>Office Supplies</v>
      </c>
      <c r="Z792" t="s">
        <v>54</v>
      </c>
      <c r="AA792" t="str">
        <f t="shared" si="225"/>
        <v>Art</v>
      </c>
      <c r="AB792" t="s">
        <v>3646</v>
      </c>
      <c r="AC792" t="s">
        <v>67</v>
      </c>
      <c r="AD792" t="str">
        <f t="shared" si="226"/>
        <v>Standard Class</v>
      </c>
      <c r="AE792">
        <v>8</v>
      </c>
      <c r="AF792">
        <v>667.59</v>
      </c>
      <c r="AG792">
        <v>0.2</v>
      </c>
      <c r="AH792">
        <v>0.2</v>
      </c>
      <c r="AI792" t="str">
        <f t="shared" si="227"/>
        <v>Valid</v>
      </c>
      <c r="AJ792">
        <v>4272.58</v>
      </c>
      <c r="AK792">
        <f t="shared" si="228"/>
        <v>4272.576</v>
      </c>
      <c r="AL792">
        <v>3328.92</v>
      </c>
      <c r="AM792">
        <v>943.66</v>
      </c>
      <c r="AN792">
        <f t="shared" si="229"/>
        <v>943.65599999999995</v>
      </c>
      <c r="AO792">
        <f t="shared" si="230"/>
        <v>-3328.92</v>
      </c>
      <c r="AP792" t="s">
        <v>34</v>
      </c>
      <c r="AQ792" t="str">
        <f t="shared" si="231"/>
        <v>Paid</v>
      </c>
      <c r="AR792" t="s">
        <v>35</v>
      </c>
      <c r="AS792" t="str">
        <f t="shared" si="232"/>
        <v>Completed</v>
      </c>
      <c r="AT792" t="str">
        <f t="shared" si="233"/>
        <v>Clean</v>
      </c>
    </row>
    <row r="793" spans="1:46">
      <c r="A793" t="s">
        <v>3647</v>
      </c>
      <c r="B793">
        <f>COUNTIF($D$2:D793,D793)</f>
        <v>3</v>
      </c>
      <c r="C793" t="str">
        <f>IF(COUNTIF($A:$A,A793)=1,
"Unique",
IF(COUNTIFS($A:$A,A793,$N:$N,N793,$AF:$AF,AF793,$AJ:$AJ,AJ793)&gt;1,
"Exact Duplicate",
"Conflicting Duplicate"))</f>
        <v>Unique</v>
      </c>
      <c r="D793" t="s">
        <v>3013</v>
      </c>
      <c r="E793" t="s">
        <v>3648</v>
      </c>
      <c r="F793" s="2">
        <v>45332</v>
      </c>
      <c r="G793" s="3">
        <v>45453</v>
      </c>
      <c r="H793" s="5" t="str">
        <f t="shared" si="216"/>
        <v>February</v>
      </c>
      <c r="I793" s="5">
        <f t="shared" si="217"/>
        <v>2024</v>
      </c>
      <c r="J793" t="str">
        <f>IF(F793="","Missing Date",
IF(ISNUMBER(F793),"Valid","Invalid Date"))</f>
        <v>Valid</v>
      </c>
      <c r="K793" t="str">
        <f t="shared" si="218"/>
        <v>Valid</v>
      </c>
      <c r="L793">
        <f>G793-F793</f>
        <v>121</v>
      </c>
      <c r="M793" t="s">
        <v>3649</v>
      </c>
      <c r="N793" t="s">
        <v>148</v>
      </c>
      <c r="O793" t="str">
        <f t="shared" si="219"/>
        <v>Rahul Verma</v>
      </c>
      <c r="P793" t="s">
        <v>115</v>
      </c>
      <c r="Q793" t="str">
        <f t="shared" si="220"/>
        <v>Home Office</v>
      </c>
      <c r="R793" t="s">
        <v>62</v>
      </c>
      <c r="S793" t="str">
        <f t="shared" si="221"/>
        <v>South</v>
      </c>
      <c r="T793" t="s">
        <v>229</v>
      </c>
      <c r="U793" t="str">
        <f t="shared" si="222"/>
        <v>Karnataka</v>
      </c>
      <c r="V793" t="s">
        <v>230</v>
      </c>
      <c r="W793" t="str">
        <f t="shared" si="223"/>
        <v>Bengaluru</v>
      </c>
      <c r="X793" t="s">
        <v>45</v>
      </c>
      <c r="Y793" t="str">
        <f t="shared" si="224"/>
        <v>Furniture</v>
      </c>
      <c r="Z793" t="s">
        <v>204</v>
      </c>
      <c r="AA793" t="str">
        <f t="shared" si="225"/>
        <v>Bookcases</v>
      </c>
      <c r="AB793" t="s">
        <v>3650</v>
      </c>
      <c r="AC793" t="s">
        <v>48</v>
      </c>
      <c r="AD793" t="str">
        <f t="shared" si="226"/>
        <v>Same Day</v>
      </c>
      <c r="AE793">
        <v>8</v>
      </c>
      <c r="AF793">
        <v>1558.77</v>
      </c>
      <c r="AG793">
        <v>0.25</v>
      </c>
      <c r="AH793">
        <v>0.25</v>
      </c>
      <c r="AI793" t="str">
        <f t="shared" si="227"/>
        <v>Valid</v>
      </c>
      <c r="AJ793">
        <v>9352.6200000000008</v>
      </c>
      <c r="AK793">
        <f t="shared" si="228"/>
        <v>9352.619999999999</v>
      </c>
      <c r="AL793">
        <v>5269.41</v>
      </c>
      <c r="AM793">
        <v>4083.21</v>
      </c>
      <c r="AN793">
        <f t="shared" si="229"/>
        <v>4083.2099999999991</v>
      </c>
      <c r="AO793">
        <f t="shared" si="230"/>
        <v>-5269.41</v>
      </c>
      <c r="AP793" t="s">
        <v>34</v>
      </c>
      <c r="AQ793" t="str">
        <f t="shared" si="231"/>
        <v>Paid</v>
      </c>
      <c r="AR793" t="s">
        <v>35</v>
      </c>
      <c r="AS793" t="str">
        <f t="shared" si="232"/>
        <v>Completed</v>
      </c>
      <c r="AT793" t="str">
        <f t="shared" si="233"/>
        <v>Clean</v>
      </c>
    </row>
    <row r="794" spans="1:46">
      <c r="A794" t="s">
        <v>3651</v>
      </c>
      <c r="B794">
        <f>COUNTIF($D$2:D794,D794)</f>
        <v>5</v>
      </c>
      <c r="C794" t="str">
        <f>IF(COUNTIF($A:$A,A794)=1,
"Unique",
IF(COUNTIFS($A:$A,A794,$N:$N,N794,$AF:$AF,AF794,$AJ:$AJ,AJ794)&gt;1,
"Exact Duplicate",
"Conflicting Duplicate"))</f>
        <v>Unique</v>
      </c>
      <c r="D794" t="s">
        <v>1230</v>
      </c>
      <c r="E794" t="s">
        <v>3652</v>
      </c>
      <c r="F794" s="3">
        <v>45753</v>
      </c>
      <c r="G794" s="2">
        <v>45875</v>
      </c>
      <c r="H794" s="5" t="str">
        <f t="shared" si="216"/>
        <v>April</v>
      </c>
      <c r="I794" s="5">
        <f t="shared" si="217"/>
        <v>2025</v>
      </c>
      <c r="J794" t="str">
        <f>IF(F794="","Missing Date",
IF(ISNUMBER(F794),"Valid","Invalid Date"))</f>
        <v>Valid</v>
      </c>
      <c r="K794" t="str">
        <f t="shared" si="218"/>
        <v>Valid</v>
      </c>
      <c r="L794">
        <f>G794-F794</f>
        <v>122</v>
      </c>
      <c r="M794" t="s">
        <v>3653</v>
      </c>
      <c r="N794" t="s">
        <v>61</v>
      </c>
      <c r="O794" t="str">
        <f t="shared" si="219"/>
        <v>Arjun Bose</v>
      </c>
      <c r="P794" t="s">
        <v>41</v>
      </c>
      <c r="Q794" t="str">
        <f t="shared" si="220"/>
        <v>Small Business</v>
      </c>
      <c r="R794" t="s">
        <v>42</v>
      </c>
      <c r="S794" t="str">
        <f t="shared" si="221"/>
        <v>East</v>
      </c>
      <c r="T794" t="s">
        <v>216</v>
      </c>
      <c r="U794" t="str">
        <f t="shared" si="222"/>
        <v>Assam</v>
      </c>
      <c r="V794" t="s">
        <v>217</v>
      </c>
      <c r="W794" t="str">
        <f t="shared" si="223"/>
        <v>Guwahati</v>
      </c>
      <c r="X794" t="s">
        <v>45</v>
      </c>
      <c r="Y794" t="str">
        <f t="shared" si="224"/>
        <v>Furniture</v>
      </c>
      <c r="Z794" t="s">
        <v>65</v>
      </c>
      <c r="AA794" t="str">
        <f t="shared" si="225"/>
        <v>Furnishings</v>
      </c>
      <c r="AB794" t="s">
        <v>3654</v>
      </c>
      <c r="AC794" t="s">
        <v>33</v>
      </c>
      <c r="AD794" t="str">
        <f t="shared" si="226"/>
        <v>Second Class</v>
      </c>
      <c r="AE794">
        <v>1</v>
      </c>
      <c r="AF794">
        <v>3501.12</v>
      </c>
      <c r="AG794">
        <v>0.2</v>
      </c>
      <c r="AH794">
        <v>0.2</v>
      </c>
      <c r="AI794" t="str">
        <f t="shared" si="227"/>
        <v>Valid</v>
      </c>
      <c r="AJ794">
        <v>2800.9</v>
      </c>
      <c r="AK794">
        <f t="shared" si="228"/>
        <v>2800.8960000000002</v>
      </c>
      <c r="AL794">
        <v>1735.98</v>
      </c>
      <c r="AM794">
        <v>1064.92</v>
      </c>
      <c r="AN794">
        <f t="shared" si="229"/>
        <v>1064.9160000000002</v>
      </c>
      <c r="AO794">
        <f t="shared" si="230"/>
        <v>-1735.98</v>
      </c>
      <c r="AP794" t="s">
        <v>34</v>
      </c>
      <c r="AQ794" t="str">
        <f t="shared" si="231"/>
        <v>Paid</v>
      </c>
      <c r="AR794" t="s">
        <v>125</v>
      </c>
      <c r="AS794" t="str">
        <f t="shared" si="232"/>
        <v>Returned</v>
      </c>
      <c r="AT794" t="str">
        <f t="shared" si="233"/>
        <v>Clean</v>
      </c>
    </row>
    <row r="795" spans="1:46">
      <c r="A795" t="s">
        <v>3655</v>
      </c>
      <c r="B795">
        <f>COUNTIF($D$2:D795,D795)</f>
        <v>2</v>
      </c>
      <c r="C795" t="str">
        <f>IF(COUNTIF($A:$A,A795)=1,
"Unique",
IF(COUNTIFS($A:$A,A795,$N:$N,N795,$AF:$AF,AF795,$AJ:$AJ,AJ795)&gt;1,
"Exact Duplicate",
"Conflicting Duplicate"))</f>
        <v>Unique</v>
      </c>
      <c r="D795" t="s">
        <v>81</v>
      </c>
      <c r="E795" t="s">
        <v>3656</v>
      </c>
      <c r="F795" s="3">
        <v>45440</v>
      </c>
      <c r="G795" s="2">
        <v>45357</v>
      </c>
      <c r="H795" s="5" t="str">
        <f t="shared" si="216"/>
        <v>May</v>
      </c>
      <c r="I795" s="5">
        <f t="shared" si="217"/>
        <v>2024</v>
      </c>
      <c r="J795" t="str">
        <f>IF(F795="","Missing Date",
IF(ISNUMBER(F795),"Valid","Invalid Date"))</f>
        <v>Valid</v>
      </c>
      <c r="K795" t="str">
        <f t="shared" si="218"/>
        <v>Valid</v>
      </c>
      <c r="L795">
        <f>G795-F795</f>
        <v>-83</v>
      </c>
      <c r="M795" t="s">
        <v>3657</v>
      </c>
      <c r="N795" t="s">
        <v>83</v>
      </c>
      <c r="O795" t="str">
        <f t="shared" si="219"/>
        <v>Vikram Iyer</v>
      </c>
      <c r="P795" t="s">
        <v>108</v>
      </c>
      <c r="Q795" t="str">
        <f t="shared" si="220"/>
        <v>Corporate</v>
      </c>
      <c r="R795" t="s">
        <v>27</v>
      </c>
      <c r="S795" t="str">
        <f t="shared" si="221"/>
        <v>North</v>
      </c>
      <c r="T795" t="s">
        <v>28</v>
      </c>
      <c r="U795" t="str">
        <f t="shared" si="222"/>
        <v>Rajasthan</v>
      </c>
      <c r="V795" t="s">
        <v>29</v>
      </c>
      <c r="W795" t="str">
        <f t="shared" si="223"/>
        <v>Jaipur</v>
      </c>
      <c r="X795" t="s">
        <v>86</v>
      </c>
      <c r="Y795" t="str">
        <f t="shared" si="224"/>
        <v>Technology</v>
      </c>
      <c r="Z795" t="s">
        <v>94</v>
      </c>
      <c r="AA795" t="str">
        <f t="shared" si="225"/>
        <v>Copiers</v>
      </c>
      <c r="AB795" t="s">
        <v>3658</v>
      </c>
      <c r="AC795" t="s">
        <v>33</v>
      </c>
      <c r="AD795" t="str">
        <f t="shared" si="226"/>
        <v>Second Class</v>
      </c>
      <c r="AE795">
        <v>5</v>
      </c>
      <c r="AF795">
        <v>4302.32</v>
      </c>
      <c r="AG795">
        <v>0</v>
      </c>
      <c r="AH795">
        <v>0</v>
      </c>
      <c r="AI795" t="str">
        <f t="shared" si="227"/>
        <v>Valid</v>
      </c>
      <c r="AJ795">
        <v>21511.599999999999</v>
      </c>
      <c r="AK795">
        <f t="shared" si="228"/>
        <v>21511.599999999999</v>
      </c>
      <c r="AL795">
        <v>15408.47</v>
      </c>
      <c r="AM795">
        <v>6103.13</v>
      </c>
      <c r="AN795">
        <f t="shared" si="229"/>
        <v>6103.1299999999992</v>
      </c>
      <c r="AO795">
        <f t="shared" si="230"/>
        <v>-15408.47</v>
      </c>
      <c r="AP795" t="s">
        <v>34</v>
      </c>
      <c r="AQ795" t="str">
        <f t="shared" si="231"/>
        <v>Paid</v>
      </c>
      <c r="AR795" t="s">
        <v>35</v>
      </c>
      <c r="AS795" t="str">
        <f t="shared" si="232"/>
        <v>Completed</v>
      </c>
      <c r="AT795" t="str">
        <f t="shared" si="233"/>
        <v>Clean</v>
      </c>
    </row>
    <row r="796" spans="1:46">
      <c r="A796" t="s">
        <v>3659</v>
      </c>
      <c r="B796">
        <f>COUNTIF($D$2:D796,D796)</f>
        <v>4</v>
      </c>
      <c r="C796" t="str">
        <f>IF(COUNTIF($A:$A,A796)=1,
"Unique",
IF(COUNTIFS($A:$A,A796,$N:$N,N796,$AF:$AF,AF796,$AJ:$AJ,AJ796)&gt;1,
"Exact Duplicate",
"Conflicting Duplicate"))</f>
        <v>Unique</v>
      </c>
      <c r="D796" t="s">
        <v>3660</v>
      </c>
      <c r="E796" t="s">
        <v>996</v>
      </c>
      <c r="F796" s="3">
        <v>45830</v>
      </c>
      <c r="G796" s="3">
        <v>45832</v>
      </c>
      <c r="H796" s="5" t="str">
        <f t="shared" si="216"/>
        <v>June</v>
      </c>
      <c r="I796" s="5">
        <f t="shared" si="217"/>
        <v>2025</v>
      </c>
      <c r="J796" t="str">
        <f>IF(F796="","Missing Date",
IF(ISNUMBER(F796),"Valid","Invalid Date"))</f>
        <v>Valid</v>
      </c>
      <c r="K796" t="str">
        <f t="shared" si="218"/>
        <v>Valid</v>
      </c>
      <c r="L796">
        <f>G796-F796</f>
        <v>2</v>
      </c>
      <c r="M796" t="s">
        <v>3661</v>
      </c>
      <c r="N796" t="s">
        <v>168</v>
      </c>
      <c r="O796" t="str">
        <f t="shared" si="219"/>
        <v>Sneha Kapoor</v>
      </c>
      <c r="P796" t="s">
        <v>108</v>
      </c>
      <c r="Q796" t="str">
        <f t="shared" si="220"/>
        <v>Corporate</v>
      </c>
      <c r="R796" t="s">
        <v>42</v>
      </c>
      <c r="S796" t="str">
        <f t="shared" si="221"/>
        <v>East</v>
      </c>
      <c r="T796" t="s">
        <v>216</v>
      </c>
      <c r="U796" t="str">
        <f t="shared" si="222"/>
        <v>Assam</v>
      </c>
      <c r="V796" t="s">
        <v>217</v>
      </c>
      <c r="W796" t="str">
        <f t="shared" si="223"/>
        <v>Guwahati</v>
      </c>
      <c r="X796" t="s">
        <v>30</v>
      </c>
      <c r="Y796" t="str">
        <f t="shared" si="224"/>
        <v>Office Supplies</v>
      </c>
      <c r="Z796" t="s">
        <v>31</v>
      </c>
      <c r="AA796" t="str">
        <f t="shared" si="225"/>
        <v>Paper</v>
      </c>
      <c r="AB796" t="s">
        <v>3662</v>
      </c>
      <c r="AC796" t="s">
        <v>67</v>
      </c>
      <c r="AD796" t="str">
        <f t="shared" si="226"/>
        <v>Standard Class</v>
      </c>
      <c r="AE796">
        <v>9</v>
      </c>
      <c r="AF796">
        <v>951.55</v>
      </c>
      <c r="AG796">
        <v>0.15</v>
      </c>
      <c r="AH796">
        <v>0.15</v>
      </c>
      <c r="AI796" t="str">
        <f t="shared" si="227"/>
        <v>Valid</v>
      </c>
      <c r="AJ796">
        <v>7279.36</v>
      </c>
      <c r="AK796">
        <f t="shared" si="228"/>
        <v>7279.3574999999992</v>
      </c>
      <c r="AL796">
        <v>4870.3900000000003</v>
      </c>
      <c r="AM796">
        <v>2408.9699999999998</v>
      </c>
      <c r="AN796">
        <f t="shared" si="229"/>
        <v>2408.9674999999988</v>
      </c>
      <c r="AO796">
        <f t="shared" si="230"/>
        <v>-4870.3900000000003</v>
      </c>
      <c r="AP796" t="s">
        <v>34</v>
      </c>
      <c r="AQ796" t="str">
        <f t="shared" si="231"/>
        <v>Paid</v>
      </c>
      <c r="AR796" t="s">
        <v>35</v>
      </c>
      <c r="AS796" t="str">
        <f t="shared" si="232"/>
        <v>Completed</v>
      </c>
      <c r="AT796" t="str">
        <f t="shared" si="233"/>
        <v>Clean</v>
      </c>
    </row>
    <row r="797" spans="1:46">
      <c r="A797" t="s">
        <v>3663</v>
      </c>
      <c r="B797">
        <f>COUNTIF($D$2:D797,D797)</f>
        <v>2</v>
      </c>
      <c r="C797" t="str">
        <f>IF(COUNTIF($A:$A,A797)=1,
"Unique",
IF(COUNTIFS($A:$A,A797,$N:$N,N797,$AF:$AF,AF797,$AJ:$AJ,AJ797)&gt;1,
"Exact Duplicate",
"Conflicting Duplicate"))</f>
        <v>Unique</v>
      </c>
      <c r="D797" t="s">
        <v>3664</v>
      </c>
      <c r="E797" t="s">
        <v>529</v>
      </c>
      <c r="F797" s="3">
        <v>45503</v>
      </c>
      <c r="G797" s="3">
        <v>45503</v>
      </c>
      <c r="H797" s="5" t="str">
        <f t="shared" si="216"/>
        <v>July</v>
      </c>
      <c r="I797" s="5">
        <f t="shared" si="217"/>
        <v>2024</v>
      </c>
      <c r="J797" t="str">
        <f>IF(F797="","Missing Date",
IF(ISNUMBER(F797),"Valid","Invalid Date"))</f>
        <v>Valid</v>
      </c>
      <c r="K797" t="str">
        <f t="shared" si="218"/>
        <v>Valid</v>
      </c>
      <c r="L797">
        <f>G797-F797</f>
        <v>0</v>
      </c>
      <c r="M797" t="s">
        <v>3665</v>
      </c>
      <c r="N797" t="s">
        <v>210</v>
      </c>
      <c r="O797" t="str">
        <f t="shared" si="219"/>
        <v>Diya Patel</v>
      </c>
      <c r="P797" t="s">
        <v>115</v>
      </c>
      <c r="Q797" t="str">
        <f t="shared" si="220"/>
        <v>Home Office</v>
      </c>
      <c r="R797" t="s">
        <v>42</v>
      </c>
      <c r="S797" t="str">
        <f t="shared" si="221"/>
        <v>East</v>
      </c>
      <c r="T797" t="s">
        <v>43</v>
      </c>
      <c r="U797" t="str">
        <f t="shared" si="222"/>
        <v>Odisha</v>
      </c>
      <c r="V797" t="s">
        <v>44</v>
      </c>
      <c r="W797" t="str">
        <f t="shared" si="223"/>
        <v>Bhubaneswar</v>
      </c>
      <c r="X797" t="s">
        <v>86</v>
      </c>
      <c r="Y797" t="str">
        <f t="shared" si="224"/>
        <v>Technology</v>
      </c>
      <c r="Z797" t="s">
        <v>94</v>
      </c>
      <c r="AA797" t="str">
        <f t="shared" si="225"/>
        <v>Copiers</v>
      </c>
      <c r="AB797" t="s">
        <v>3666</v>
      </c>
      <c r="AC797" t="s">
        <v>48</v>
      </c>
      <c r="AD797" t="str">
        <f t="shared" si="226"/>
        <v>Same Day</v>
      </c>
      <c r="AE797">
        <v>9</v>
      </c>
      <c r="AF797">
        <v>2894.66</v>
      </c>
      <c r="AG797">
        <v>0</v>
      </c>
      <c r="AH797">
        <v>0</v>
      </c>
      <c r="AI797" t="str">
        <f t="shared" si="227"/>
        <v>Valid</v>
      </c>
      <c r="AJ797">
        <v>26051.94</v>
      </c>
      <c r="AK797">
        <f t="shared" si="228"/>
        <v>26051.94</v>
      </c>
      <c r="AL797">
        <v>16883.59</v>
      </c>
      <c r="AM797">
        <v>9168.35</v>
      </c>
      <c r="AN797">
        <f t="shared" si="229"/>
        <v>9168.3499999999985</v>
      </c>
      <c r="AO797">
        <f t="shared" si="230"/>
        <v>-16883.59</v>
      </c>
      <c r="AP797" t="s">
        <v>124</v>
      </c>
      <c r="AQ797" t="str">
        <f t="shared" si="231"/>
        <v>Refunded</v>
      </c>
      <c r="AR797" t="s">
        <v>78</v>
      </c>
      <c r="AS797" t="str">
        <f t="shared" si="232"/>
        <v>Cancelled</v>
      </c>
      <c r="AT797" t="str">
        <f t="shared" si="233"/>
        <v>Clean</v>
      </c>
    </row>
    <row r="798" spans="1:46">
      <c r="A798" t="s">
        <v>3667</v>
      </c>
      <c r="B798">
        <f>COUNTIF($D$2:D798,D798)</f>
        <v>2</v>
      </c>
      <c r="C798" t="str">
        <f>IF(COUNTIF($A:$A,A798)=1,
"Unique",
IF(COUNTIFS($A:$A,A798,$N:$N,N798,$AF:$AF,AF798,$AJ:$AJ,AJ798)&gt;1,
"Exact Duplicate",
"Conflicting Duplicate"))</f>
        <v>Unique</v>
      </c>
      <c r="D798" t="s">
        <v>796</v>
      </c>
      <c r="E798" t="s">
        <v>3668</v>
      </c>
      <c r="F798" s="3">
        <v>45374</v>
      </c>
      <c r="G798" s="3">
        <v>45381</v>
      </c>
      <c r="H798" s="5" t="str">
        <f t="shared" si="216"/>
        <v>March</v>
      </c>
      <c r="I798" s="5">
        <f t="shared" si="217"/>
        <v>2024</v>
      </c>
      <c r="J798" t="str">
        <f>IF(F798="","Missing Date",
IF(ISNUMBER(F798),"Valid","Invalid Date"))</f>
        <v>Valid</v>
      </c>
      <c r="K798" t="str">
        <f t="shared" si="218"/>
        <v>Valid</v>
      </c>
      <c r="L798">
        <f>G798-F798</f>
        <v>7</v>
      </c>
      <c r="M798" t="s">
        <v>3669</v>
      </c>
      <c r="N798" t="s">
        <v>180</v>
      </c>
      <c r="O798" t="str">
        <f t="shared" si="219"/>
        <v>Rohan Mehta</v>
      </c>
      <c r="P798" t="s">
        <v>41</v>
      </c>
      <c r="Q798" t="str">
        <f t="shared" si="220"/>
        <v>Small Business</v>
      </c>
      <c r="R798" t="s">
        <v>62</v>
      </c>
      <c r="S798" t="str">
        <f t="shared" si="221"/>
        <v>South</v>
      </c>
      <c r="T798" t="s">
        <v>100</v>
      </c>
      <c r="U798" t="str">
        <f t="shared" si="222"/>
        <v>Andhra Pradesh</v>
      </c>
      <c r="V798" t="s">
        <v>101</v>
      </c>
      <c r="W798" t="str">
        <f t="shared" si="223"/>
        <v>Vijayawada</v>
      </c>
      <c r="X798" t="s">
        <v>86</v>
      </c>
      <c r="Y798" t="str">
        <f t="shared" si="224"/>
        <v>Technology</v>
      </c>
      <c r="Z798" t="s">
        <v>382</v>
      </c>
      <c r="AA798" t="str">
        <f t="shared" si="225"/>
        <v>Machines</v>
      </c>
      <c r="AB798" t="s">
        <v>3670</v>
      </c>
      <c r="AC798" t="s">
        <v>56</v>
      </c>
      <c r="AD798" t="str">
        <f t="shared" si="226"/>
        <v>First Class</v>
      </c>
      <c r="AE798">
        <v>6</v>
      </c>
      <c r="AF798">
        <v>1894.44</v>
      </c>
      <c r="AG798">
        <v>0.15</v>
      </c>
      <c r="AH798">
        <v>0.15</v>
      </c>
      <c r="AI798" t="str">
        <f t="shared" si="227"/>
        <v>Valid</v>
      </c>
      <c r="AJ798">
        <v>9661.64</v>
      </c>
      <c r="AK798">
        <f t="shared" si="228"/>
        <v>9661.6439999999984</v>
      </c>
      <c r="AL798">
        <v>6303.77</v>
      </c>
      <c r="AM798">
        <v>3357.87</v>
      </c>
      <c r="AN798">
        <f t="shared" si="229"/>
        <v>3357.873999999998</v>
      </c>
      <c r="AO798">
        <f t="shared" si="230"/>
        <v>-6303.77</v>
      </c>
      <c r="AP798" t="s">
        <v>34</v>
      </c>
      <c r="AQ798" t="str">
        <f t="shared" si="231"/>
        <v>Paid</v>
      </c>
      <c r="AR798" t="s">
        <v>35</v>
      </c>
      <c r="AS798" t="str">
        <f t="shared" si="232"/>
        <v>Completed</v>
      </c>
      <c r="AT798" t="str">
        <f t="shared" si="233"/>
        <v>Clean</v>
      </c>
    </row>
    <row r="799" spans="1:46">
      <c r="A799" t="s">
        <v>3671</v>
      </c>
      <c r="B799">
        <f>COUNTIF($D$2:D799,D799)</f>
        <v>1</v>
      </c>
      <c r="C799" t="str">
        <f>IF(COUNTIF($A:$A,A799)=1,
"Unique",
IF(COUNTIFS($A:$A,A799,$N:$N,N799,$AF:$AF,AF799,$AJ:$AJ,AJ799)&gt;1,
"Exact Duplicate",
"Conflicting Duplicate"))</f>
        <v>Unique</v>
      </c>
      <c r="D799" t="s">
        <v>3672</v>
      </c>
      <c r="E799" t="s">
        <v>3583</v>
      </c>
      <c r="F799" s="2">
        <v>45400</v>
      </c>
      <c r="G799" s="3">
        <v>45404</v>
      </c>
      <c r="H799" s="5" t="str">
        <f t="shared" si="216"/>
        <v>April</v>
      </c>
      <c r="I799" s="5">
        <f t="shared" si="217"/>
        <v>2024</v>
      </c>
      <c r="J799" t="str">
        <f>IF(F799="","Missing Date",
IF(ISNUMBER(F799),"Valid","Invalid Date"))</f>
        <v>Valid</v>
      </c>
      <c r="K799" t="str">
        <f t="shared" si="218"/>
        <v>Valid</v>
      </c>
      <c r="L799">
        <f>G799-F799</f>
        <v>4</v>
      </c>
      <c r="M799" t="s">
        <v>3673</v>
      </c>
      <c r="N799" t="s">
        <v>162</v>
      </c>
      <c r="O799" t="str">
        <f t="shared" si="219"/>
        <v>Aarav Sharma</v>
      </c>
      <c r="P799" t="s">
        <v>26</v>
      </c>
      <c r="Q799" t="str">
        <f t="shared" si="220"/>
        <v>Consumer</v>
      </c>
      <c r="R799" t="s">
        <v>42</v>
      </c>
      <c r="S799" t="str">
        <f t="shared" si="221"/>
        <v>East</v>
      </c>
      <c r="T799" t="s">
        <v>43</v>
      </c>
      <c r="U799" t="str">
        <f t="shared" si="222"/>
        <v>Odisha</v>
      </c>
      <c r="V799" t="s">
        <v>44</v>
      </c>
      <c r="W799" t="str">
        <f t="shared" si="223"/>
        <v>Bhubaneswar</v>
      </c>
      <c r="X799" t="s">
        <v>30</v>
      </c>
      <c r="Y799" t="str">
        <f t="shared" si="224"/>
        <v>Office Supplies</v>
      </c>
      <c r="Z799" t="s">
        <v>198</v>
      </c>
      <c r="AA799" t="str">
        <f t="shared" si="225"/>
        <v>Binders</v>
      </c>
      <c r="AB799" t="s">
        <v>3674</v>
      </c>
      <c r="AC799" t="s">
        <v>56</v>
      </c>
      <c r="AD799" t="str">
        <f t="shared" si="226"/>
        <v>First Class</v>
      </c>
      <c r="AE799">
        <v>8</v>
      </c>
      <c r="AF799">
        <v>1714.37</v>
      </c>
      <c r="AG799">
        <v>0</v>
      </c>
      <c r="AH799">
        <v>0</v>
      </c>
      <c r="AI799" t="str">
        <f t="shared" si="227"/>
        <v>Valid</v>
      </c>
      <c r="AJ799">
        <v>13714.96</v>
      </c>
      <c r="AK799">
        <f t="shared" si="228"/>
        <v>13714.96</v>
      </c>
      <c r="AL799">
        <v>10550.47</v>
      </c>
      <c r="AM799">
        <v>3164.49</v>
      </c>
      <c r="AN799">
        <f t="shared" si="229"/>
        <v>3164.49</v>
      </c>
      <c r="AO799">
        <f t="shared" si="230"/>
        <v>-10550.47</v>
      </c>
      <c r="AP799" t="s">
        <v>200</v>
      </c>
      <c r="AQ799" t="str">
        <f t="shared" si="231"/>
        <v>Failed</v>
      </c>
      <c r="AR799" t="s">
        <v>78</v>
      </c>
      <c r="AS799" t="str">
        <f t="shared" si="232"/>
        <v>Cancelled</v>
      </c>
      <c r="AT799" t="str">
        <f t="shared" si="233"/>
        <v>Clean</v>
      </c>
    </row>
    <row r="800" spans="1:46">
      <c r="A800" t="s">
        <v>3675</v>
      </c>
      <c r="B800">
        <f>COUNTIF($D$2:D800,D800)</f>
        <v>1</v>
      </c>
      <c r="C800" t="str">
        <f>IF(COUNTIF($A:$A,A800)=1,
"Unique",
IF(COUNTIFS($A:$A,A800,$N:$N,N800,$AF:$AF,AF800,$AJ:$AJ,AJ800)&gt;1,
"Exact Duplicate",
"Conflicting Duplicate"))</f>
        <v>Unique</v>
      </c>
      <c r="D800" t="s">
        <v>3676</v>
      </c>
      <c r="E800" t="s">
        <v>3677</v>
      </c>
      <c r="F800" s="3">
        <v>45968</v>
      </c>
      <c r="G800" s="3">
        <v>45907</v>
      </c>
      <c r="H800" s="5" t="str">
        <f t="shared" si="216"/>
        <v>November</v>
      </c>
      <c r="I800" s="5">
        <f t="shared" si="217"/>
        <v>2025</v>
      </c>
      <c r="J800" t="str">
        <f>IF(F800="","Missing Date",
IF(ISNUMBER(F800),"Valid","Invalid Date"))</f>
        <v>Valid</v>
      </c>
      <c r="K800" t="str">
        <f t="shared" si="218"/>
        <v>Valid</v>
      </c>
      <c r="L800">
        <f>G800-F800</f>
        <v>-61</v>
      </c>
      <c r="M800" t="s">
        <v>3678</v>
      </c>
      <c r="N800" t="s">
        <v>107</v>
      </c>
      <c r="O800" t="str">
        <f t="shared" si="219"/>
        <v>Aditi Sen</v>
      </c>
      <c r="P800" t="s">
        <v>108</v>
      </c>
      <c r="Q800" t="str">
        <f t="shared" si="220"/>
        <v>Corporate</v>
      </c>
      <c r="R800" t="s">
        <v>27</v>
      </c>
      <c r="S800" t="str">
        <f t="shared" si="221"/>
        <v>North</v>
      </c>
      <c r="T800" t="s">
        <v>506</v>
      </c>
      <c r="U800" t="str">
        <f t="shared" si="222"/>
        <v>Delhi</v>
      </c>
      <c r="V800" t="s">
        <v>507</v>
      </c>
      <c r="W800" t="str">
        <f t="shared" si="223"/>
        <v>New Delhi</v>
      </c>
      <c r="X800" t="s">
        <v>45</v>
      </c>
      <c r="Y800" t="str">
        <f t="shared" si="224"/>
        <v>Furniture</v>
      </c>
      <c r="Z800" t="s">
        <v>65</v>
      </c>
      <c r="AA800" t="str">
        <f t="shared" si="225"/>
        <v>Furnishings</v>
      </c>
      <c r="AB800" t="s">
        <v>3679</v>
      </c>
      <c r="AC800" t="s">
        <v>67</v>
      </c>
      <c r="AD800" t="str">
        <f t="shared" si="226"/>
        <v>Standard Class</v>
      </c>
      <c r="AE800">
        <v>9</v>
      </c>
      <c r="AF800">
        <v>1706.05</v>
      </c>
      <c r="AG800">
        <v>0</v>
      </c>
      <c r="AH800">
        <v>0</v>
      </c>
      <c r="AI800" t="str">
        <f t="shared" si="227"/>
        <v>Valid</v>
      </c>
      <c r="AJ800">
        <v>15354.45</v>
      </c>
      <c r="AK800">
        <f t="shared" si="228"/>
        <v>15354.449999999999</v>
      </c>
      <c r="AL800">
        <v>9656.5</v>
      </c>
      <c r="AM800">
        <v>5697.95</v>
      </c>
      <c r="AN800">
        <f t="shared" si="229"/>
        <v>5697.9499999999989</v>
      </c>
      <c r="AO800">
        <f t="shared" si="230"/>
        <v>-9656.5</v>
      </c>
      <c r="AP800" t="s">
        <v>34</v>
      </c>
      <c r="AQ800" t="str">
        <f t="shared" si="231"/>
        <v>Paid</v>
      </c>
      <c r="AR800" t="s">
        <v>35</v>
      </c>
      <c r="AS800" t="str">
        <f t="shared" si="232"/>
        <v>Completed</v>
      </c>
      <c r="AT800" t="str">
        <f t="shared" si="233"/>
        <v>Clean</v>
      </c>
    </row>
    <row r="801" spans="1:46">
      <c r="A801" t="s">
        <v>3680</v>
      </c>
      <c r="B801">
        <f>COUNTIF($D$2:D801,D801)</f>
        <v>2</v>
      </c>
      <c r="C801" t="str">
        <f>IF(COUNTIF($A:$A,A801)=1,
"Unique",
IF(COUNTIFS($A:$A,A801,$N:$N,N801,$AF:$AF,AF801,$AJ:$AJ,AJ801)&gt;1,
"Exact Duplicate",
"Conflicting Duplicate"))</f>
        <v>Unique</v>
      </c>
      <c r="D801" t="s">
        <v>3366</v>
      </c>
      <c r="E801" t="s">
        <v>2543</v>
      </c>
      <c r="F801" s="2">
        <v>45575</v>
      </c>
      <c r="G801" s="3">
        <v>45582</v>
      </c>
      <c r="H801" s="5" t="str">
        <f t="shared" si="216"/>
        <v>October</v>
      </c>
      <c r="I801" s="5">
        <f t="shared" si="217"/>
        <v>2024</v>
      </c>
      <c r="J801" t="str">
        <f>IF(F801="","Missing Date",
IF(ISNUMBER(F801),"Valid","Invalid Date"))</f>
        <v>Valid</v>
      </c>
      <c r="K801" t="str">
        <f t="shared" si="218"/>
        <v>Valid</v>
      </c>
      <c r="L801">
        <f>G801-F801</f>
        <v>7</v>
      </c>
      <c r="M801" t="s">
        <v>3681</v>
      </c>
      <c r="N801" t="s">
        <v>53</v>
      </c>
      <c r="O801" t="str">
        <f t="shared" si="219"/>
        <v>Isha Nair</v>
      </c>
      <c r="P801" t="s">
        <v>115</v>
      </c>
      <c r="Q801" t="str">
        <f t="shared" si="220"/>
        <v>Home Office</v>
      </c>
      <c r="R801" t="s">
        <v>27</v>
      </c>
      <c r="S801" t="str">
        <f t="shared" si="221"/>
        <v>North</v>
      </c>
      <c r="T801" t="s">
        <v>323</v>
      </c>
      <c r="U801" t="str">
        <f t="shared" si="222"/>
        <v>Haryana</v>
      </c>
      <c r="V801" t="s">
        <v>324</v>
      </c>
      <c r="W801" t="str">
        <f t="shared" si="223"/>
        <v>Gurugram</v>
      </c>
      <c r="X801" t="s">
        <v>86</v>
      </c>
      <c r="Y801" t="str">
        <f t="shared" si="224"/>
        <v>Technology</v>
      </c>
      <c r="Z801" t="s">
        <v>87</v>
      </c>
      <c r="AA801" t="str">
        <f t="shared" si="225"/>
        <v>Accessories</v>
      </c>
      <c r="AB801" t="s">
        <v>3682</v>
      </c>
      <c r="AC801" t="s">
        <v>4104</v>
      </c>
      <c r="AD801" t="str">
        <f t="shared" si="226"/>
        <v>Unknown</v>
      </c>
      <c r="AE801">
        <v>5</v>
      </c>
      <c r="AF801">
        <v>967.41</v>
      </c>
      <c r="AG801">
        <v>0.05</v>
      </c>
      <c r="AH801">
        <v>0.05</v>
      </c>
      <c r="AI801" t="str">
        <f t="shared" si="227"/>
        <v>Valid</v>
      </c>
      <c r="AJ801">
        <v>4595.2</v>
      </c>
      <c r="AK801">
        <f t="shared" si="228"/>
        <v>4595.1975000000002</v>
      </c>
      <c r="AL801">
        <v>3887.41</v>
      </c>
      <c r="AM801">
        <v>707.79</v>
      </c>
      <c r="AN801">
        <f t="shared" si="229"/>
        <v>707.78750000000036</v>
      </c>
      <c r="AO801">
        <f t="shared" si="230"/>
        <v>-3887.41</v>
      </c>
      <c r="AP801" t="s">
        <v>34</v>
      </c>
      <c r="AQ801" t="str">
        <f t="shared" si="231"/>
        <v>Paid</v>
      </c>
      <c r="AR801" t="s">
        <v>125</v>
      </c>
      <c r="AS801" t="str">
        <f t="shared" si="232"/>
        <v>Returned</v>
      </c>
      <c r="AT801" t="str">
        <f t="shared" si="233"/>
        <v>Clean</v>
      </c>
    </row>
    <row r="802" spans="1:46">
      <c r="A802" t="s">
        <v>3683</v>
      </c>
      <c r="B802">
        <f>COUNTIF($D$2:D802,D802)</f>
        <v>2</v>
      </c>
      <c r="C802" t="str">
        <f>IF(COUNTIF($A:$A,A802)=1,
"Unique",
IF(COUNTIFS($A:$A,A802,$N:$N,N802,$AF:$AF,AF802,$AJ:$AJ,AJ802)&gt;1,
"Exact Duplicate",
"Conflicting Duplicate"))</f>
        <v>Unique</v>
      </c>
      <c r="D802" t="s">
        <v>3684</v>
      </c>
      <c r="E802" t="s">
        <v>3685</v>
      </c>
      <c r="F802" s="2">
        <v>45294</v>
      </c>
      <c r="G802" s="3">
        <v>45476</v>
      </c>
      <c r="H802" s="5" t="str">
        <f t="shared" si="216"/>
        <v>January</v>
      </c>
      <c r="I802" s="5">
        <f t="shared" si="217"/>
        <v>2024</v>
      </c>
      <c r="J802" t="str">
        <f>IF(F802="","Missing Date",
IF(ISNUMBER(F802),"Valid","Invalid Date"))</f>
        <v>Valid</v>
      </c>
      <c r="K802" t="str">
        <f t="shared" si="218"/>
        <v>Valid</v>
      </c>
      <c r="L802">
        <f>G802-F802</f>
        <v>182</v>
      </c>
      <c r="M802" t="s">
        <v>3686</v>
      </c>
      <c r="N802" t="s">
        <v>83</v>
      </c>
      <c r="O802" t="str">
        <f t="shared" si="219"/>
        <v>Vikram Iyer</v>
      </c>
      <c r="P802" t="s">
        <v>41</v>
      </c>
      <c r="Q802" t="str">
        <f t="shared" si="220"/>
        <v>Small Business</v>
      </c>
      <c r="R802" t="s">
        <v>73</v>
      </c>
      <c r="S802" t="str">
        <f t="shared" si="221"/>
        <v>West</v>
      </c>
      <c r="T802" t="s">
        <v>74</v>
      </c>
      <c r="U802" t="str">
        <f t="shared" si="222"/>
        <v>Maharashtra</v>
      </c>
      <c r="V802" t="s">
        <v>75</v>
      </c>
      <c r="W802" t="str">
        <f t="shared" si="223"/>
        <v>Mumbai</v>
      </c>
      <c r="X802" t="s">
        <v>30</v>
      </c>
      <c r="Y802" t="str">
        <f t="shared" si="224"/>
        <v>Office Supplies</v>
      </c>
      <c r="Z802" t="s">
        <v>156</v>
      </c>
      <c r="AA802" t="str">
        <f t="shared" si="225"/>
        <v>Storage</v>
      </c>
      <c r="AB802" t="s">
        <v>3687</v>
      </c>
      <c r="AC802" t="s">
        <v>33</v>
      </c>
      <c r="AD802" t="str">
        <f t="shared" si="226"/>
        <v>Second Class</v>
      </c>
      <c r="AE802">
        <v>6</v>
      </c>
      <c r="AF802">
        <v>4163.72</v>
      </c>
      <c r="AG802">
        <v>0.15</v>
      </c>
      <c r="AH802">
        <v>0.15</v>
      </c>
      <c r="AI802" t="str">
        <f t="shared" si="227"/>
        <v>Valid</v>
      </c>
      <c r="AJ802">
        <v>21234.97</v>
      </c>
      <c r="AK802">
        <f t="shared" si="228"/>
        <v>21234.971999999998</v>
      </c>
      <c r="AL802">
        <v>16736.09</v>
      </c>
      <c r="AM802">
        <v>4498.88</v>
      </c>
      <c r="AN802">
        <f t="shared" si="229"/>
        <v>4498.8819999999978</v>
      </c>
      <c r="AO802">
        <f t="shared" si="230"/>
        <v>-16736.09</v>
      </c>
      <c r="AP802" t="s">
        <v>34</v>
      </c>
      <c r="AQ802" t="str">
        <f t="shared" si="231"/>
        <v>Paid</v>
      </c>
      <c r="AR802" t="s">
        <v>35</v>
      </c>
      <c r="AS802" t="str">
        <f t="shared" si="232"/>
        <v>Completed</v>
      </c>
      <c r="AT802" t="str">
        <f t="shared" si="233"/>
        <v>Clean</v>
      </c>
    </row>
    <row r="803" spans="1:46">
      <c r="A803" t="s">
        <v>3688</v>
      </c>
      <c r="B803">
        <f>COUNTIF($D$2:D803,D803)</f>
        <v>3</v>
      </c>
      <c r="C803" t="str">
        <f>IF(COUNTIF($A:$A,A803)=1,
"Unique",
IF(COUNTIFS($A:$A,A803,$N:$N,N803,$AF:$AF,AF803,$AJ:$AJ,AJ803)&gt;1,
"Exact Duplicate",
"Conflicting Duplicate"))</f>
        <v>Unique</v>
      </c>
      <c r="D803" t="s">
        <v>3689</v>
      </c>
      <c r="E803" t="s">
        <v>309</v>
      </c>
      <c r="F803" s="3">
        <v>45879</v>
      </c>
      <c r="G803" s="2">
        <v>45945</v>
      </c>
      <c r="H803" s="5" t="str">
        <f t="shared" si="216"/>
        <v>August</v>
      </c>
      <c r="I803" s="5">
        <f t="shared" si="217"/>
        <v>2025</v>
      </c>
      <c r="J803" t="str">
        <f>IF(F803="","Missing Date",
IF(ISNUMBER(F803),"Valid","Invalid Date"))</f>
        <v>Valid</v>
      </c>
      <c r="K803" t="str">
        <f t="shared" si="218"/>
        <v>Valid</v>
      </c>
      <c r="L803">
        <f>G803-F803</f>
        <v>66</v>
      </c>
      <c r="M803" t="s">
        <v>3690</v>
      </c>
      <c r="N803" t="s">
        <v>162</v>
      </c>
      <c r="O803" t="str">
        <f t="shared" si="219"/>
        <v>Aarav Sharma</v>
      </c>
      <c r="P803" t="s">
        <v>115</v>
      </c>
      <c r="Q803" t="str">
        <f t="shared" si="220"/>
        <v>Home Office</v>
      </c>
      <c r="R803" t="s">
        <v>42</v>
      </c>
      <c r="S803" t="str">
        <f t="shared" si="221"/>
        <v>East</v>
      </c>
      <c r="T803" t="s">
        <v>43</v>
      </c>
      <c r="U803" t="str">
        <f t="shared" si="222"/>
        <v>Odisha</v>
      </c>
      <c r="V803" t="s">
        <v>44</v>
      </c>
      <c r="W803" t="str">
        <f t="shared" si="223"/>
        <v>Bhubaneswar</v>
      </c>
      <c r="X803" t="s">
        <v>86</v>
      </c>
      <c r="Y803" t="str">
        <f t="shared" si="224"/>
        <v>Technology</v>
      </c>
      <c r="Z803" t="s">
        <v>87</v>
      </c>
      <c r="AA803" t="str">
        <f t="shared" si="225"/>
        <v>Accessories</v>
      </c>
      <c r="AB803" t="s">
        <v>3691</v>
      </c>
      <c r="AC803" t="s">
        <v>33</v>
      </c>
      <c r="AD803" t="str">
        <f t="shared" si="226"/>
        <v>Second Class</v>
      </c>
      <c r="AE803">
        <v>3</v>
      </c>
      <c r="AF803">
        <v>3372.21</v>
      </c>
      <c r="AG803">
        <v>0.2</v>
      </c>
      <c r="AH803">
        <v>0.2</v>
      </c>
      <c r="AI803" t="str">
        <f t="shared" si="227"/>
        <v>Valid</v>
      </c>
      <c r="AJ803">
        <v>8093.3</v>
      </c>
      <c r="AK803">
        <f t="shared" si="228"/>
        <v>8093.304000000001</v>
      </c>
      <c r="AL803">
        <v>6052.43</v>
      </c>
      <c r="AM803">
        <v>2040.87</v>
      </c>
      <c r="AN803">
        <f t="shared" si="229"/>
        <v>2040.8740000000007</v>
      </c>
      <c r="AO803">
        <f t="shared" si="230"/>
        <v>-6052.43</v>
      </c>
      <c r="AP803" t="s">
        <v>137</v>
      </c>
      <c r="AQ803" t="str">
        <f t="shared" si="231"/>
        <v>Pending</v>
      </c>
      <c r="AR803" t="s">
        <v>78</v>
      </c>
      <c r="AS803" t="str">
        <f t="shared" si="232"/>
        <v>Cancelled</v>
      </c>
      <c r="AT803" t="str">
        <f t="shared" si="233"/>
        <v>Clean</v>
      </c>
    </row>
    <row r="804" spans="1:46">
      <c r="A804" t="s">
        <v>3692</v>
      </c>
      <c r="B804">
        <f>COUNTIF($D$2:D804,D804)</f>
        <v>2</v>
      </c>
      <c r="C804" t="str">
        <f>IF(COUNTIF($A:$A,A804)=1,
"Unique",
IF(COUNTIFS($A:$A,A804,$N:$N,N804,$AF:$AF,AF804,$AJ:$AJ,AJ804)&gt;1,
"Exact Duplicate",
"Conflicting Duplicate"))</f>
        <v>Unique</v>
      </c>
      <c r="D804" t="s">
        <v>3172</v>
      </c>
      <c r="E804" t="s">
        <v>3693</v>
      </c>
      <c r="F804" s="2">
        <v>45704</v>
      </c>
      <c r="G804" s="3">
        <v>45704</v>
      </c>
      <c r="H804" s="5" t="str">
        <f t="shared" si="216"/>
        <v>February</v>
      </c>
      <c r="I804" s="5">
        <f t="shared" si="217"/>
        <v>2025</v>
      </c>
      <c r="J804" t="str">
        <f>IF(F804="","Missing Date",
IF(ISNUMBER(F804),"Valid","Invalid Date"))</f>
        <v>Valid</v>
      </c>
      <c r="K804" t="str">
        <f t="shared" si="218"/>
        <v>Valid</v>
      </c>
      <c r="L804">
        <f>G804-F804</f>
        <v>0</v>
      </c>
      <c r="M804" t="s">
        <v>3694</v>
      </c>
      <c r="N804" t="s">
        <v>180</v>
      </c>
      <c r="O804" t="str">
        <f t="shared" si="219"/>
        <v>Rohan Mehta</v>
      </c>
      <c r="P804" t="s">
        <v>41</v>
      </c>
      <c r="Q804" t="str">
        <f t="shared" si="220"/>
        <v>Small Business</v>
      </c>
      <c r="R804" t="s">
        <v>42</v>
      </c>
      <c r="S804" t="str">
        <f t="shared" si="221"/>
        <v>East</v>
      </c>
      <c r="T804" t="s">
        <v>216</v>
      </c>
      <c r="U804" t="str">
        <f t="shared" si="222"/>
        <v>Assam</v>
      </c>
      <c r="V804" t="s">
        <v>217</v>
      </c>
      <c r="W804" t="str">
        <f t="shared" si="223"/>
        <v>Guwahati</v>
      </c>
      <c r="X804" t="s">
        <v>45</v>
      </c>
      <c r="Y804" t="str">
        <f t="shared" si="224"/>
        <v>Furniture</v>
      </c>
      <c r="Z804" t="s">
        <v>65</v>
      </c>
      <c r="AA804" t="str">
        <f t="shared" si="225"/>
        <v>Furnishings</v>
      </c>
      <c r="AB804" t="s">
        <v>3695</v>
      </c>
      <c r="AC804" t="s">
        <v>33</v>
      </c>
      <c r="AD804" t="str">
        <f t="shared" si="226"/>
        <v>Second Class</v>
      </c>
      <c r="AE804">
        <v>6</v>
      </c>
      <c r="AF804">
        <v>1441.91</v>
      </c>
      <c r="AG804">
        <v>0</v>
      </c>
      <c r="AH804">
        <v>0</v>
      </c>
      <c r="AI804" t="str">
        <f t="shared" si="227"/>
        <v>Valid</v>
      </c>
      <c r="AJ804">
        <v>8651.4599999999991</v>
      </c>
      <c r="AK804">
        <f t="shared" si="228"/>
        <v>8651.4600000000009</v>
      </c>
      <c r="AL804">
        <v>5254.62</v>
      </c>
      <c r="AM804">
        <v>3396.84</v>
      </c>
      <c r="AN804">
        <f t="shared" si="229"/>
        <v>3396.8400000000011</v>
      </c>
      <c r="AO804">
        <f t="shared" si="230"/>
        <v>-5254.62</v>
      </c>
      <c r="AP804" t="s">
        <v>3696</v>
      </c>
      <c r="AQ804" t="str">
        <f t="shared" si="231"/>
        <v>Failed</v>
      </c>
      <c r="AR804" t="s">
        <v>125</v>
      </c>
      <c r="AS804" t="str">
        <f t="shared" si="232"/>
        <v>Returned</v>
      </c>
      <c r="AT804" t="str">
        <f t="shared" si="233"/>
        <v>Clean</v>
      </c>
    </row>
    <row r="805" spans="1:46">
      <c r="A805" t="s">
        <v>3697</v>
      </c>
      <c r="B805">
        <f>COUNTIF($D$2:D805,D805)</f>
        <v>2</v>
      </c>
      <c r="C805" t="str">
        <f>IF(COUNTIF($A:$A,A805)=1,
"Unique",
IF(COUNTIFS($A:$A,A805,$N:$N,N805,$AF:$AF,AF805,$AJ:$AJ,AJ805)&gt;1,
"Exact Duplicate",
"Conflicting Duplicate"))</f>
        <v>Unique</v>
      </c>
      <c r="D805" t="s">
        <v>3698</v>
      </c>
      <c r="E805" t="s">
        <v>733</v>
      </c>
      <c r="F805" s="2">
        <v>45547</v>
      </c>
      <c r="G805" s="2">
        <v>45639</v>
      </c>
      <c r="H805" s="5" t="str">
        <f t="shared" si="216"/>
        <v>September</v>
      </c>
      <c r="I805" s="5">
        <f t="shared" si="217"/>
        <v>2024</v>
      </c>
      <c r="J805" t="str">
        <f>IF(F805="","Missing Date",
IF(ISNUMBER(F805),"Valid","Invalid Date"))</f>
        <v>Valid</v>
      </c>
      <c r="K805" t="str">
        <f t="shared" si="218"/>
        <v>Valid</v>
      </c>
      <c r="L805">
        <f>G805-F805</f>
        <v>92</v>
      </c>
      <c r="M805" t="s">
        <v>3699</v>
      </c>
      <c r="N805" t="s">
        <v>180</v>
      </c>
      <c r="O805" t="str">
        <f t="shared" si="219"/>
        <v>Rohan Mehta</v>
      </c>
      <c r="P805" t="s">
        <v>26</v>
      </c>
      <c r="Q805" t="str">
        <f t="shared" si="220"/>
        <v>Consumer</v>
      </c>
      <c r="R805" t="s">
        <v>4104</v>
      </c>
      <c r="S805" t="s">
        <v>4104</v>
      </c>
      <c r="T805" t="s">
        <v>311</v>
      </c>
      <c r="U805" t="str">
        <f t="shared" si="222"/>
        <v>Jharkhand</v>
      </c>
      <c r="V805" t="s">
        <v>312</v>
      </c>
      <c r="W805" t="str">
        <f t="shared" si="223"/>
        <v>Ranchi</v>
      </c>
      <c r="X805" t="s">
        <v>30</v>
      </c>
      <c r="Y805" t="str">
        <f t="shared" si="224"/>
        <v>Office Supplies</v>
      </c>
      <c r="Z805" t="s">
        <v>109</v>
      </c>
      <c r="AA805" t="str">
        <f t="shared" si="225"/>
        <v>Labels</v>
      </c>
      <c r="AB805" t="s">
        <v>3700</v>
      </c>
      <c r="AC805" t="s">
        <v>56</v>
      </c>
      <c r="AD805" t="str">
        <f t="shared" si="226"/>
        <v>First Class</v>
      </c>
      <c r="AE805">
        <v>1</v>
      </c>
      <c r="AF805">
        <v>4306.6499999999996</v>
      </c>
      <c r="AG805">
        <v>0</v>
      </c>
      <c r="AH805">
        <v>0</v>
      </c>
      <c r="AI805" t="str">
        <f t="shared" si="227"/>
        <v>Valid</v>
      </c>
      <c r="AJ805">
        <v>4306.6499999999996</v>
      </c>
      <c r="AK805">
        <f t="shared" si="228"/>
        <v>4306.6499999999996</v>
      </c>
      <c r="AL805">
        <v>2568.8200000000002</v>
      </c>
      <c r="AM805">
        <v>1737.83</v>
      </c>
      <c r="AN805">
        <f t="shared" si="229"/>
        <v>1737.8299999999995</v>
      </c>
      <c r="AO805">
        <f t="shared" si="230"/>
        <v>-2568.8200000000002</v>
      </c>
      <c r="AP805" t="s">
        <v>34</v>
      </c>
      <c r="AQ805" t="str">
        <f t="shared" si="231"/>
        <v>Paid</v>
      </c>
      <c r="AR805" t="s">
        <v>35</v>
      </c>
      <c r="AS805" t="str">
        <f t="shared" si="232"/>
        <v>Completed</v>
      </c>
      <c r="AT805" t="str">
        <f t="shared" si="233"/>
        <v>Clean</v>
      </c>
    </row>
    <row r="806" spans="1:46">
      <c r="A806" t="s">
        <v>3701</v>
      </c>
      <c r="B806">
        <f>COUNTIF($D$2:D806,D806)</f>
        <v>1</v>
      </c>
      <c r="C806" t="str">
        <f>IF(COUNTIF($A:$A,A806)=1,
"Unique",
IF(COUNTIFS($A:$A,A806,$N:$N,N806,$AF:$AF,AF806,$AJ:$AJ,AJ806)&gt;1,
"Exact Duplicate",
"Conflicting Duplicate"))</f>
        <v>Unique</v>
      </c>
      <c r="D806" t="s">
        <v>989</v>
      </c>
      <c r="E806" t="s">
        <v>2196</v>
      </c>
      <c r="F806" s="3">
        <v>45939</v>
      </c>
      <c r="G806" s="3">
        <v>45918</v>
      </c>
      <c r="H806" s="5" t="str">
        <f t="shared" si="216"/>
        <v>October</v>
      </c>
      <c r="I806" s="5">
        <f t="shared" si="217"/>
        <v>2025</v>
      </c>
      <c r="J806" t="str">
        <f>IF(F806="","Missing Date",
IF(ISNUMBER(F806),"Valid","Invalid Date"))</f>
        <v>Valid</v>
      </c>
      <c r="K806" t="str">
        <f t="shared" si="218"/>
        <v>Valid</v>
      </c>
      <c r="L806">
        <f>G806-F806</f>
        <v>-21</v>
      </c>
      <c r="M806" t="s">
        <v>3702</v>
      </c>
      <c r="N806" t="s">
        <v>148</v>
      </c>
      <c r="O806" t="str">
        <f t="shared" si="219"/>
        <v>Rahul Verma</v>
      </c>
      <c r="P806" t="s">
        <v>115</v>
      </c>
      <c r="Q806" t="str">
        <f t="shared" si="220"/>
        <v>Home Office</v>
      </c>
      <c r="R806" t="s">
        <v>62</v>
      </c>
      <c r="S806" t="str">
        <f t="shared" si="221"/>
        <v>South</v>
      </c>
      <c r="T806" t="s">
        <v>63</v>
      </c>
      <c r="U806" t="str">
        <f t="shared" si="222"/>
        <v>Telangana</v>
      </c>
      <c r="V806" t="s">
        <v>64</v>
      </c>
      <c r="W806" t="str">
        <f t="shared" si="223"/>
        <v>Hyderabad</v>
      </c>
      <c r="X806" t="s">
        <v>45</v>
      </c>
      <c r="Y806" t="str">
        <f t="shared" si="224"/>
        <v>Furniture</v>
      </c>
      <c r="Z806" t="s">
        <v>65</v>
      </c>
      <c r="AA806" t="str">
        <f t="shared" si="225"/>
        <v>Furnishings</v>
      </c>
      <c r="AB806" t="s">
        <v>3703</v>
      </c>
      <c r="AC806" t="s">
        <v>67</v>
      </c>
      <c r="AD806" t="str">
        <f t="shared" si="226"/>
        <v>Standard Class</v>
      </c>
      <c r="AE806">
        <v>1</v>
      </c>
      <c r="AF806">
        <v>2050.62</v>
      </c>
      <c r="AG806">
        <v>0.05</v>
      </c>
      <c r="AH806">
        <v>0.05</v>
      </c>
      <c r="AI806" t="str">
        <f t="shared" si="227"/>
        <v>Valid</v>
      </c>
      <c r="AJ806">
        <v>1948.09</v>
      </c>
      <c r="AK806">
        <f t="shared" si="228"/>
        <v>1948.0889999999997</v>
      </c>
      <c r="AL806">
        <v>1507.08</v>
      </c>
      <c r="AM806">
        <v>441.01</v>
      </c>
      <c r="AN806">
        <f t="shared" si="229"/>
        <v>441.00899999999979</v>
      </c>
      <c r="AO806">
        <f t="shared" si="230"/>
        <v>-1507.08</v>
      </c>
      <c r="AP806" t="s">
        <v>34</v>
      </c>
      <c r="AQ806" t="str">
        <f t="shared" si="231"/>
        <v>Paid</v>
      </c>
      <c r="AR806" t="s">
        <v>35</v>
      </c>
      <c r="AS806" t="str">
        <f t="shared" si="232"/>
        <v>Completed</v>
      </c>
      <c r="AT806" t="str">
        <f t="shared" si="233"/>
        <v>Clean</v>
      </c>
    </row>
    <row r="807" spans="1:46">
      <c r="A807" t="s">
        <v>3704</v>
      </c>
      <c r="B807">
        <f>COUNTIF($D$2:D807,D807)</f>
        <v>4</v>
      </c>
      <c r="C807" t="str">
        <f>IF(COUNTIF($A:$A,A807)=1,
"Unique",
IF(COUNTIFS($A:$A,A807,$N:$N,N807,$AF:$AF,AF807,$AJ:$AJ,AJ807)&gt;1,
"Exact Duplicate",
"Conflicting Duplicate"))</f>
        <v>Unique</v>
      </c>
      <c r="D807" t="s">
        <v>1316</v>
      </c>
      <c r="E807" t="s">
        <v>1063</v>
      </c>
      <c r="F807" s="3">
        <v>45812</v>
      </c>
      <c r="G807" s="3">
        <v>45842</v>
      </c>
      <c r="H807" s="5" t="str">
        <f t="shared" si="216"/>
        <v>June</v>
      </c>
      <c r="I807" s="5">
        <f t="shared" si="217"/>
        <v>2025</v>
      </c>
      <c r="J807" t="str">
        <f>IF(F807="","Missing Date",
IF(ISNUMBER(F807),"Valid","Invalid Date"))</f>
        <v>Valid</v>
      </c>
      <c r="K807" t="str">
        <f t="shared" si="218"/>
        <v>Valid</v>
      </c>
      <c r="L807">
        <f>G807-F807</f>
        <v>30</v>
      </c>
      <c r="M807" t="s">
        <v>3520</v>
      </c>
      <c r="N807" t="s">
        <v>142</v>
      </c>
      <c r="O807" t="str">
        <f t="shared" si="219"/>
        <v>Priya Menon</v>
      </c>
      <c r="P807" t="s">
        <v>115</v>
      </c>
      <c r="Q807" t="str">
        <f t="shared" si="220"/>
        <v>Home Office</v>
      </c>
      <c r="R807" t="s">
        <v>42</v>
      </c>
      <c r="S807" t="str">
        <f t="shared" si="221"/>
        <v>East</v>
      </c>
      <c r="T807" t="s">
        <v>216</v>
      </c>
      <c r="U807" t="str">
        <f t="shared" si="222"/>
        <v>Assam</v>
      </c>
      <c r="V807" t="s">
        <v>217</v>
      </c>
      <c r="W807" t="str">
        <f t="shared" si="223"/>
        <v>Guwahati</v>
      </c>
      <c r="X807" t="s">
        <v>30</v>
      </c>
      <c r="Y807" t="str">
        <f t="shared" si="224"/>
        <v>Office Supplies</v>
      </c>
      <c r="Z807" t="s">
        <v>198</v>
      </c>
      <c r="AA807" t="str">
        <f t="shared" si="225"/>
        <v>Binders</v>
      </c>
      <c r="AB807" t="s">
        <v>3705</v>
      </c>
      <c r="AC807" t="s">
        <v>33</v>
      </c>
      <c r="AD807" t="str">
        <f t="shared" si="226"/>
        <v>Second Class</v>
      </c>
      <c r="AE807">
        <v>2</v>
      </c>
      <c r="AF807">
        <v>2030.06</v>
      </c>
      <c r="AG807">
        <v>0.25</v>
      </c>
      <c r="AH807">
        <v>0.25</v>
      </c>
      <c r="AI807" t="str">
        <f t="shared" si="227"/>
        <v>Valid</v>
      </c>
      <c r="AJ807">
        <v>3045.09</v>
      </c>
      <c r="AK807">
        <f t="shared" si="228"/>
        <v>3045.09</v>
      </c>
      <c r="AL807">
        <v>2601.09</v>
      </c>
      <c r="AM807">
        <v>444</v>
      </c>
      <c r="AN807">
        <f t="shared" si="229"/>
        <v>444</v>
      </c>
      <c r="AO807">
        <f t="shared" si="230"/>
        <v>-2601.09</v>
      </c>
      <c r="AP807" t="s">
        <v>34</v>
      </c>
      <c r="AQ807" t="str">
        <f t="shared" si="231"/>
        <v>Paid</v>
      </c>
      <c r="AR807" t="s">
        <v>35</v>
      </c>
      <c r="AS807" t="str">
        <f t="shared" si="232"/>
        <v>Completed</v>
      </c>
      <c r="AT807" t="str">
        <f t="shared" si="233"/>
        <v>Clean</v>
      </c>
    </row>
    <row r="808" spans="1:46">
      <c r="A808" t="s">
        <v>3706</v>
      </c>
      <c r="B808">
        <f>COUNTIF($D$2:D808,D808)</f>
        <v>3</v>
      </c>
      <c r="C808" t="str">
        <f>IF(COUNTIF($A:$A,A808)=1,
"Unique",
IF(COUNTIFS($A:$A,A808,$N:$N,N808,$AF:$AF,AF808,$AJ:$AJ,AJ808)&gt;1,
"Exact Duplicate",
"Conflicting Duplicate"))</f>
        <v>Unique</v>
      </c>
      <c r="D808" t="s">
        <v>3707</v>
      </c>
      <c r="E808" t="s">
        <v>3708</v>
      </c>
      <c r="F808" s="3">
        <v>45546</v>
      </c>
      <c r="G808" s="2">
        <v>45611</v>
      </c>
      <c r="H808" s="5" t="str">
        <f t="shared" si="216"/>
        <v>September</v>
      </c>
      <c r="I808" s="5">
        <f t="shared" si="217"/>
        <v>2024</v>
      </c>
      <c r="J808" t="str">
        <f>IF(F808="","Missing Date",
IF(ISNUMBER(F808),"Valid","Invalid Date"))</f>
        <v>Valid</v>
      </c>
      <c r="K808" t="str">
        <f t="shared" si="218"/>
        <v>Valid</v>
      </c>
      <c r="L808">
        <f>G808-F808</f>
        <v>65</v>
      </c>
      <c r="M808" t="s">
        <v>3709</v>
      </c>
      <c r="N808" t="s">
        <v>53</v>
      </c>
      <c r="O808" t="str">
        <f t="shared" si="219"/>
        <v>Isha Nair</v>
      </c>
      <c r="P808" t="s">
        <v>115</v>
      </c>
      <c r="Q808" t="str">
        <f t="shared" si="220"/>
        <v>Home Office</v>
      </c>
      <c r="R808" t="s">
        <v>27</v>
      </c>
      <c r="S808" t="str">
        <f t="shared" si="221"/>
        <v>North</v>
      </c>
      <c r="T808" t="s">
        <v>28</v>
      </c>
      <c r="U808" t="str">
        <f t="shared" si="222"/>
        <v>Rajasthan</v>
      </c>
      <c r="V808" t="s">
        <v>29</v>
      </c>
      <c r="W808" t="str">
        <f t="shared" si="223"/>
        <v>Jaipur</v>
      </c>
      <c r="X808" t="s">
        <v>86</v>
      </c>
      <c r="Y808" t="str">
        <f t="shared" si="224"/>
        <v>Technology</v>
      </c>
      <c r="Z808" t="s">
        <v>94</v>
      </c>
      <c r="AA808" t="str">
        <f t="shared" si="225"/>
        <v>Copiers</v>
      </c>
      <c r="AB808" t="s">
        <v>3710</v>
      </c>
      <c r="AC808" t="s">
        <v>67</v>
      </c>
      <c r="AD808" t="str">
        <f t="shared" si="226"/>
        <v>Standard Class</v>
      </c>
      <c r="AE808">
        <v>1</v>
      </c>
      <c r="AF808">
        <v>3665.97</v>
      </c>
      <c r="AG808">
        <v>0.2</v>
      </c>
      <c r="AH808">
        <v>0.2</v>
      </c>
      <c r="AI808" t="str">
        <f t="shared" si="227"/>
        <v>Valid</v>
      </c>
      <c r="AJ808">
        <v>2932.78</v>
      </c>
      <c r="AK808">
        <f t="shared" si="228"/>
        <v>2932.7759999999998</v>
      </c>
      <c r="AL808">
        <v>1900.35</v>
      </c>
      <c r="AM808">
        <v>1032.43</v>
      </c>
      <c r="AN808">
        <f t="shared" si="229"/>
        <v>1032.4259999999999</v>
      </c>
      <c r="AO808">
        <f t="shared" si="230"/>
        <v>-1900.35</v>
      </c>
      <c r="AP808" t="s">
        <v>200</v>
      </c>
      <c r="AQ808" t="str">
        <f t="shared" si="231"/>
        <v>Failed</v>
      </c>
      <c r="AR808" t="s">
        <v>78</v>
      </c>
      <c r="AS808" t="str">
        <f t="shared" si="232"/>
        <v>Cancelled</v>
      </c>
      <c r="AT808" t="str">
        <f t="shared" si="233"/>
        <v>Clean</v>
      </c>
    </row>
    <row r="809" spans="1:46">
      <c r="A809" t="s">
        <v>3711</v>
      </c>
      <c r="B809">
        <f>COUNTIF($D$2:D809,D809)</f>
        <v>3</v>
      </c>
      <c r="C809" t="str">
        <f>IF(COUNTIF($A:$A,A809)=1,
"Unique",
IF(COUNTIFS($A:$A,A809,$N:$N,N809,$AF:$AF,AF809,$AJ:$AJ,AJ809)&gt;1,
"Exact Duplicate",
"Conflicting Duplicate"))</f>
        <v>Unique</v>
      </c>
      <c r="D809" t="s">
        <v>1276</v>
      </c>
      <c r="E809" t="s">
        <v>2270</v>
      </c>
      <c r="F809" s="2">
        <v>45840</v>
      </c>
      <c r="G809" s="3">
        <v>45871</v>
      </c>
      <c r="H809" s="5" t="str">
        <f t="shared" si="216"/>
        <v>July</v>
      </c>
      <c r="I809" s="5">
        <f t="shared" si="217"/>
        <v>2025</v>
      </c>
      <c r="J809" t="str">
        <f>IF(F809="","Missing Date",
IF(ISNUMBER(F809),"Valid","Invalid Date"))</f>
        <v>Valid</v>
      </c>
      <c r="K809" t="str">
        <f t="shared" si="218"/>
        <v>Valid</v>
      </c>
      <c r="L809">
        <f>G809-F809</f>
        <v>31</v>
      </c>
      <c r="M809" t="s">
        <v>3712</v>
      </c>
      <c r="N809" t="s">
        <v>25</v>
      </c>
      <c r="O809" t="str">
        <f t="shared" si="219"/>
        <v>Karan Malhotra</v>
      </c>
      <c r="P809" t="s">
        <v>41</v>
      </c>
      <c r="Q809" t="str">
        <f t="shared" si="220"/>
        <v>Small Business</v>
      </c>
      <c r="R809" t="s">
        <v>62</v>
      </c>
      <c r="S809" t="str">
        <f t="shared" si="221"/>
        <v>South</v>
      </c>
      <c r="T809" t="s">
        <v>63</v>
      </c>
      <c r="U809" t="str">
        <f t="shared" si="222"/>
        <v>Telangana</v>
      </c>
      <c r="V809" t="s">
        <v>64</v>
      </c>
      <c r="W809" t="str">
        <f t="shared" si="223"/>
        <v>Hyderabad</v>
      </c>
      <c r="X809" t="s">
        <v>30</v>
      </c>
      <c r="Y809" t="str">
        <f t="shared" si="224"/>
        <v>Office Supplies</v>
      </c>
      <c r="Z809" t="s">
        <v>109</v>
      </c>
      <c r="AA809" t="str">
        <f t="shared" si="225"/>
        <v>Labels</v>
      </c>
      <c r="AB809" t="s">
        <v>3713</v>
      </c>
      <c r="AC809" t="s">
        <v>3714</v>
      </c>
      <c r="AD809" t="str">
        <f t="shared" si="226"/>
        <v>Standard Class</v>
      </c>
      <c r="AE809">
        <v>2</v>
      </c>
      <c r="AF809">
        <v>2432.98</v>
      </c>
      <c r="AG809">
        <v>0.1</v>
      </c>
      <c r="AH809">
        <v>0.1</v>
      </c>
      <c r="AI809" t="str">
        <f t="shared" si="227"/>
        <v>Valid</v>
      </c>
      <c r="AJ809">
        <v>4379.3599999999997</v>
      </c>
      <c r="AK809">
        <f t="shared" si="228"/>
        <v>4379.3640000000005</v>
      </c>
      <c r="AL809">
        <v>3723.93</v>
      </c>
      <c r="AM809">
        <v>655.43</v>
      </c>
      <c r="AN809">
        <f t="shared" si="229"/>
        <v>655.43400000000065</v>
      </c>
      <c r="AO809">
        <f t="shared" si="230"/>
        <v>-3723.93</v>
      </c>
      <c r="AP809" t="s">
        <v>34</v>
      </c>
      <c r="AQ809" t="str">
        <f t="shared" si="231"/>
        <v>Paid</v>
      </c>
      <c r="AR809" t="s">
        <v>35</v>
      </c>
      <c r="AS809" t="str">
        <f t="shared" si="232"/>
        <v>Completed</v>
      </c>
      <c r="AT809" t="str">
        <f t="shared" si="233"/>
        <v>Clean</v>
      </c>
    </row>
    <row r="810" spans="1:46">
      <c r="A810" t="s">
        <v>3715</v>
      </c>
      <c r="B810">
        <f>COUNTIF($D$2:D810,D810)</f>
        <v>1</v>
      </c>
      <c r="C810" t="str">
        <f>IF(COUNTIF($A:$A,A810)=1,
"Unique",
IF(COUNTIFS($A:$A,A810,$N:$N,N810,$AF:$AF,AF810,$AJ:$AJ,AJ810)&gt;1,
"Exact Duplicate",
"Conflicting Duplicate"))</f>
        <v>Unique</v>
      </c>
      <c r="D810" t="s">
        <v>3716</v>
      </c>
      <c r="E810" t="s">
        <v>2034</v>
      </c>
      <c r="F810" s="3">
        <v>45900</v>
      </c>
      <c r="G810" s="3">
        <v>45897</v>
      </c>
      <c r="H810" s="5" t="str">
        <f t="shared" si="216"/>
        <v>August</v>
      </c>
      <c r="I810" s="5">
        <f t="shared" si="217"/>
        <v>2025</v>
      </c>
      <c r="J810" t="str">
        <f>IF(F810="","Missing Date",
IF(ISNUMBER(F810),"Valid","Invalid Date"))</f>
        <v>Valid</v>
      </c>
      <c r="K810" t="str">
        <f t="shared" si="218"/>
        <v>Valid</v>
      </c>
      <c r="L810">
        <f>G810-F810</f>
        <v>-3</v>
      </c>
      <c r="M810" t="s">
        <v>3717</v>
      </c>
      <c r="N810" t="s">
        <v>162</v>
      </c>
      <c r="O810" t="str">
        <f t="shared" si="219"/>
        <v>Aarav Sharma</v>
      </c>
      <c r="P810" t="s">
        <v>41</v>
      </c>
      <c r="Q810" t="str">
        <f t="shared" si="220"/>
        <v>Small Business</v>
      </c>
      <c r="R810" t="s">
        <v>62</v>
      </c>
      <c r="S810" t="str">
        <f t="shared" si="221"/>
        <v>South</v>
      </c>
      <c r="T810" t="s">
        <v>339</v>
      </c>
      <c r="U810" t="str">
        <f t="shared" si="222"/>
        <v>Tamil Nadu</v>
      </c>
      <c r="V810" t="s">
        <v>340</v>
      </c>
      <c r="W810" t="str">
        <f t="shared" si="223"/>
        <v>Chennai</v>
      </c>
      <c r="X810" t="s">
        <v>45</v>
      </c>
      <c r="Y810" t="str">
        <f t="shared" si="224"/>
        <v>Furniture</v>
      </c>
      <c r="Z810" t="s">
        <v>65</v>
      </c>
      <c r="AA810" t="str">
        <f t="shared" si="225"/>
        <v>Furnishings</v>
      </c>
      <c r="AB810" t="s">
        <v>3718</v>
      </c>
      <c r="AC810" t="s">
        <v>56</v>
      </c>
      <c r="AD810" t="str">
        <f t="shared" si="226"/>
        <v>First Class</v>
      </c>
      <c r="AE810">
        <v>7</v>
      </c>
      <c r="AF810">
        <v>977.28</v>
      </c>
      <c r="AG810">
        <v>0.2</v>
      </c>
      <c r="AH810">
        <v>0.2</v>
      </c>
      <c r="AI810" t="str">
        <f t="shared" si="227"/>
        <v>Valid</v>
      </c>
      <c r="AJ810">
        <v>5472.77</v>
      </c>
      <c r="AK810">
        <f t="shared" si="228"/>
        <v>5472.768</v>
      </c>
      <c r="AL810">
        <v>4477.33</v>
      </c>
      <c r="AM810">
        <v>995.44</v>
      </c>
      <c r="AN810">
        <f t="shared" si="229"/>
        <v>995.4380000000001</v>
      </c>
      <c r="AO810">
        <f t="shared" si="230"/>
        <v>-4477.33</v>
      </c>
      <c r="AP810" t="s">
        <v>34</v>
      </c>
      <c r="AQ810" t="str">
        <f t="shared" si="231"/>
        <v>Paid</v>
      </c>
      <c r="AR810" t="s">
        <v>35</v>
      </c>
      <c r="AS810" t="str">
        <f t="shared" si="232"/>
        <v>Completed</v>
      </c>
      <c r="AT810" t="str">
        <f t="shared" si="233"/>
        <v>Clean</v>
      </c>
    </row>
    <row r="811" spans="1:46">
      <c r="A811" t="s">
        <v>3719</v>
      </c>
      <c r="B811">
        <f>COUNTIF($D$2:D811,D811)</f>
        <v>3</v>
      </c>
      <c r="C811" t="str">
        <f>IF(COUNTIF($A:$A,A811)=1,
"Unique",
IF(COUNTIFS($A:$A,A811,$N:$N,N811,$AF:$AF,AF811,$AJ:$AJ,AJ811)&gt;1,
"Exact Duplicate",
"Conflicting Duplicate"))</f>
        <v>Unique</v>
      </c>
      <c r="D811" t="s">
        <v>1516</v>
      </c>
      <c r="E811" t="s">
        <v>1516</v>
      </c>
      <c r="F811" s="2">
        <v>45833</v>
      </c>
      <c r="G811" s="2">
        <v>45833</v>
      </c>
      <c r="H811" s="5" t="str">
        <f t="shared" si="216"/>
        <v>June</v>
      </c>
      <c r="I811" s="5">
        <f t="shared" si="217"/>
        <v>2025</v>
      </c>
      <c r="J811" t="str">
        <f>IF(F811="","Missing Date",
IF(ISNUMBER(F811),"Valid","Invalid Date"))</f>
        <v>Valid</v>
      </c>
      <c r="K811" t="str">
        <f t="shared" si="218"/>
        <v>Valid</v>
      </c>
      <c r="L811">
        <f>G811-F811</f>
        <v>0</v>
      </c>
      <c r="M811" t="s">
        <v>3720</v>
      </c>
      <c r="N811" t="s">
        <v>61</v>
      </c>
      <c r="O811" t="str">
        <f t="shared" si="219"/>
        <v>Arjun Bose</v>
      </c>
      <c r="P811" t="s">
        <v>41</v>
      </c>
      <c r="Q811" t="str">
        <f t="shared" si="220"/>
        <v>Small Business</v>
      </c>
      <c r="R811" t="s">
        <v>4104</v>
      </c>
      <c r="S811" t="s">
        <v>4104</v>
      </c>
      <c r="T811" t="s">
        <v>154</v>
      </c>
      <c r="U811" t="str">
        <f t="shared" si="222"/>
        <v>Punjab</v>
      </c>
      <c r="V811" t="s">
        <v>155</v>
      </c>
      <c r="W811" t="str">
        <f t="shared" si="223"/>
        <v>Ludhiana</v>
      </c>
      <c r="X811" t="s">
        <v>30</v>
      </c>
      <c r="Y811" t="str">
        <f t="shared" si="224"/>
        <v>Office Supplies</v>
      </c>
      <c r="Z811" t="s">
        <v>198</v>
      </c>
      <c r="AA811" t="str">
        <f t="shared" si="225"/>
        <v>Binders</v>
      </c>
      <c r="AB811" t="s">
        <v>3721</v>
      </c>
      <c r="AC811" t="s">
        <v>33</v>
      </c>
      <c r="AD811" t="str">
        <f t="shared" si="226"/>
        <v>Second Class</v>
      </c>
      <c r="AE811">
        <v>6</v>
      </c>
      <c r="AF811">
        <v>1366.13</v>
      </c>
      <c r="AG811">
        <v>0.1</v>
      </c>
      <c r="AH811">
        <v>0.1</v>
      </c>
      <c r="AI811" t="str">
        <f t="shared" si="227"/>
        <v>Valid</v>
      </c>
      <c r="AJ811">
        <v>7377.1</v>
      </c>
      <c r="AK811">
        <f t="shared" si="228"/>
        <v>7377.1020000000008</v>
      </c>
      <c r="AL811">
        <v>5085.21</v>
      </c>
      <c r="AM811">
        <v>2291.89</v>
      </c>
      <c r="AN811">
        <f t="shared" si="229"/>
        <v>2291.8920000000007</v>
      </c>
      <c r="AO811">
        <f t="shared" si="230"/>
        <v>-5085.21</v>
      </c>
      <c r="AP811" t="s">
        <v>34</v>
      </c>
      <c r="AQ811" t="str">
        <f t="shared" si="231"/>
        <v>Paid</v>
      </c>
      <c r="AR811" t="s">
        <v>35</v>
      </c>
      <c r="AS811" t="str">
        <f t="shared" si="232"/>
        <v>Completed</v>
      </c>
      <c r="AT811" t="str">
        <f t="shared" si="233"/>
        <v>Clean</v>
      </c>
    </row>
    <row r="812" spans="1:46">
      <c r="A812" t="s">
        <v>3722</v>
      </c>
      <c r="B812">
        <f>COUNTIF($D$2:D812,D812)</f>
        <v>4</v>
      </c>
      <c r="C812" t="str">
        <f>IF(COUNTIF($A:$A,A812)=1,
"Unique",
IF(COUNTIFS($A:$A,A812,$N:$N,N812,$AF:$AF,AF812,$AJ:$AJ,AJ812)&gt;1,
"Exact Duplicate",
"Conflicting Duplicate"))</f>
        <v>Unique</v>
      </c>
      <c r="D812" t="s">
        <v>3723</v>
      </c>
      <c r="E812" t="s">
        <v>3724</v>
      </c>
      <c r="F812" s="3">
        <v>45385</v>
      </c>
      <c r="G812" s="3">
        <v>45508</v>
      </c>
      <c r="H812" s="5" t="str">
        <f t="shared" si="216"/>
        <v>April</v>
      </c>
      <c r="I812" s="5">
        <f t="shared" si="217"/>
        <v>2024</v>
      </c>
      <c r="J812" t="str">
        <f>IF(F812="","Missing Date",
IF(ISNUMBER(F812),"Valid","Invalid Date"))</f>
        <v>Valid</v>
      </c>
      <c r="K812" t="str">
        <f t="shared" si="218"/>
        <v>Valid</v>
      </c>
      <c r="L812">
        <f>G812-F812</f>
        <v>123</v>
      </c>
      <c r="M812" t="s">
        <v>2534</v>
      </c>
      <c r="N812" t="s">
        <v>366</v>
      </c>
      <c r="O812" t="str">
        <f t="shared" si="219"/>
        <v>Kabir Singh</v>
      </c>
      <c r="P812" t="s">
        <v>115</v>
      </c>
      <c r="Q812" t="str">
        <f t="shared" si="220"/>
        <v>Home Office</v>
      </c>
      <c r="R812" t="s">
        <v>73</v>
      </c>
      <c r="S812" t="str">
        <f t="shared" si="221"/>
        <v>West</v>
      </c>
      <c r="T812" t="s">
        <v>235</v>
      </c>
      <c r="U812" t="str">
        <f t="shared" si="222"/>
        <v>Gujarat</v>
      </c>
      <c r="V812" t="s">
        <v>236</v>
      </c>
      <c r="W812" t="str">
        <f t="shared" si="223"/>
        <v>Ahmedabad</v>
      </c>
      <c r="X812" t="s">
        <v>86</v>
      </c>
      <c r="Y812" t="str">
        <f t="shared" si="224"/>
        <v>Technology</v>
      </c>
      <c r="Z812" t="s">
        <v>94</v>
      </c>
      <c r="AA812" t="str">
        <f t="shared" si="225"/>
        <v>Copiers</v>
      </c>
      <c r="AB812" t="s">
        <v>3725</v>
      </c>
      <c r="AC812" t="s">
        <v>56</v>
      </c>
      <c r="AD812" t="str">
        <f t="shared" si="226"/>
        <v>First Class</v>
      </c>
      <c r="AE812">
        <v>1</v>
      </c>
      <c r="AF812">
        <v>3151.85</v>
      </c>
      <c r="AG812">
        <v>0.25</v>
      </c>
      <c r="AH812">
        <v>0.25</v>
      </c>
      <c r="AI812" t="str">
        <f t="shared" si="227"/>
        <v>Valid</v>
      </c>
      <c r="AJ812">
        <v>2363.89</v>
      </c>
      <c r="AK812">
        <f t="shared" si="228"/>
        <v>2363.8874999999998</v>
      </c>
      <c r="AL812">
        <v>1471.51</v>
      </c>
      <c r="AM812">
        <v>892.38</v>
      </c>
      <c r="AN812">
        <f t="shared" si="229"/>
        <v>892.37749999999983</v>
      </c>
      <c r="AO812">
        <f t="shared" si="230"/>
        <v>-1471.51</v>
      </c>
      <c r="AP812" t="s">
        <v>34</v>
      </c>
      <c r="AQ812" t="str">
        <f t="shared" si="231"/>
        <v>Paid</v>
      </c>
      <c r="AR812" t="s">
        <v>35</v>
      </c>
      <c r="AS812" t="str">
        <f t="shared" si="232"/>
        <v>Completed</v>
      </c>
      <c r="AT812" t="str">
        <f t="shared" si="233"/>
        <v>Clean</v>
      </c>
    </row>
    <row r="813" spans="1:46">
      <c r="A813" t="s">
        <v>3726</v>
      </c>
      <c r="B813">
        <f>COUNTIF($D$2:D813,D813)</f>
        <v>1</v>
      </c>
      <c r="C813" t="str">
        <f>IF(COUNTIF($A:$A,A813)=1,
"Unique",
IF(COUNTIFS($A:$A,A813,$N:$N,N813,$AF:$AF,AF813,$AJ:$AJ,AJ813)&gt;1,
"Exact Duplicate",
"Conflicting Duplicate"))</f>
        <v>Unique</v>
      </c>
      <c r="D813" t="s">
        <v>3727</v>
      </c>
      <c r="E813" t="s">
        <v>3728</v>
      </c>
      <c r="F813" s="2">
        <v>45638</v>
      </c>
      <c r="G813" s="2">
        <v>45645</v>
      </c>
      <c r="H813" s="5" t="str">
        <f t="shared" si="216"/>
        <v>December</v>
      </c>
      <c r="I813" s="5">
        <f t="shared" si="217"/>
        <v>2024</v>
      </c>
      <c r="J813" t="str">
        <f>IF(F813="","Missing Date",
IF(ISNUMBER(F813),"Valid","Invalid Date"))</f>
        <v>Valid</v>
      </c>
      <c r="K813" t="str">
        <f t="shared" si="218"/>
        <v>Valid</v>
      </c>
      <c r="L813">
        <f>G813-F813</f>
        <v>7</v>
      </c>
      <c r="M813" t="s">
        <v>3729</v>
      </c>
      <c r="N813" t="s">
        <v>180</v>
      </c>
      <c r="O813" t="str">
        <f t="shared" si="219"/>
        <v>Rohan Mehta</v>
      </c>
      <c r="P813" t="s">
        <v>115</v>
      </c>
      <c r="Q813" t="str">
        <f t="shared" si="220"/>
        <v>Home Office</v>
      </c>
      <c r="R813" t="s">
        <v>27</v>
      </c>
      <c r="S813" t="str">
        <f t="shared" si="221"/>
        <v>North</v>
      </c>
      <c r="T813" t="s">
        <v>323</v>
      </c>
      <c r="U813" t="str">
        <f t="shared" si="222"/>
        <v>Haryana</v>
      </c>
      <c r="V813" t="s">
        <v>324</v>
      </c>
      <c r="W813" t="str">
        <f t="shared" si="223"/>
        <v>Gurugram</v>
      </c>
      <c r="X813" t="s">
        <v>86</v>
      </c>
      <c r="Y813" t="str">
        <f t="shared" si="224"/>
        <v>Technology</v>
      </c>
      <c r="Z813" t="s">
        <v>87</v>
      </c>
      <c r="AA813" t="str">
        <f t="shared" si="225"/>
        <v>Accessories</v>
      </c>
      <c r="AB813" t="s">
        <v>3730</v>
      </c>
      <c r="AC813" t="s">
        <v>56</v>
      </c>
      <c r="AD813" t="str">
        <f t="shared" si="226"/>
        <v>First Class</v>
      </c>
      <c r="AE813">
        <v>2</v>
      </c>
      <c r="AF813">
        <v>1610.75</v>
      </c>
      <c r="AG813">
        <v>0.2</v>
      </c>
      <c r="AH813">
        <v>0.2</v>
      </c>
      <c r="AI813" t="str">
        <f t="shared" si="227"/>
        <v>Valid</v>
      </c>
      <c r="AJ813">
        <v>2577.1999999999998</v>
      </c>
      <c r="AK813">
        <f t="shared" si="228"/>
        <v>2577.2000000000003</v>
      </c>
      <c r="AL813">
        <v>1475.87</v>
      </c>
      <c r="AM813">
        <v>1101.33</v>
      </c>
      <c r="AN813">
        <f t="shared" si="229"/>
        <v>1101.3300000000004</v>
      </c>
      <c r="AO813">
        <f t="shared" si="230"/>
        <v>-1475.87</v>
      </c>
      <c r="AP813" t="s">
        <v>34</v>
      </c>
      <c r="AQ813" t="str">
        <f t="shared" si="231"/>
        <v>Paid</v>
      </c>
      <c r="AR813" t="s">
        <v>35</v>
      </c>
      <c r="AS813" t="str">
        <f t="shared" si="232"/>
        <v>Completed</v>
      </c>
      <c r="AT813" t="str">
        <f t="shared" si="233"/>
        <v>Clean</v>
      </c>
    </row>
    <row r="814" spans="1:46">
      <c r="A814" t="s">
        <v>3731</v>
      </c>
      <c r="B814">
        <f>COUNTIF($D$2:D814,D814)</f>
        <v>2</v>
      </c>
      <c r="C814" t="str">
        <f>IF(COUNTIF($A:$A,A814)=1,
"Unique",
IF(COUNTIFS($A:$A,A814,$N:$N,N814,$AF:$AF,AF814,$AJ:$AJ,AJ814)&gt;1,
"Exact Duplicate",
"Conflicting Duplicate"))</f>
        <v>Unique</v>
      </c>
      <c r="D814" t="s">
        <v>810</v>
      </c>
      <c r="E814" t="s">
        <v>3732</v>
      </c>
      <c r="F814" s="3">
        <v>45458</v>
      </c>
      <c r="G814" s="3">
        <v>45463</v>
      </c>
      <c r="H814" s="5" t="str">
        <f t="shared" si="216"/>
        <v>June</v>
      </c>
      <c r="I814" s="5">
        <f t="shared" si="217"/>
        <v>2024</v>
      </c>
      <c r="J814" t="str">
        <f>IF(F814="","Missing Date",
IF(ISNUMBER(F814),"Valid","Invalid Date"))</f>
        <v>Valid</v>
      </c>
      <c r="K814" t="str">
        <f t="shared" si="218"/>
        <v>Valid</v>
      </c>
      <c r="L814">
        <f>G814-F814</f>
        <v>5</v>
      </c>
      <c r="M814" t="s">
        <v>3733</v>
      </c>
      <c r="N814" t="s">
        <v>168</v>
      </c>
      <c r="O814" t="str">
        <f t="shared" si="219"/>
        <v>Sneha Kapoor</v>
      </c>
      <c r="P814" t="s">
        <v>41</v>
      </c>
      <c r="Q814" t="str">
        <f t="shared" si="220"/>
        <v>Small Business</v>
      </c>
      <c r="R814" t="s">
        <v>42</v>
      </c>
      <c r="S814" t="str">
        <f t="shared" si="221"/>
        <v>East</v>
      </c>
      <c r="T814" t="s">
        <v>311</v>
      </c>
      <c r="U814" t="str">
        <f t="shared" si="222"/>
        <v>Jharkhand</v>
      </c>
      <c r="V814" t="s">
        <v>312</v>
      </c>
      <c r="W814" t="str">
        <f t="shared" si="223"/>
        <v>Ranchi</v>
      </c>
      <c r="X814" t="s">
        <v>45</v>
      </c>
      <c r="Y814" t="str">
        <f t="shared" si="224"/>
        <v>Furniture</v>
      </c>
      <c r="Z814" t="s">
        <v>46</v>
      </c>
      <c r="AA814" t="str">
        <f t="shared" si="225"/>
        <v>Tables</v>
      </c>
      <c r="AB814" t="s">
        <v>3734</v>
      </c>
      <c r="AC814" t="s">
        <v>56</v>
      </c>
      <c r="AD814" t="str">
        <f t="shared" si="226"/>
        <v>First Class</v>
      </c>
      <c r="AE814">
        <v>8</v>
      </c>
      <c r="AF814">
        <v>2228.4699999999998</v>
      </c>
      <c r="AG814">
        <v>0</v>
      </c>
      <c r="AH814">
        <v>0</v>
      </c>
      <c r="AI814" t="str">
        <f t="shared" si="227"/>
        <v>Valid</v>
      </c>
      <c r="AJ814">
        <v>17827.759999999998</v>
      </c>
      <c r="AK814">
        <f t="shared" si="228"/>
        <v>17827.759999999998</v>
      </c>
      <c r="AL814">
        <v>14122.13</v>
      </c>
      <c r="AM814">
        <v>3705.63</v>
      </c>
      <c r="AN814">
        <f t="shared" si="229"/>
        <v>3705.6299999999992</v>
      </c>
      <c r="AO814">
        <f t="shared" si="230"/>
        <v>-14122.13</v>
      </c>
      <c r="AP814" t="s">
        <v>34</v>
      </c>
      <c r="AQ814" t="str">
        <f t="shared" si="231"/>
        <v>Paid</v>
      </c>
      <c r="AR814" t="s">
        <v>35</v>
      </c>
      <c r="AS814" t="str">
        <f t="shared" si="232"/>
        <v>Completed</v>
      </c>
      <c r="AT814" t="str">
        <f t="shared" si="233"/>
        <v>Clean</v>
      </c>
    </row>
    <row r="815" spans="1:46">
      <c r="A815" t="s">
        <v>3735</v>
      </c>
      <c r="B815">
        <f>COUNTIF($D$2:D815,D815)</f>
        <v>6</v>
      </c>
      <c r="C815" t="str">
        <f>IF(COUNTIF($A:$A,A815)=1,
"Unique",
IF(COUNTIFS($A:$A,A815,$N:$N,N815,$AF:$AF,AF815,$AJ:$AJ,AJ815)&gt;1,
"Exact Duplicate",
"Conflicting Duplicate"))</f>
        <v>Unique</v>
      </c>
      <c r="D815" t="s">
        <v>3736</v>
      </c>
      <c r="E815" t="s">
        <v>3737</v>
      </c>
      <c r="F815" s="3">
        <v>45753</v>
      </c>
      <c r="G815" s="2">
        <v>45934</v>
      </c>
      <c r="H815" s="5" t="str">
        <f t="shared" si="216"/>
        <v>April</v>
      </c>
      <c r="I815" s="5">
        <f t="shared" si="217"/>
        <v>2025</v>
      </c>
      <c r="J815" t="str">
        <f>IF(F815="","Missing Date",
IF(ISNUMBER(F815),"Valid","Invalid Date"))</f>
        <v>Valid</v>
      </c>
      <c r="K815" t="str">
        <f t="shared" si="218"/>
        <v>Valid</v>
      </c>
      <c r="L815">
        <f>G815-F815</f>
        <v>181</v>
      </c>
      <c r="M815" t="s">
        <v>3738</v>
      </c>
      <c r="N815" t="s">
        <v>180</v>
      </c>
      <c r="O815" t="str">
        <f t="shared" si="219"/>
        <v>Rohan Mehta</v>
      </c>
      <c r="P815" t="s">
        <v>26</v>
      </c>
      <c r="Q815" t="str">
        <f t="shared" si="220"/>
        <v>Consumer</v>
      </c>
      <c r="R815" t="s">
        <v>42</v>
      </c>
      <c r="S815" t="str">
        <f t="shared" si="221"/>
        <v>East</v>
      </c>
      <c r="T815" t="s">
        <v>43</v>
      </c>
      <c r="U815" t="str">
        <f t="shared" si="222"/>
        <v>Odisha</v>
      </c>
      <c r="V815" t="s">
        <v>44</v>
      </c>
      <c r="W815" t="str">
        <f t="shared" si="223"/>
        <v>Bhubaneswar</v>
      </c>
      <c r="X815" t="s">
        <v>45</v>
      </c>
      <c r="Y815" t="str">
        <f t="shared" si="224"/>
        <v>Furniture</v>
      </c>
      <c r="Z815" t="s">
        <v>204</v>
      </c>
      <c r="AA815" t="str">
        <f t="shared" si="225"/>
        <v>Bookcases</v>
      </c>
      <c r="AB815" t="s">
        <v>1717</v>
      </c>
      <c r="AC815" t="s">
        <v>67</v>
      </c>
      <c r="AD815" t="str">
        <f t="shared" si="226"/>
        <v>Standard Class</v>
      </c>
      <c r="AE815">
        <v>2</v>
      </c>
      <c r="AF815">
        <v>1337.67</v>
      </c>
      <c r="AG815">
        <v>0</v>
      </c>
      <c r="AH815">
        <v>0</v>
      </c>
      <c r="AI815" t="str">
        <f t="shared" si="227"/>
        <v>Valid</v>
      </c>
      <c r="AJ815">
        <v>2675.34</v>
      </c>
      <c r="AK815">
        <f t="shared" si="228"/>
        <v>2675.34</v>
      </c>
      <c r="AL815">
        <v>1595.87</v>
      </c>
      <c r="AM815">
        <v>1079.47</v>
      </c>
      <c r="AN815">
        <f t="shared" si="229"/>
        <v>1079.4700000000003</v>
      </c>
      <c r="AO815">
        <f t="shared" si="230"/>
        <v>-1595.87</v>
      </c>
      <c r="AP815" t="s">
        <v>34</v>
      </c>
      <c r="AQ815" t="str">
        <f t="shared" si="231"/>
        <v>Paid</v>
      </c>
      <c r="AR815" t="s">
        <v>35</v>
      </c>
      <c r="AS815" t="str">
        <f t="shared" si="232"/>
        <v>Completed</v>
      </c>
      <c r="AT815" t="str">
        <f t="shared" si="233"/>
        <v>Clean</v>
      </c>
    </row>
    <row r="816" spans="1:46">
      <c r="A816" t="s">
        <v>3739</v>
      </c>
      <c r="B816">
        <f>COUNTIF($D$2:D816,D816)</f>
        <v>3</v>
      </c>
      <c r="C816" t="str">
        <f>IF(COUNTIF($A:$A,A816)=1,
"Unique",
IF(COUNTIFS($A:$A,A816,$N:$N,N816,$AF:$AF,AF816,$AJ:$AJ,AJ816)&gt;1,
"Exact Duplicate",
"Conflicting Duplicate"))</f>
        <v>Unique</v>
      </c>
      <c r="D816" t="s">
        <v>1371</v>
      </c>
      <c r="E816" t="s">
        <v>583</v>
      </c>
      <c r="F816" s="2">
        <v>45816</v>
      </c>
      <c r="G816" s="3">
        <v>45969</v>
      </c>
      <c r="H816" s="5" t="str">
        <f t="shared" si="216"/>
        <v>June</v>
      </c>
      <c r="I816" s="5">
        <f t="shared" si="217"/>
        <v>2025</v>
      </c>
      <c r="J816" t="str">
        <f>IF(F816="","Missing Date",
IF(ISNUMBER(F816),"Valid","Invalid Date"))</f>
        <v>Valid</v>
      </c>
      <c r="K816" t="str">
        <f t="shared" si="218"/>
        <v>Valid</v>
      </c>
      <c r="L816">
        <f>G816-F816</f>
        <v>153</v>
      </c>
      <c r="M816" t="s">
        <v>3740</v>
      </c>
      <c r="N816" t="s">
        <v>61</v>
      </c>
      <c r="O816" t="str">
        <f t="shared" si="219"/>
        <v>Arjun Bose</v>
      </c>
      <c r="P816" t="s">
        <v>26</v>
      </c>
      <c r="Q816" t="str">
        <f t="shared" si="220"/>
        <v>Consumer</v>
      </c>
      <c r="R816" t="s">
        <v>73</v>
      </c>
      <c r="S816" t="str">
        <f t="shared" si="221"/>
        <v>West</v>
      </c>
      <c r="T816" t="s">
        <v>84</v>
      </c>
      <c r="U816" t="str">
        <f t="shared" si="222"/>
        <v>Madhya Pradesh</v>
      </c>
      <c r="V816" t="s">
        <v>85</v>
      </c>
      <c r="W816" t="str">
        <f t="shared" si="223"/>
        <v>Indore</v>
      </c>
      <c r="X816" t="s">
        <v>30</v>
      </c>
      <c r="Y816" t="str">
        <f t="shared" si="224"/>
        <v>Office Supplies</v>
      </c>
      <c r="Z816" t="s">
        <v>109</v>
      </c>
      <c r="AA816" t="str">
        <f t="shared" si="225"/>
        <v>Labels</v>
      </c>
      <c r="AB816" t="s">
        <v>3741</v>
      </c>
      <c r="AC816" t="s">
        <v>56</v>
      </c>
      <c r="AD816" t="str">
        <f t="shared" si="226"/>
        <v>First Class</v>
      </c>
      <c r="AE816">
        <v>2</v>
      </c>
      <c r="AF816">
        <v>2375.94</v>
      </c>
      <c r="AG816">
        <v>0.25</v>
      </c>
      <c r="AH816">
        <v>0.25</v>
      </c>
      <c r="AI816" t="str">
        <f t="shared" si="227"/>
        <v>Valid</v>
      </c>
      <c r="AJ816">
        <v>3563.91</v>
      </c>
      <c r="AK816">
        <f t="shared" si="228"/>
        <v>3563.91</v>
      </c>
      <c r="AL816">
        <v>2639.7</v>
      </c>
      <c r="AM816">
        <v>924.21</v>
      </c>
      <c r="AN816">
        <f t="shared" si="229"/>
        <v>924.21</v>
      </c>
      <c r="AO816">
        <f t="shared" si="230"/>
        <v>-2639.7</v>
      </c>
      <c r="AP816" t="s">
        <v>34</v>
      </c>
      <c r="AQ816" t="str">
        <f t="shared" si="231"/>
        <v>Paid</v>
      </c>
      <c r="AR816" t="s">
        <v>35</v>
      </c>
      <c r="AS816" t="str">
        <f t="shared" si="232"/>
        <v>Completed</v>
      </c>
      <c r="AT816" t="str">
        <f t="shared" si="233"/>
        <v>Clean</v>
      </c>
    </row>
    <row r="817" spans="1:46">
      <c r="A817" t="s">
        <v>3742</v>
      </c>
      <c r="B817">
        <f>COUNTIF($D$2:D817,D817)</f>
        <v>5</v>
      </c>
      <c r="C817" t="str">
        <f>IF(COUNTIF($A:$A,A817)=1,
"Unique",
IF(COUNTIFS($A:$A,A817,$N:$N,N817,$AF:$AF,AF817,$AJ:$AJ,AJ817)&gt;1,
"Exact Duplicate",
"Conflicting Duplicate"))</f>
        <v>Unique</v>
      </c>
      <c r="D817" t="s">
        <v>2442</v>
      </c>
      <c r="E817" t="s">
        <v>3743</v>
      </c>
      <c r="F817" s="3">
        <v>45383</v>
      </c>
      <c r="G817" s="3">
        <v>45508</v>
      </c>
      <c r="H817" s="5" t="str">
        <f t="shared" si="216"/>
        <v>April</v>
      </c>
      <c r="I817" s="5">
        <f t="shared" si="217"/>
        <v>2024</v>
      </c>
      <c r="J817" t="str">
        <f>IF(F817="","Missing Date",
IF(ISNUMBER(F817),"Valid","Invalid Date"))</f>
        <v>Valid</v>
      </c>
      <c r="K817" t="str">
        <f t="shared" si="218"/>
        <v>Valid</v>
      </c>
      <c r="L817">
        <f>G817-F817</f>
        <v>125</v>
      </c>
      <c r="M817" t="s">
        <v>3744</v>
      </c>
      <c r="N817" t="s">
        <v>210</v>
      </c>
      <c r="O817" t="str">
        <f t="shared" si="219"/>
        <v>Diya Patel</v>
      </c>
      <c r="P817" t="s">
        <v>26</v>
      </c>
      <c r="Q817" t="str">
        <f t="shared" si="220"/>
        <v>Consumer</v>
      </c>
      <c r="R817" t="s">
        <v>42</v>
      </c>
      <c r="S817" t="str">
        <f t="shared" si="221"/>
        <v>East</v>
      </c>
      <c r="T817" t="s">
        <v>43</v>
      </c>
      <c r="U817" t="str">
        <f t="shared" si="222"/>
        <v>Odisha</v>
      </c>
      <c r="V817" t="s">
        <v>44</v>
      </c>
      <c r="W817" t="str">
        <f t="shared" si="223"/>
        <v>Bhubaneswar</v>
      </c>
      <c r="X817" t="s">
        <v>86</v>
      </c>
      <c r="Y817" t="str">
        <f t="shared" si="224"/>
        <v>Technology</v>
      </c>
      <c r="Z817" t="s">
        <v>382</v>
      </c>
      <c r="AA817" t="str">
        <f t="shared" si="225"/>
        <v>Machines</v>
      </c>
      <c r="AB817" t="s">
        <v>3745</v>
      </c>
      <c r="AC817" t="s">
        <v>67</v>
      </c>
      <c r="AD817" t="str">
        <f t="shared" si="226"/>
        <v>Standard Class</v>
      </c>
      <c r="AE817">
        <v>7</v>
      </c>
      <c r="AF817">
        <v>715.81</v>
      </c>
      <c r="AG817">
        <v>0.15</v>
      </c>
      <c r="AH817">
        <v>0.15</v>
      </c>
      <c r="AI817" t="str">
        <f t="shared" si="227"/>
        <v>Valid</v>
      </c>
      <c r="AJ817">
        <v>4259.07</v>
      </c>
      <c r="AK817">
        <f t="shared" si="228"/>
        <v>4259.0694999999996</v>
      </c>
      <c r="AL817">
        <v>3130.32</v>
      </c>
      <c r="AM817">
        <v>1128.75</v>
      </c>
      <c r="AN817">
        <f t="shared" si="229"/>
        <v>1128.7494999999994</v>
      </c>
      <c r="AO817">
        <f t="shared" si="230"/>
        <v>-3130.32</v>
      </c>
      <c r="AP817" t="s">
        <v>137</v>
      </c>
      <c r="AQ817" t="str">
        <f t="shared" si="231"/>
        <v>Pending</v>
      </c>
      <c r="AR817" t="s">
        <v>78</v>
      </c>
      <c r="AS817" t="str">
        <f t="shared" si="232"/>
        <v>Cancelled</v>
      </c>
      <c r="AT817" t="str">
        <f t="shared" si="233"/>
        <v>Clean</v>
      </c>
    </row>
    <row r="818" spans="1:46">
      <c r="A818" t="s">
        <v>3746</v>
      </c>
      <c r="B818">
        <f>COUNTIF($D$2:D818,D818)</f>
        <v>1</v>
      </c>
      <c r="C818" t="str">
        <f>IF(COUNTIF($A:$A,A818)=1,
"Unique",
IF(COUNTIFS($A:$A,A818,$N:$N,N818,$AF:$AF,AF818,$AJ:$AJ,AJ818)&gt;1,
"Exact Duplicate",
"Conflicting Duplicate"))</f>
        <v>Unique</v>
      </c>
      <c r="D818" t="s">
        <v>3747</v>
      </c>
      <c r="E818" t="s">
        <v>3748</v>
      </c>
      <c r="F818" s="3">
        <v>45623</v>
      </c>
      <c r="G818" s="3">
        <v>45626</v>
      </c>
      <c r="H818" s="5" t="str">
        <f t="shared" si="216"/>
        <v>November</v>
      </c>
      <c r="I818" s="5">
        <f t="shared" si="217"/>
        <v>2024</v>
      </c>
      <c r="J818" t="str">
        <f>IF(F818="","Missing Date",
IF(ISNUMBER(F818),"Valid","Invalid Date"))</f>
        <v>Valid</v>
      </c>
      <c r="K818" t="str">
        <f t="shared" si="218"/>
        <v>Valid</v>
      </c>
      <c r="L818">
        <f>G818-F818</f>
        <v>3</v>
      </c>
      <c r="M818" t="s">
        <v>3749</v>
      </c>
      <c r="N818" t="s">
        <v>148</v>
      </c>
      <c r="O818" t="str">
        <f t="shared" si="219"/>
        <v>Rahul Verma</v>
      </c>
      <c r="P818" t="s">
        <v>41</v>
      </c>
      <c r="Q818" t="str">
        <f t="shared" si="220"/>
        <v>Small Business</v>
      </c>
      <c r="R818" t="s">
        <v>42</v>
      </c>
      <c r="S818" t="str">
        <f t="shared" si="221"/>
        <v>East</v>
      </c>
      <c r="T818" t="s">
        <v>311</v>
      </c>
      <c r="U818" t="str">
        <f t="shared" si="222"/>
        <v>Jharkhand</v>
      </c>
      <c r="V818" t="s">
        <v>312</v>
      </c>
      <c r="W818" t="str">
        <f t="shared" si="223"/>
        <v>Ranchi</v>
      </c>
      <c r="X818" t="s">
        <v>45</v>
      </c>
      <c r="Y818" t="str">
        <f t="shared" si="224"/>
        <v>Furniture</v>
      </c>
      <c r="Z818" t="s">
        <v>65</v>
      </c>
      <c r="AA818" t="str">
        <f t="shared" si="225"/>
        <v>Furnishings</v>
      </c>
      <c r="AB818" t="s">
        <v>3750</v>
      </c>
      <c r="AC818" t="s">
        <v>56</v>
      </c>
      <c r="AD818" t="str">
        <f t="shared" si="226"/>
        <v>First Class</v>
      </c>
      <c r="AE818">
        <v>1</v>
      </c>
      <c r="AF818">
        <v>874.3</v>
      </c>
      <c r="AG818">
        <v>0.1</v>
      </c>
      <c r="AH818">
        <v>0.1</v>
      </c>
      <c r="AI818" t="str">
        <f t="shared" si="227"/>
        <v>Valid</v>
      </c>
      <c r="AJ818">
        <v>786.87</v>
      </c>
      <c r="AK818">
        <f t="shared" si="228"/>
        <v>786.87</v>
      </c>
      <c r="AL818">
        <v>498.5</v>
      </c>
      <c r="AM818">
        <v>288.37</v>
      </c>
      <c r="AN818">
        <f t="shared" si="229"/>
        <v>288.37</v>
      </c>
      <c r="AO818">
        <f t="shared" si="230"/>
        <v>-498.5</v>
      </c>
      <c r="AP818" t="s">
        <v>34</v>
      </c>
      <c r="AQ818" t="str">
        <f t="shared" si="231"/>
        <v>Paid</v>
      </c>
      <c r="AR818" t="s">
        <v>35</v>
      </c>
      <c r="AS818" t="str">
        <f t="shared" si="232"/>
        <v>Completed</v>
      </c>
      <c r="AT818" t="str">
        <f t="shared" si="233"/>
        <v>Clean</v>
      </c>
    </row>
    <row r="819" spans="1:46">
      <c r="A819" t="s">
        <v>3751</v>
      </c>
      <c r="B819">
        <f>COUNTIF($D$2:D819,D819)</f>
        <v>1</v>
      </c>
      <c r="C819" t="str">
        <f>IF(COUNTIF($A:$A,A819)=1,
"Unique",
IF(COUNTIFS($A:$A,A819,$N:$N,N819,$AF:$AF,AF819,$AJ:$AJ,AJ819)&gt;1,
"Exact Duplicate",
"Conflicting Duplicate"))</f>
        <v>Unique</v>
      </c>
      <c r="D819" t="s">
        <v>3752</v>
      </c>
      <c r="E819" t="s">
        <v>3753</v>
      </c>
      <c r="F819" s="2">
        <v>45781</v>
      </c>
      <c r="G819" s="3">
        <v>45752</v>
      </c>
      <c r="H819" s="5" t="str">
        <f t="shared" si="216"/>
        <v>May</v>
      </c>
      <c r="I819" s="5">
        <f t="shared" si="217"/>
        <v>2025</v>
      </c>
      <c r="J819" t="str">
        <f>IF(F819="","Missing Date",
IF(ISNUMBER(F819),"Valid","Invalid Date"))</f>
        <v>Valid</v>
      </c>
      <c r="K819" t="str">
        <f t="shared" si="218"/>
        <v>Valid</v>
      </c>
      <c r="L819">
        <f>G819-F819</f>
        <v>-29</v>
      </c>
      <c r="M819" t="s">
        <v>3754</v>
      </c>
      <c r="N819" t="s">
        <v>168</v>
      </c>
      <c r="O819" t="str">
        <f t="shared" si="219"/>
        <v>Sneha Kapoor</v>
      </c>
      <c r="P819" t="s">
        <v>26</v>
      </c>
      <c r="Q819" t="str">
        <f t="shared" si="220"/>
        <v>Consumer</v>
      </c>
      <c r="R819" t="s">
        <v>42</v>
      </c>
      <c r="S819" t="str">
        <f t="shared" si="221"/>
        <v>East</v>
      </c>
      <c r="T819" t="s">
        <v>186</v>
      </c>
      <c r="U819" t="str">
        <f t="shared" si="222"/>
        <v>Bihar</v>
      </c>
      <c r="V819" t="s">
        <v>187</v>
      </c>
      <c r="W819" t="str">
        <f t="shared" si="223"/>
        <v>Patna</v>
      </c>
      <c r="X819" t="s">
        <v>30</v>
      </c>
      <c r="Y819" t="str">
        <f t="shared" si="224"/>
        <v>Office Supplies</v>
      </c>
      <c r="Z819" t="s">
        <v>198</v>
      </c>
      <c r="AA819" t="str">
        <f t="shared" si="225"/>
        <v>Binders</v>
      </c>
      <c r="AB819" t="s">
        <v>3755</v>
      </c>
      <c r="AC819" t="s">
        <v>67</v>
      </c>
      <c r="AD819" t="str">
        <f t="shared" si="226"/>
        <v>Standard Class</v>
      </c>
      <c r="AE819">
        <v>6</v>
      </c>
      <c r="AF819">
        <v>1829.69</v>
      </c>
      <c r="AG819">
        <v>0.25</v>
      </c>
      <c r="AH819">
        <v>0.25</v>
      </c>
      <c r="AI819" t="str">
        <f t="shared" si="227"/>
        <v>Valid</v>
      </c>
      <c r="AJ819">
        <v>8233.6</v>
      </c>
      <c r="AK819">
        <f t="shared" si="228"/>
        <v>8233.6049999999996</v>
      </c>
      <c r="AL819">
        <v>4713.79</v>
      </c>
      <c r="AM819">
        <v>3519.81</v>
      </c>
      <c r="AN819">
        <f t="shared" si="229"/>
        <v>3519.8149999999996</v>
      </c>
      <c r="AO819">
        <f t="shared" si="230"/>
        <v>-4713.79</v>
      </c>
      <c r="AP819" t="s">
        <v>34</v>
      </c>
      <c r="AQ819" t="str">
        <f t="shared" si="231"/>
        <v>Paid</v>
      </c>
      <c r="AR819" t="s">
        <v>35</v>
      </c>
      <c r="AS819" t="str">
        <f t="shared" si="232"/>
        <v>Completed</v>
      </c>
      <c r="AT819" t="str">
        <f t="shared" si="233"/>
        <v>Clean</v>
      </c>
    </row>
    <row r="820" spans="1:46">
      <c r="A820" t="s">
        <v>3756</v>
      </c>
      <c r="B820">
        <f>COUNTIF($D$2:D820,D820)</f>
        <v>1</v>
      </c>
      <c r="C820" t="str">
        <f>IF(COUNTIF($A:$A,A820)=1,
"Unique",
IF(COUNTIFS($A:$A,A820,$N:$N,N820,$AF:$AF,AF820,$AJ:$AJ,AJ820)&gt;1,
"Exact Duplicate",
"Conflicting Duplicate"))</f>
        <v>Unique</v>
      </c>
      <c r="D820" t="s">
        <v>3757</v>
      </c>
      <c r="E820" t="s">
        <v>3238</v>
      </c>
      <c r="F820" s="2">
        <v>45564</v>
      </c>
      <c r="G820" s="3">
        <v>45422</v>
      </c>
      <c r="H820" s="5" t="str">
        <f t="shared" si="216"/>
        <v>September</v>
      </c>
      <c r="I820" s="5">
        <f t="shared" si="217"/>
        <v>2024</v>
      </c>
      <c r="J820" t="str">
        <f>IF(F820="","Missing Date",
IF(ISNUMBER(F820),"Valid","Invalid Date"))</f>
        <v>Valid</v>
      </c>
      <c r="K820" t="str">
        <f t="shared" si="218"/>
        <v>Valid</v>
      </c>
      <c r="L820">
        <f>G820-F820</f>
        <v>-142</v>
      </c>
      <c r="M820" t="s">
        <v>3758</v>
      </c>
      <c r="N820" t="s">
        <v>142</v>
      </c>
      <c r="O820" t="str">
        <f t="shared" si="219"/>
        <v>Priya Menon</v>
      </c>
      <c r="P820" t="s">
        <v>41</v>
      </c>
      <c r="Q820" t="str">
        <f t="shared" si="220"/>
        <v>Small Business</v>
      </c>
      <c r="R820" t="s">
        <v>73</v>
      </c>
      <c r="S820" t="str">
        <f t="shared" si="221"/>
        <v>West</v>
      </c>
      <c r="T820" t="s">
        <v>74</v>
      </c>
      <c r="U820" t="str">
        <f t="shared" si="222"/>
        <v>Maharashtra</v>
      </c>
      <c r="V820" t="s">
        <v>75</v>
      </c>
      <c r="W820" t="str">
        <f t="shared" si="223"/>
        <v>Mumbai</v>
      </c>
      <c r="X820" t="s">
        <v>30</v>
      </c>
      <c r="Y820" t="str">
        <f t="shared" si="224"/>
        <v>Office Supplies</v>
      </c>
      <c r="Z820" t="s">
        <v>109</v>
      </c>
      <c r="AA820" t="str">
        <f t="shared" si="225"/>
        <v>Labels</v>
      </c>
      <c r="AB820" t="s">
        <v>3759</v>
      </c>
      <c r="AC820" t="s">
        <v>56</v>
      </c>
      <c r="AD820" t="str">
        <f t="shared" si="226"/>
        <v>First Class</v>
      </c>
      <c r="AE820">
        <v>8</v>
      </c>
      <c r="AF820">
        <v>1981.04</v>
      </c>
      <c r="AG820">
        <v>-0.14000000000000001</v>
      </c>
      <c r="AH820">
        <v>-0.14000000000000001</v>
      </c>
      <c r="AI820" t="str">
        <f t="shared" si="227"/>
        <v>Invalid - Negative Discount</v>
      </c>
      <c r="AJ820">
        <v>12678.66</v>
      </c>
      <c r="AK820">
        <f t="shared" si="228"/>
        <v>18067.084800000001</v>
      </c>
      <c r="AL820">
        <v>10088.65</v>
      </c>
      <c r="AM820">
        <v>2590.0100000000002</v>
      </c>
      <c r="AN820">
        <f t="shared" si="229"/>
        <v>7978.4348000000009</v>
      </c>
      <c r="AO820">
        <f t="shared" si="230"/>
        <v>-10088.65</v>
      </c>
      <c r="AP820" t="s">
        <v>34</v>
      </c>
      <c r="AQ820" t="str">
        <f t="shared" si="231"/>
        <v>Paid</v>
      </c>
      <c r="AR820" t="s">
        <v>35</v>
      </c>
      <c r="AS820" t="str">
        <f t="shared" si="232"/>
        <v>Completed</v>
      </c>
      <c r="AT820" t="str">
        <f t="shared" si="233"/>
        <v>Clean</v>
      </c>
    </row>
    <row r="821" spans="1:46">
      <c r="A821" t="s">
        <v>3760</v>
      </c>
      <c r="B821">
        <f>COUNTIF($D$2:D821,D821)</f>
        <v>2</v>
      </c>
      <c r="C821" t="str">
        <f>IF(COUNTIF($A:$A,A821)=1,
"Unique",
IF(COUNTIFS($A:$A,A821,$N:$N,N821,$AF:$AF,AF821,$AJ:$AJ,AJ821)&gt;1,
"Exact Duplicate",
"Conflicting Duplicate"))</f>
        <v>Unique</v>
      </c>
      <c r="D821" t="s">
        <v>1594</v>
      </c>
      <c r="E821" t="s">
        <v>3761</v>
      </c>
      <c r="F821" s="3">
        <v>45504</v>
      </c>
      <c r="G821" s="3">
        <v>45504</v>
      </c>
      <c r="H821" s="5" t="str">
        <f t="shared" si="216"/>
        <v>July</v>
      </c>
      <c r="I821" s="5">
        <f t="shared" si="217"/>
        <v>2024</v>
      </c>
      <c r="J821" t="str">
        <f>IF(F821="","Missing Date",
IF(ISNUMBER(F821),"Valid","Invalid Date"))</f>
        <v>Valid</v>
      </c>
      <c r="K821" t="str">
        <f t="shared" si="218"/>
        <v>Valid</v>
      </c>
      <c r="L821">
        <f>G821-F821</f>
        <v>0</v>
      </c>
      <c r="M821" t="s">
        <v>3762</v>
      </c>
      <c r="N821" t="s">
        <v>25</v>
      </c>
      <c r="O821" t="str">
        <f t="shared" si="219"/>
        <v>Karan Malhotra</v>
      </c>
      <c r="P821" t="s">
        <v>115</v>
      </c>
      <c r="Q821" t="str">
        <f t="shared" si="220"/>
        <v>Home Office</v>
      </c>
      <c r="R821" t="s">
        <v>62</v>
      </c>
      <c r="S821" t="str">
        <f t="shared" si="221"/>
        <v>South</v>
      </c>
      <c r="T821" t="s">
        <v>242</v>
      </c>
      <c r="U821" t="str">
        <f t="shared" si="222"/>
        <v>Kerala</v>
      </c>
      <c r="V821" t="s">
        <v>243</v>
      </c>
      <c r="W821" t="str">
        <f t="shared" si="223"/>
        <v>Kochi</v>
      </c>
      <c r="X821" t="s">
        <v>86</v>
      </c>
      <c r="Y821" t="str">
        <f t="shared" si="224"/>
        <v>Technology</v>
      </c>
      <c r="Z821" t="s">
        <v>3763</v>
      </c>
      <c r="AA821" t="str">
        <f t="shared" si="225"/>
        <v>Machines</v>
      </c>
      <c r="AB821" t="s">
        <v>3764</v>
      </c>
      <c r="AC821" t="s">
        <v>67</v>
      </c>
      <c r="AD821" t="str">
        <f t="shared" si="226"/>
        <v>Standard Class</v>
      </c>
      <c r="AE821">
        <v>8</v>
      </c>
      <c r="AF821">
        <v>4246.01</v>
      </c>
      <c r="AG821">
        <v>0</v>
      </c>
      <c r="AH821">
        <v>0</v>
      </c>
      <c r="AI821" t="str">
        <f t="shared" si="227"/>
        <v>Valid</v>
      </c>
      <c r="AJ821">
        <v>33968.080000000002</v>
      </c>
      <c r="AK821">
        <f t="shared" si="228"/>
        <v>33968.080000000002</v>
      </c>
      <c r="AL821">
        <v>26902.44</v>
      </c>
      <c r="AM821">
        <v>7065.64</v>
      </c>
      <c r="AN821">
        <f t="shared" si="229"/>
        <v>7065.6400000000031</v>
      </c>
      <c r="AO821">
        <f t="shared" si="230"/>
        <v>-26902.44</v>
      </c>
      <c r="AP821" t="s">
        <v>200</v>
      </c>
      <c r="AQ821" t="str">
        <f t="shared" si="231"/>
        <v>Failed</v>
      </c>
      <c r="AR821" t="s">
        <v>78</v>
      </c>
      <c r="AS821" t="str">
        <f t="shared" si="232"/>
        <v>Cancelled</v>
      </c>
      <c r="AT821" t="str">
        <f t="shared" si="233"/>
        <v>Clean</v>
      </c>
    </row>
    <row r="822" spans="1:46">
      <c r="A822" t="s">
        <v>3765</v>
      </c>
      <c r="B822">
        <f>COUNTIF($D$2:D822,D822)</f>
        <v>2</v>
      </c>
      <c r="C822" t="str">
        <f>IF(COUNTIF($A:$A,A822)=1,
"Unique",
IF(COUNTIFS($A:$A,A822,$N:$N,N822,$AF:$AF,AF822,$AJ:$AJ,AJ822)&gt;1,
"Exact Duplicate",
"Conflicting Duplicate"))</f>
        <v>Unique</v>
      </c>
      <c r="D822" t="s">
        <v>3766</v>
      </c>
      <c r="E822" t="s">
        <v>3767</v>
      </c>
      <c r="F822" s="3">
        <v>45810</v>
      </c>
      <c r="G822" s="3">
        <v>45932</v>
      </c>
      <c r="H822" s="5" t="str">
        <f t="shared" si="216"/>
        <v>June</v>
      </c>
      <c r="I822" s="5">
        <f t="shared" si="217"/>
        <v>2025</v>
      </c>
      <c r="J822" t="str">
        <f>IF(F822="","Missing Date",
IF(ISNUMBER(F822),"Valid","Invalid Date"))</f>
        <v>Valid</v>
      </c>
      <c r="K822" t="str">
        <f t="shared" si="218"/>
        <v>Valid</v>
      </c>
      <c r="L822">
        <f>G822-F822</f>
        <v>122</v>
      </c>
      <c r="M822" t="s">
        <v>3768</v>
      </c>
      <c r="N822" t="s">
        <v>72</v>
      </c>
      <c r="O822" t="str">
        <f t="shared" si="219"/>
        <v>Ananya Rao</v>
      </c>
      <c r="P822" t="s">
        <v>115</v>
      </c>
      <c r="Q822" t="str">
        <f t="shared" si="220"/>
        <v>Home Office</v>
      </c>
      <c r="R822" t="s">
        <v>27</v>
      </c>
      <c r="S822" t="str">
        <f t="shared" si="221"/>
        <v>North</v>
      </c>
      <c r="T822" t="s">
        <v>174</v>
      </c>
      <c r="U822" t="str">
        <f t="shared" si="222"/>
        <v>Uttar Pradesh</v>
      </c>
      <c r="V822" t="s">
        <v>175</v>
      </c>
      <c r="W822" t="str">
        <f t="shared" si="223"/>
        <v>Noida</v>
      </c>
      <c r="X822" t="s">
        <v>45</v>
      </c>
      <c r="Y822" t="str">
        <f t="shared" si="224"/>
        <v>Furniture</v>
      </c>
      <c r="Z822" t="s">
        <v>204</v>
      </c>
      <c r="AA822" t="str">
        <f t="shared" si="225"/>
        <v>Bookcases</v>
      </c>
      <c r="AB822" t="s">
        <v>3769</v>
      </c>
      <c r="AC822" t="s">
        <v>67</v>
      </c>
      <c r="AD822" t="str">
        <f t="shared" si="226"/>
        <v>Standard Class</v>
      </c>
      <c r="AE822">
        <v>2</v>
      </c>
      <c r="AF822">
        <v>319.57</v>
      </c>
      <c r="AG822">
        <v>0.2</v>
      </c>
      <c r="AH822">
        <v>0.2</v>
      </c>
      <c r="AI822" t="str">
        <f t="shared" si="227"/>
        <v>Valid</v>
      </c>
      <c r="AJ822">
        <v>511.31</v>
      </c>
      <c r="AK822">
        <f t="shared" si="228"/>
        <v>511.31200000000001</v>
      </c>
      <c r="AL822">
        <v>436.43</v>
      </c>
      <c r="AM822">
        <v>74.88</v>
      </c>
      <c r="AN822">
        <f t="shared" si="229"/>
        <v>74.882000000000005</v>
      </c>
      <c r="AO822">
        <f t="shared" si="230"/>
        <v>-436.43</v>
      </c>
      <c r="AP822" t="s">
        <v>34</v>
      </c>
      <c r="AQ822" t="str">
        <f t="shared" si="231"/>
        <v>Paid</v>
      </c>
      <c r="AR822" t="s">
        <v>35</v>
      </c>
      <c r="AS822" t="str">
        <f t="shared" si="232"/>
        <v>Completed</v>
      </c>
      <c r="AT822" t="str">
        <f t="shared" si="233"/>
        <v>Clean</v>
      </c>
    </row>
    <row r="823" spans="1:46">
      <c r="A823" t="s">
        <v>3770</v>
      </c>
      <c r="B823">
        <f>COUNTIF($D$2:D823,D823)</f>
        <v>2</v>
      </c>
      <c r="C823" t="str">
        <f>IF(COUNTIF($A:$A,A823)=1,
"Unique",
IF(COUNTIFS($A:$A,A823,$N:$N,N823,$AF:$AF,AF823,$AJ:$AJ,AJ823)&gt;1,
"Exact Duplicate",
"Conflicting Duplicate"))</f>
        <v>Unique</v>
      </c>
      <c r="D823" t="s">
        <v>3771</v>
      </c>
      <c r="E823" t="s">
        <v>3772</v>
      </c>
      <c r="F823" s="3">
        <v>45358</v>
      </c>
      <c r="G823" s="3">
        <v>45450</v>
      </c>
      <c r="H823" s="5" t="str">
        <f t="shared" si="216"/>
        <v>March</v>
      </c>
      <c r="I823" s="5">
        <f t="shared" si="217"/>
        <v>2024</v>
      </c>
      <c r="J823" t="str">
        <f>IF(F823="","Missing Date",
IF(ISNUMBER(F823),"Valid","Invalid Date"))</f>
        <v>Valid</v>
      </c>
      <c r="K823" t="str">
        <f t="shared" si="218"/>
        <v>Valid</v>
      </c>
      <c r="L823">
        <f>G823-F823</f>
        <v>92</v>
      </c>
      <c r="M823" t="s">
        <v>3773</v>
      </c>
      <c r="N823" t="s">
        <v>162</v>
      </c>
      <c r="O823" t="str">
        <f t="shared" si="219"/>
        <v>Aarav Sharma</v>
      </c>
      <c r="P823" t="s">
        <v>108</v>
      </c>
      <c r="Q823" t="str">
        <f t="shared" si="220"/>
        <v>Corporate</v>
      </c>
      <c r="R823" t="s">
        <v>62</v>
      </c>
      <c r="S823" t="str">
        <f t="shared" si="221"/>
        <v>South</v>
      </c>
      <c r="T823" t="s">
        <v>229</v>
      </c>
      <c r="U823" t="str">
        <f t="shared" si="222"/>
        <v>Karnataka</v>
      </c>
      <c r="V823" t="s">
        <v>230</v>
      </c>
      <c r="W823" t="str">
        <f t="shared" si="223"/>
        <v>Bengaluru</v>
      </c>
      <c r="X823" t="s">
        <v>86</v>
      </c>
      <c r="Y823" t="str">
        <f t="shared" si="224"/>
        <v>Technology</v>
      </c>
      <c r="Z823" t="s">
        <v>87</v>
      </c>
      <c r="AA823" t="str">
        <f t="shared" si="225"/>
        <v>Accessories</v>
      </c>
      <c r="AB823" t="s">
        <v>3774</v>
      </c>
      <c r="AC823" t="s">
        <v>56</v>
      </c>
      <c r="AD823" t="str">
        <f t="shared" si="226"/>
        <v>First Class</v>
      </c>
      <c r="AE823">
        <v>7</v>
      </c>
      <c r="AF823">
        <v>1942.49</v>
      </c>
      <c r="AG823">
        <v>0.2</v>
      </c>
      <c r="AH823">
        <v>0.2</v>
      </c>
      <c r="AI823" t="str">
        <f t="shared" si="227"/>
        <v>Valid</v>
      </c>
      <c r="AJ823">
        <v>10877.94</v>
      </c>
      <c r="AK823">
        <f t="shared" si="228"/>
        <v>10877.944000000001</v>
      </c>
      <c r="AL823">
        <v>9110.14</v>
      </c>
      <c r="AM823">
        <v>1767.8</v>
      </c>
      <c r="AN823">
        <f t="shared" si="229"/>
        <v>1767.8040000000019</v>
      </c>
      <c r="AO823">
        <f t="shared" si="230"/>
        <v>-9110.14</v>
      </c>
      <c r="AP823" t="s">
        <v>34</v>
      </c>
      <c r="AQ823" t="str">
        <f t="shared" si="231"/>
        <v>Paid</v>
      </c>
      <c r="AR823" t="s">
        <v>35</v>
      </c>
      <c r="AS823" t="str">
        <f t="shared" si="232"/>
        <v>Completed</v>
      </c>
      <c r="AT823" t="str">
        <f t="shared" si="233"/>
        <v>Clean</v>
      </c>
    </row>
    <row r="824" spans="1:46">
      <c r="A824" t="s">
        <v>3775</v>
      </c>
      <c r="B824">
        <f>COUNTIF($D$2:D824,D824)</f>
        <v>1</v>
      </c>
      <c r="C824" t="str">
        <f>IF(COUNTIF($A:$A,A824)=1,
"Unique",
IF(COUNTIFS($A:$A,A824,$N:$N,N824,$AF:$AF,AF824,$AJ:$AJ,AJ824)&gt;1,
"Exact Duplicate",
"Conflicting Duplicate"))</f>
        <v>Unique</v>
      </c>
      <c r="D824" t="s">
        <v>3776</v>
      </c>
      <c r="E824" t="s">
        <v>3777</v>
      </c>
      <c r="F824" s="3">
        <v>45577</v>
      </c>
      <c r="G824" s="2">
        <v>45514</v>
      </c>
      <c r="H824" s="5" t="str">
        <f t="shared" si="216"/>
        <v>October</v>
      </c>
      <c r="I824" s="5">
        <f t="shared" si="217"/>
        <v>2024</v>
      </c>
      <c r="J824" t="str">
        <f>IF(F824="","Missing Date",
IF(ISNUMBER(F824),"Valid","Invalid Date"))</f>
        <v>Valid</v>
      </c>
      <c r="K824" t="str">
        <f t="shared" si="218"/>
        <v>Valid</v>
      </c>
      <c r="L824">
        <f>G824-F824</f>
        <v>-63</v>
      </c>
      <c r="M824" t="s">
        <v>3778</v>
      </c>
      <c r="N824" t="s">
        <v>40</v>
      </c>
      <c r="O824" t="str">
        <f t="shared" si="219"/>
        <v>Mira Das</v>
      </c>
      <c r="P824" t="s">
        <v>108</v>
      </c>
      <c r="Q824" t="str">
        <f t="shared" si="220"/>
        <v>Corporate</v>
      </c>
      <c r="R824" t="s">
        <v>42</v>
      </c>
      <c r="S824" t="str">
        <f t="shared" si="221"/>
        <v>East</v>
      </c>
      <c r="T824" t="s">
        <v>216</v>
      </c>
      <c r="U824" t="str">
        <f t="shared" si="222"/>
        <v>Assam</v>
      </c>
      <c r="V824" t="s">
        <v>217</v>
      </c>
      <c r="W824" t="str">
        <f t="shared" si="223"/>
        <v>Guwahati</v>
      </c>
      <c r="X824" t="s">
        <v>45</v>
      </c>
      <c r="Y824" t="str">
        <f t="shared" si="224"/>
        <v>Furniture</v>
      </c>
      <c r="Z824" t="s">
        <v>65</v>
      </c>
      <c r="AA824" t="str">
        <f t="shared" si="225"/>
        <v>Furnishings</v>
      </c>
      <c r="AB824" t="s">
        <v>3779</v>
      </c>
      <c r="AC824" t="s">
        <v>33</v>
      </c>
      <c r="AD824" t="str">
        <f t="shared" si="226"/>
        <v>Second Class</v>
      </c>
      <c r="AE824">
        <v>4</v>
      </c>
      <c r="AF824">
        <v>3202.04</v>
      </c>
      <c r="AG824">
        <v>0.2</v>
      </c>
      <c r="AH824">
        <v>0.2</v>
      </c>
      <c r="AI824" t="str">
        <f t="shared" si="227"/>
        <v>Valid</v>
      </c>
      <c r="AJ824">
        <v>10246.530000000001</v>
      </c>
      <c r="AK824">
        <f t="shared" si="228"/>
        <v>10246.528</v>
      </c>
      <c r="AL824">
        <v>8634.42</v>
      </c>
      <c r="AM824">
        <v>1612.11</v>
      </c>
      <c r="AN824">
        <f t="shared" si="229"/>
        <v>1612.1080000000002</v>
      </c>
      <c r="AO824">
        <f t="shared" si="230"/>
        <v>-8634.42</v>
      </c>
      <c r="AP824" t="s">
        <v>137</v>
      </c>
      <c r="AQ824" t="str">
        <f t="shared" si="231"/>
        <v>Pending</v>
      </c>
      <c r="AR824" t="s">
        <v>125</v>
      </c>
      <c r="AS824" t="str">
        <f t="shared" si="232"/>
        <v>Returned</v>
      </c>
      <c r="AT824" t="str">
        <f t="shared" si="233"/>
        <v>Clean</v>
      </c>
    </row>
    <row r="825" spans="1:46">
      <c r="A825" t="s">
        <v>3780</v>
      </c>
      <c r="B825">
        <f>COUNTIF($D$2:D825,D825)</f>
        <v>1</v>
      </c>
      <c r="C825" t="str">
        <f>IF(COUNTIF($A:$A,A825)=1,
"Unique",
IF(COUNTIFS($A:$A,A825,$N:$N,N825,$AF:$AF,AF825,$AJ:$AJ,AJ825)&gt;1,
"Exact Duplicate",
"Conflicting Duplicate"))</f>
        <v>Unique</v>
      </c>
      <c r="D825" t="s">
        <v>3781</v>
      </c>
      <c r="E825" t="s">
        <v>2178</v>
      </c>
      <c r="F825" s="3">
        <v>45809</v>
      </c>
      <c r="G825" s="2">
        <v>45992</v>
      </c>
      <c r="H825" s="5" t="str">
        <f t="shared" si="216"/>
        <v>June</v>
      </c>
      <c r="I825" s="5">
        <f t="shared" si="217"/>
        <v>2025</v>
      </c>
      <c r="J825" t="str">
        <f>IF(F825="","Missing Date",
IF(ISNUMBER(F825),"Valid","Invalid Date"))</f>
        <v>Valid</v>
      </c>
      <c r="K825" t="str">
        <f t="shared" si="218"/>
        <v>Valid</v>
      </c>
      <c r="L825">
        <f>G825-F825</f>
        <v>183</v>
      </c>
      <c r="M825" t="s">
        <v>3782</v>
      </c>
      <c r="N825" t="s">
        <v>40</v>
      </c>
      <c r="O825" t="str">
        <f t="shared" si="219"/>
        <v>Mira Das</v>
      </c>
      <c r="P825" t="s">
        <v>115</v>
      </c>
      <c r="Q825" t="str">
        <f t="shared" si="220"/>
        <v>Home Office</v>
      </c>
      <c r="R825" t="s">
        <v>73</v>
      </c>
      <c r="S825" t="str">
        <f t="shared" si="221"/>
        <v>West</v>
      </c>
      <c r="T825" t="s">
        <v>249</v>
      </c>
      <c r="U825" t="str">
        <f t="shared" si="222"/>
        <v>Goa</v>
      </c>
      <c r="V825" t="s">
        <v>250</v>
      </c>
      <c r="W825" t="str">
        <f t="shared" si="223"/>
        <v>Panaji</v>
      </c>
      <c r="X825" t="s">
        <v>30</v>
      </c>
      <c r="Y825" t="str">
        <f t="shared" si="224"/>
        <v>Office Supplies</v>
      </c>
      <c r="Z825" t="s">
        <v>31</v>
      </c>
      <c r="AA825" t="str">
        <f t="shared" si="225"/>
        <v>Paper</v>
      </c>
      <c r="AB825" t="s">
        <v>3783</v>
      </c>
      <c r="AC825" t="s">
        <v>48</v>
      </c>
      <c r="AD825" t="str">
        <f t="shared" si="226"/>
        <v>Same Day</v>
      </c>
      <c r="AE825">
        <v>3</v>
      </c>
      <c r="AF825">
        <v>668.33</v>
      </c>
      <c r="AG825">
        <v>0.15</v>
      </c>
      <c r="AH825">
        <v>0.15</v>
      </c>
      <c r="AI825" t="str">
        <f t="shared" si="227"/>
        <v>Valid</v>
      </c>
      <c r="AJ825">
        <v>1704.24</v>
      </c>
      <c r="AK825">
        <f t="shared" si="228"/>
        <v>1704.2415000000001</v>
      </c>
      <c r="AL825">
        <v>957.55</v>
      </c>
      <c r="AM825">
        <v>746.69</v>
      </c>
      <c r="AN825">
        <f t="shared" si="229"/>
        <v>746.69150000000013</v>
      </c>
      <c r="AO825">
        <f t="shared" si="230"/>
        <v>-957.55</v>
      </c>
      <c r="AP825" t="s">
        <v>34</v>
      </c>
      <c r="AQ825" t="str">
        <f t="shared" si="231"/>
        <v>Paid</v>
      </c>
      <c r="AR825" t="s">
        <v>35</v>
      </c>
      <c r="AS825" t="str">
        <f t="shared" si="232"/>
        <v>Completed</v>
      </c>
      <c r="AT825" t="str">
        <f t="shared" si="233"/>
        <v>Clean</v>
      </c>
    </row>
    <row r="826" spans="1:46">
      <c r="A826" t="s">
        <v>3784</v>
      </c>
      <c r="B826">
        <f>COUNTIF($D$2:D826,D826)</f>
        <v>1</v>
      </c>
      <c r="C826" t="str">
        <f>IF(COUNTIF($A:$A,A826)=1,
"Unique",
IF(COUNTIFS($A:$A,A826,$N:$N,N826,$AF:$AF,AF826,$AJ:$AJ,AJ826)&gt;1,
"Exact Duplicate",
"Conflicting Duplicate"))</f>
        <v>Unique</v>
      </c>
      <c r="D826" t="s">
        <v>3785</v>
      </c>
      <c r="E826" t="s">
        <v>2115</v>
      </c>
      <c r="F826" s="3">
        <v>45737</v>
      </c>
      <c r="G826" s="2">
        <v>45738</v>
      </c>
      <c r="H826" s="5" t="str">
        <f t="shared" si="216"/>
        <v>March</v>
      </c>
      <c r="I826" s="5">
        <f t="shared" si="217"/>
        <v>2025</v>
      </c>
      <c r="J826" t="str">
        <f>IF(F826="","Missing Date",
IF(ISNUMBER(F826),"Valid","Invalid Date"))</f>
        <v>Valid</v>
      </c>
      <c r="K826" t="str">
        <f t="shared" si="218"/>
        <v>Valid</v>
      </c>
      <c r="L826">
        <f>G826-F826</f>
        <v>1</v>
      </c>
      <c r="M826" t="s">
        <v>3786</v>
      </c>
      <c r="N826" t="s">
        <v>142</v>
      </c>
      <c r="O826" t="str">
        <f t="shared" si="219"/>
        <v>Priya Menon</v>
      </c>
      <c r="P826" t="s">
        <v>26</v>
      </c>
      <c r="Q826" t="str">
        <f t="shared" si="220"/>
        <v>Consumer</v>
      </c>
      <c r="R826" t="s">
        <v>73</v>
      </c>
      <c r="S826" t="str">
        <f t="shared" si="221"/>
        <v>West</v>
      </c>
      <c r="T826" t="s">
        <v>249</v>
      </c>
      <c r="U826" t="str">
        <f t="shared" si="222"/>
        <v>Goa</v>
      </c>
      <c r="V826" t="s">
        <v>250</v>
      </c>
      <c r="W826" t="str">
        <f t="shared" si="223"/>
        <v>Panaji</v>
      </c>
      <c r="X826" t="s">
        <v>30</v>
      </c>
      <c r="Y826" t="str">
        <f t="shared" si="224"/>
        <v>Office Supplies</v>
      </c>
      <c r="Z826" t="s">
        <v>31</v>
      </c>
      <c r="AA826" t="str">
        <f t="shared" si="225"/>
        <v>Paper</v>
      </c>
      <c r="AB826" t="s">
        <v>3787</v>
      </c>
      <c r="AC826" t="s">
        <v>56</v>
      </c>
      <c r="AD826" t="str">
        <f t="shared" si="226"/>
        <v>First Class</v>
      </c>
      <c r="AE826">
        <v>8</v>
      </c>
      <c r="AF826">
        <v>4436.74</v>
      </c>
      <c r="AG826">
        <v>0.05</v>
      </c>
      <c r="AH826">
        <v>0.05</v>
      </c>
      <c r="AI826" t="str">
        <f t="shared" si="227"/>
        <v>Valid</v>
      </c>
      <c r="AJ826">
        <v>33719.22</v>
      </c>
      <c r="AK826">
        <f t="shared" si="228"/>
        <v>33719.223999999995</v>
      </c>
      <c r="AL826">
        <v>28924.43</v>
      </c>
      <c r="AM826">
        <v>4794.79</v>
      </c>
      <c r="AN826">
        <f t="shared" si="229"/>
        <v>4794.7939999999944</v>
      </c>
      <c r="AO826">
        <f t="shared" si="230"/>
        <v>-28924.43</v>
      </c>
      <c r="AP826" t="s">
        <v>34</v>
      </c>
      <c r="AQ826" t="str">
        <f t="shared" si="231"/>
        <v>Paid</v>
      </c>
      <c r="AR826" t="s">
        <v>35</v>
      </c>
      <c r="AS826" t="str">
        <f t="shared" si="232"/>
        <v>Completed</v>
      </c>
      <c r="AT826" t="str">
        <f t="shared" si="233"/>
        <v>Clean</v>
      </c>
    </row>
    <row r="827" spans="1:46">
      <c r="A827" t="s">
        <v>3788</v>
      </c>
      <c r="B827">
        <f>COUNTIF($D$2:D827,D827)</f>
        <v>1</v>
      </c>
      <c r="C827" t="str">
        <f>IF(COUNTIF($A:$A,A827)=1,
"Unique",
IF(COUNTIFS($A:$A,A827,$N:$N,N827,$AF:$AF,AF827,$AJ:$AJ,AJ827)&gt;1,
"Exact Duplicate",
"Conflicting Duplicate"))</f>
        <v>Unique</v>
      </c>
      <c r="D827" t="s">
        <v>3789</v>
      </c>
      <c r="E827" t="s">
        <v>3790</v>
      </c>
      <c r="F827" s="2">
        <v>45763</v>
      </c>
      <c r="G827" s="3">
        <v>45764</v>
      </c>
      <c r="H827" s="5" t="str">
        <f t="shared" si="216"/>
        <v>April</v>
      </c>
      <c r="I827" s="5">
        <f t="shared" si="217"/>
        <v>2025</v>
      </c>
      <c r="J827" t="str">
        <f>IF(F827="","Missing Date",
IF(ISNUMBER(F827),"Valid","Invalid Date"))</f>
        <v>Valid</v>
      </c>
      <c r="K827" t="str">
        <f t="shared" si="218"/>
        <v>Valid</v>
      </c>
      <c r="L827">
        <f>G827-F827</f>
        <v>1</v>
      </c>
      <c r="M827" t="s">
        <v>3791</v>
      </c>
      <c r="N827" t="s">
        <v>83</v>
      </c>
      <c r="O827" t="str">
        <f t="shared" si="219"/>
        <v>Vikram Iyer</v>
      </c>
      <c r="P827" t="s">
        <v>41</v>
      </c>
      <c r="Q827" t="str">
        <f t="shared" si="220"/>
        <v>Small Business</v>
      </c>
      <c r="R827" t="s">
        <v>27</v>
      </c>
      <c r="S827" t="str">
        <f t="shared" si="221"/>
        <v>North</v>
      </c>
      <c r="T827" t="s">
        <v>174</v>
      </c>
      <c r="U827" t="str">
        <f t="shared" si="222"/>
        <v>Uttar Pradesh</v>
      </c>
      <c r="V827" t="s">
        <v>175</v>
      </c>
      <c r="W827" t="str">
        <f t="shared" si="223"/>
        <v>Noida</v>
      </c>
      <c r="X827" t="s">
        <v>86</v>
      </c>
      <c r="Y827" t="str">
        <f t="shared" si="224"/>
        <v>Technology</v>
      </c>
      <c r="Z827" t="s">
        <v>382</v>
      </c>
      <c r="AA827" t="str">
        <f t="shared" si="225"/>
        <v>Machines</v>
      </c>
      <c r="AB827" t="s">
        <v>3792</v>
      </c>
      <c r="AC827" t="s">
        <v>56</v>
      </c>
      <c r="AD827" t="str">
        <f t="shared" si="226"/>
        <v>First Class</v>
      </c>
      <c r="AE827">
        <v>1</v>
      </c>
      <c r="AF827">
        <v>2720.17</v>
      </c>
      <c r="AG827">
        <v>0</v>
      </c>
      <c r="AH827">
        <v>0</v>
      </c>
      <c r="AI827" t="str">
        <f t="shared" si="227"/>
        <v>Valid</v>
      </c>
      <c r="AJ827">
        <v>2720.17</v>
      </c>
      <c r="AK827">
        <f t="shared" si="228"/>
        <v>2720.17</v>
      </c>
      <c r="AL827">
        <v>1834.23</v>
      </c>
      <c r="AM827">
        <v>885.94</v>
      </c>
      <c r="AN827">
        <f t="shared" si="229"/>
        <v>885.94</v>
      </c>
      <c r="AO827">
        <f t="shared" si="230"/>
        <v>-1834.23</v>
      </c>
      <c r="AP827" t="s">
        <v>34</v>
      </c>
      <c r="AQ827" t="str">
        <f t="shared" si="231"/>
        <v>Paid</v>
      </c>
      <c r="AR827" t="s">
        <v>35</v>
      </c>
      <c r="AS827" t="str">
        <f t="shared" si="232"/>
        <v>Completed</v>
      </c>
      <c r="AT827" t="str">
        <f t="shared" si="233"/>
        <v>Clean</v>
      </c>
    </row>
    <row r="828" spans="1:46">
      <c r="A828" t="s">
        <v>3793</v>
      </c>
      <c r="B828">
        <f>COUNTIF($D$2:D828,D828)</f>
        <v>3</v>
      </c>
      <c r="C828" t="str">
        <f>IF(COUNTIF($A:$A,A828)=1,
"Unique",
IF(COUNTIFS($A:$A,A828,$N:$N,N828,$AF:$AF,AF828,$AJ:$AJ,AJ828)&gt;1,
"Exact Duplicate",
"Conflicting Duplicate"))</f>
        <v>Unique</v>
      </c>
      <c r="D828" t="s">
        <v>3103</v>
      </c>
      <c r="E828" t="s">
        <v>3794</v>
      </c>
      <c r="F828" s="3">
        <v>45938</v>
      </c>
      <c r="G828" s="2">
        <v>45883</v>
      </c>
      <c r="H828" s="5" t="str">
        <f t="shared" si="216"/>
        <v>October</v>
      </c>
      <c r="I828" s="5">
        <f t="shared" si="217"/>
        <v>2025</v>
      </c>
      <c r="J828" t="str">
        <f>IF(F828="","Missing Date",
IF(ISNUMBER(F828),"Valid","Invalid Date"))</f>
        <v>Valid</v>
      </c>
      <c r="K828" t="str">
        <f t="shared" si="218"/>
        <v>Valid</v>
      </c>
      <c r="L828">
        <f>G828-F828</f>
        <v>-55</v>
      </c>
      <c r="M828" t="s">
        <v>3795</v>
      </c>
      <c r="N828" t="s">
        <v>107</v>
      </c>
      <c r="O828" t="str">
        <f t="shared" si="219"/>
        <v>Aditi Sen</v>
      </c>
      <c r="P828" t="s">
        <v>26</v>
      </c>
      <c r="Q828" t="str">
        <f t="shared" si="220"/>
        <v>Consumer</v>
      </c>
      <c r="R828" t="s">
        <v>73</v>
      </c>
      <c r="S828" t="str">
        <f t="shared" si="221"/>
        <v>West</v>
      </c>
      <c r="T828" t="s">
        <v>28</v>
      </c>
      <c r="U828" t="str">
        <f t="shared" si="222"/>
        <v>Rajasthan</v>
      </c>
      <c r="V828" t="s">
        <v>135</v>
      </c>
      <c r="W828" t="str">
        <f t="shared" si="223"/>
        <v>Udaipur</v>
      </c>
      <c r="X828" t="s">
        <v>86</v>
      </c>
      <c r="Y828" t="str">
        <f t="shared" si="224"/>
        <v>Technology</v>
      </c>
      <c r="Z828" t="s">
        <v>87</v>
      </c>
      <c r="AA828" t="str">
        <f t="shared" si="225"/>
        <v>Accessories</v>
      </c>
      <c r="AB828" t="s">
        <v>3796</v>
      </c>
      <c r="AC828" t="s">
        <v>67</v>
      </c>
      <c r="AD828" t="str">
        <f t="shared" si="226"/>
        <v>Standard Class</v>
      </c>
      <c r="AE828">
        <v>5</v>
      </c>
      <c r="AF828">
        <v>2190.14</v>
      </c>
      <c r="AG828">
        <v>0.25</v>
      </c>
      <c r="AH828">
        <v>0.25</v>
      </c>
      <c r="AI828" t="str">
        <f t="shared" si="227"/>
        <v>Valid</v>
      </c>
      <c r="AJ828">
        <v>8213.02</v>
      </c>
      <c r="AK828">
        <f t="shared" si="228"/>
        <v>8213.0249999999996</v>
      </c>
      <c r="AL828">
        <v>5569.3</v>
      </c>
      <c r="AM828">
        <v>2643.72</v>
      </c>
      <c r="AN828">
        <f t="shared" si="229"/>
        <v>2643.7249999999995</v>
      </c>
      <c r="AO828">
        <f t="shared" si="230"/>
        <v>-5569.3</v>
      </c>
      <c r="AP828" t="s">
        <v>34</v>
      </c>
      <c r="AQ828" t="str">
        <f t="shared" si="231"/>
        <v>Paid</v>
      </c>
      <c r="AR828" t="s">
        <v>35</v>
      </c>
      <c r="AS828" t="str">
        <f t="shared" si="232"/>
        <v>Completed</v>
      </c>
      <c r="AT828" t="str">
        <f t="shared" si="233"/>
        <v>Clean</v>
      </c>
    </row>
    <row r="829" spans="1:46">
      <c r="A829" t="s">
        <v>3797</v>
      </c>
      <c r="B829">
        <f>COUNTIF($D$2:D829,D829)</f>
        <v>2</v>
      </c>
      <c r="C829" t="str">
        <f>IF(COUNTIF($A:$A,A829)=1,
"Unique",
IF(COUNTIFS($A:$A,A829,$N:$N,N829,$AF:$AF,AF829,$AJ:$AJ,AJ829)&gt;1,
"Exact Duplicate",
"Conflicting Duplicate"))</f>
        <v>Unique</v>
      </c>
      <c r="D829" t="s">
        <v>3798</v>
      </c>
      <c r="E829" t="s">
        <v>1750</v>
      </c>
      <c r="F829" s="2">
        <v>45620</v>
      </c>
      <c r="G829" s="3">
        <v>45303</v>
      </c>
      <c r="H829" s="5" t="str">
        <f t="shared" si="216"/>
        <v>November</v>
      </c>
      <c r="I829" s="5">
        <f t="shared" si="217"/>
        <v>2024</v>
      </c>
      <c r="J829" t="str">
        <f>IF(F829="","Missing Date",
IF(ISNUMBER(F829),"Valid","Invalid Date"))</f>
        <v>Valid</v>
      </c>
      <c r="K829" t="str">
        <f t="shared" si="218"/>
        <v>Valid</v>
      </c>
      <c r="L829">
        <f>G829-F829</f>
        <v>-317</v>
      </c>
      <c r="M829" t="s">
        <v>3799</v>
      </c>
      <c r="N829" t="s">
        <v>142</v>
      </c>
      <c r="O829" t="str">
        <f t="shared" si="219"/>
        <v>Priya Menon</v>
      </c>
      <c r="P829" t="s">
        <v>115</v>
      </c>
      <c r="Q829" t="str">
        <f t="shared" si="220"/>
        <v>Home Office</v>
      </c>
      <c r="R829" t="s">
        <v>62</v>
      </c>
      <c r="S829" t="str">
        <f t="shared" si="221"/>
        <v>South</v>
      </c>
      <c r="T829" t="s">
        <v>339</v>
      </c>
      <c r="U829" t="str">
        <f t="shared" si="222"/>
        <v>Tamil Nadu</v>
      </c>
      <c r="V829" t="s">
        <v>340</v>
      </c>
      <c r="W829" t="str">
        <f t="shared" si="223"/>
        <v>Chennai</v>
      </c>
      <c r="X829" t="s">
        <v>30</v>
      </c>
      <c r="Y829" t="str">
        <f t="shared" si="224"/>
        <v>Office Supplies</v>
      </c>
      <c r="Z829" t="s">
        <v>31</v>
      </c>
      <c r="AA829" t="str">
        <f t="shared" si="225"/>
        <v>Paper</v>
      </c>
      <c r="AB829" t="s">
        <v>3800</v>
      </c>
      <c r="AC829" t="s">
        <v>48</v>
      </c>
      <c r="AD829" t="str">
        <f t="shared" si="226"/>
        <v>Same Day</v>
      </c>
      <c r="AE829">
        <v>1</v>
      </c>
      <c r="AF829">
        <v>844.89</v>
      </c>
      <c r="AG829">
        <v>0.25</v>
      </c>
      <c r="AH829">
        <v>0.25</v>
      </c>
      <c r="AI829" t="str">
        <f t="shared" si="227"/>
        <v>Valid</v>
      </c>
      <c r="AJ829">
        <v>633.66999999999996</v>
      </c>
      <c r="AK829">
        <f t="shared" si="228"/>
        <v>633.66750000000002</v>
      </c>
      <c r="AL829">
        <v>520.47</v>
      </c>
      <c r="AM829">
        <v>113.2</v>
      </c>
      <c r="AN829">
        <f t="shared" si="229"/>
        <v>113.19749999999999</v>
      </c>
      <c r="AO829">
        <f t="shared" si="230"/>
        <v>-520.47</v>
      </c>
      <c r="AP829" t="s">
        <v>34</v>
      </c>
      <c r="AQ829" t="str">
        <f t="shared" si="231"/>
        <v>Paid</v>
      </c>
      <c r="AR829" t="s">
        <v>78</v>
      </c>
      <c r="AS829" t="str">
        <f t="shared" si="232"/>
        <v>Cancelled</v>
      </c>
      <c r="AT829" t="str">
        <f t="shared" si="233"/>
        <v>Clean</v>
      </c>
    </row>
    <row r="830" spans="1:46">
      <c r="A830" t="s">
        <v>3801</v>
      </c>
      <c r="B830">
        <f>COUNTIF($D$2:D830,D830)</f>
        <v>2</v>
      </c>
      <c r="C830" t="str">
        <f>IF(COUNTIF($A:$A,A830)=1,
"Unique",
IF(COUNTIFS($A:$A,A830,$N:$N,N830,$AF:$AF,AF830,$AJ:$AJ,AJ830)&gt;1,
"Exact Duplicate",
"Conflicting Duplicate"))</f>
        <v>Unique</v>
      </c>
      <c r="D830" t="s">
        <v>3802</v>
      </c>
      <c r="E830" t="s">
        <v>3803</v>
      </c>
      <c r="F830" s="3">
        <v>45940</v>
      </c>
      <c r="G830" s="3">
        <v>45971</v>
      </c>
      <c r="H830" s="5" t="str">
        <f t="shared" si="216"/>
        <v>October</v>
      </c>
      <c r="I830" s="5">
        <f t="shared" si="217"/>
        <v>2025</v>
      </c>
      <c r="J830" t="str">
        <f>IF(F830="","Missing Date",
IF(ISNUMBER(F830),"Valid","Invalid Date"))</f>
        <v>Valid</v>
      </c>
      <c r="K830" t="str">
        <f t="shared" si="218"/>
        <v>Valid</v>
      </c>
      <c r="L830">
        <f>G830-F830</f>
        <v>31</v>
      </c>
      <c r="M830" t="s">
        <v>3804</v>
      </c>
      <c r="N830" t="s">
        <v>25</v>
      </c>
      <c r="O830" t="str">
        <f t="shared" si="219"/>
        <v>Karan Malhotra</v>
      </c>
      <c r="P830" t="s">
        <v>108</v>
      </c>
      <c r="Q830" t="str">
        <f t="shared" si="220"/>
        <v>Corporate</v>
      </c>
      <c r="R830" t="s">
        <v>42</v>
      </c>
      <c r="S830" t="str">
        <f t="shared" si="221"/>
        <v>East</v>
      </c>
      <c r="T830" t="s">
        <v>43</v>
      </c>
      <c r="U830" t="str">
        <f t="shared" si="222"/>
        <v>Odisha</v>
      </c>
      <c r="V830" t="s">
        <v>44</v>
      </c>
      <c r="W830" t="str">
        <f t="shared" si="223"/>
        <v>Bhubaneswar</v>
      </c>
      <c r="X830" t="s">
        <v>45</v>
      </c>
      <c r="Y830" t="str">
        <f t="shared" si="224"/>
        <v>Furniture</v>
      </c>
      <c r="Z830" t="s">
        <v>76</v>
      </c>
      <c r="AA830" t="str">
        <f t="shared" si="225"/>
        <v>Chairs</v>
      </c>
      <c r="AB830" t="s">
        <v>3805</v>
      </c>
      <c r="AC830" t="s">
        <v>33</v>
      </c>
      <c r="AD830" t="str">
        <f t="shared" si="226"/>
        <v>Second Class</v>
      </c>
      <c r="AE830">
        <v>7</v>
      </c>
      <c r="AF830">
        <v>3791.96</v>
      </c>
      <c r="AG830">
        <v>0.05</v>
      </c>
      <c r="AH830">
        <v>0.05</v>
      </c>
      <c r="AI830" t="str">
        <f t="shared" si="227"/>
        <v>Valid</v>
      </c>
      <c r="AJ830">
        <v>25216.53</v>
      </c>
      <c r="AK830">
        <f t="shared" si="228"/>
        <v>25216.534</v>
      </c>
      <c r="AL830">
        <v>14216.94</v>
      </c>
      <c r="AM830">
        <v>10999.59</v>
      </c>
      <c r="AN830">
        <f t="shared" si="229"/>
        <v>10999.593999999999</v>
      </c>
      <c r="AO830">
        <f t="shared" si="230"/>
        <v>-14216.94</v>
      </c>
      <c r="AP830" t="s">
        <v>200</v>
      </c>
      <c r="AQ830" t="str">
        <f t="shared" si="231"/>
        <v>Failed</v>
      </c>
      <c r="AR830" t="s">
        <v>78</v>
      </c>
      <c r="AS830" t="str">
        <f t="shared" si="232"/>
        <v>Cancelled</v>
      </c>
      <c r="AT830" t="str">
        <f t="shared" si="233"/>
        <v>Clean</v>
      </c>
    </row>
    <row r="831" spans="1:46">
      <c r="A831" t="s">
        <v>3806</v>
      </c>
      <c r="B831">
        <f>COUNTIF($D$2:D831,D831)</f>
        <v>1</v>
      </c>
      <c r="C831" t="str">
        <f>IF(COUNTIF($A:$A,A831)=1,
"Unique",
IF(COUNTIFS($A:$A,A831,$N:$N,N831,$AF:$AF,AF831,$AJ:$AJ,AJ831)&gt;1,
"Exact Duplicate",
"Conflicting Duplicate"))</f>
        <v>Unique</v>
      </c>
      <c r="D831" t="s">
        <v>3807</v>
      </c>
      <c r="E831" t="s">
        <v>1474</v>
      </c>
      <c r="F831" s="3">
        <v>45348</v>
      </c>
      <c r="G831" s="3">
        <v>45350</v>
      </c>
      <c r="H831" s="5" t="str">
        <f t="shared" si="216"/>
        <v>February</v>
      </c>
      <c r="I831" s="5">
        <f t="shared" si="217"/>
        <v>2024</v>
      </c>
      <c r="J831" t="str">
        <f>IF(F831="","Missing Date",
IF(ISNUMBER(F831),"Valid","Invalid Date"))</f>
        <v>Valid</v>
      </c>
      <c r="K831" t="str">
        <f t="shared" si="218"/>
        <v>Valid</v>
      </c>
      <c r="L831">
        <f>G831-F831</f>
        <v>2</v>
      </c>
      <c r="M831" t="s">
        <v>3808</v>
      </c>
      <c r="N831" t="s">
        <v>107</v>
      </c>
      <c r="O831" t="str">
        <f t="shared" si="219"/>
        <v>Aditi Sen</v>
      </c>
      <c r="P831" t="s">
        <v>41</v>
      </c>
      <c r="Q831" t="str">
        <f t="shared" si="220"/>
        <v>Small Business</v>
      </c>
      <c r="R831" t="s">
        <v>73</v>
      </c>
      <c r="S831" t="str">
        <f t="shared" si="221"/>
        <v>West</v>
      </c>
      <c r="T831" t="s">
        <v>249</v>
      </c>
      <c r="U831" t="str">
        <f t="shared" si="222"/>
        <v>Goa</v>
      </c>
      <c r="V831" t="s">
        <v>250</v>
      </c>
      <c r="W831" t="str">
        <f t="shared" si="223"/>
        <v>Panaji</v>
      </c>
      <c r="X831" t="s">
        <v>45</v>
      </c>
      <c r="Y831" t="str">
        <f t="shared" si="224"/>
        <v>Furniture</v>
      </c>
      <c r="Z831" t="s">
        <v>65</v>
      </c>
      <c r="AA831" t="str">
        <f t="shared" si="225"/>
        <v>Furnishings</v>
      </c>
      <c r="AB831" t="s">
        <v>3809</v>
      </c>
      <c r="AC831" t="s">
        <v>33</v>
      </c>
      <c r="AD831" t="str">
        <f t="shared" si="226"/>
        <v>Second Class</v>
      </c>
      <c r="AE831">
        <v>7</v>
      </c>
      <c r="AF831">
        <v>1035.1400000000001</v>
      </c>
      <c r="AG831">
        <v>0.1</v>
      </c>
      <c r="AH831">
        <v>0.1</v>
      </c>
      <c r="AI831" t="str">
        <f t="shared" si="227"/>
        <v>Valid</v>
      </c>
      <c r="AJ831">
        <v>6521.38</v>
      </c>
      <c r="AK831">
        <f t="shared" si="228"/>
        <v>6521.3820000000005</v>
      </c>
      <c r="AL831">
        <v>4511.1000000000004</v>
      </c>
      <c r="AM831">
        <v>2010.28</v>
      </c>
      <c r="AN831">
        <f t="shared" si="229"/>
        <v>2010.2820000000002</v>
      </c>
      <c r="AO831">
        <f t="shared" si="230"/>
        <v>-4511.1000000000004</v>
      </c>
      <c r="AP831" t="s">
        <v>34</v>
      </c>
      <c r="AQ831" t="str">
        <f t="shared" si="231"/>
        <v>Paid</v>
      </c>
      <c r="AR831" t="s">
        <v>35</v>
      </c>
      <c r="AS831" t="str">
        <f t="shared" si="232"/>
        <v>Completed</v>
      </c>
      <c r="AT831" t="str">
        <f t="shared" si="233"/>
        <v>Clean</v>
      </c>
    </row>
    <row r="832" spans="1:46">
      <c r="A832" t="s">
        <v>3810</v>
      </c>
      <c r="B832">
        <f>COUNTIF($D$2:D832,D832)</f>
        <v>1</v>
      </c>
      <c r="C832" t="str">
        <f>IF(COUNTIF($A:$A,A832)=1,
"Unique",
IF(COUNTIFS($A:$A,A832,$N:$N,N832,$AF:$AF,AF832,$AJ:$AJ,AJ832)&gt;1,
"Exact Duplicate",
"Conflicting Duplicate"))</f>
        <v>Unique</v>
      </c>
      <c r="D832" t="s">
        <v>2908</v>
      </c>
      <c r="E832" t="s">
        <v>720</v>
      </c>
      <c r="F832" s="2">
        <v>45853</v>
      </c>
      <c r="G832" s="3">
        <v>45856</v>
      </c>
      <c r="H832" s="5" t="str">
        <f t="shared" si="216"/>
        <v>July</v>
      </c>
      <c r="I832" s="5">
        <f t="shared" si="217"/>
        <v>2025</v>
      </c>
      <c r="J832" t="str">
        <f>IF(F832="","Missing Date",
IF(ISNUMBER(F832),"Valid","Invalid Date"))</f>
        <v>Valid</v>
      </c>
      <c r="K832" t="str">
        <f t="shared" si="218"/>
        <v>Valid</v>
      </c>
      <c r="L832">
        <f>G832-F832</f>
        <v>3</v>
      </c>
      <c r="M832" t="s">
        <v>3811</v>
      </c>
      <c r="N832" t="s">
        <v>107</v>
      </c>
      <c r="O832" t="str">
        <f t="shared" si="219"/>
        <v>Aditi Sen</v>
      </c>
      <c r="P832" t="s">
        <v>41</v>
      </c>
      <c r="Q832" t="str">
        <f t="shared" si="220"/>
        <v>Small Business</v>
      </c>
      <c r="R832" t="s">
        <v>4104</v>
      </c>
      <c r="S832" t="s">
        <v>4104</v>
      </c>
      <c r="T832" t="s">
        <v>339</v>
      </c>
      <c r="U832" t="str">
        <f t="shared" si="222"/>
        <v>Tamil Nadu</v>
      </c>
      <c r="V832" t="s">
        <v>340</v>
      </c>
      <c r="W832" t="str">
        <f t="shared" si="223"/>
        <v>Chennai</v>
      </c>
      <c r="X832" t="s">
        <v>86</v>
      </c>
      <c r="Y832" t="str">
        <f t="shared" si="224"/>
        <v>Technology</v>
      </c>
      <c r="Z832" t="s">
        <v>382</v>
      </c>
      <c r="AA832" t="str">
        <f t="shared" si="225"/>
        <v>Machines</v>
      </c>
      <c r="AB832" t="s">
        <v>3812</v>
      </c>
      <c r="AC832" t="s">
        <v>56</v>
      </c>
      <c r="AD832" t="str">
        <f t="shared" si="226"/>
        <v>First Class</v>
      </c>
      <c r="AE832">
        <v>6</v>
      </c>
      <c r="AF832">
        <v>2382.88</v>
      </c>
      <c r="AG832">
        <v>0.1</v>
      </c>
      <c r="AH832">
        <v>0.1</v>
      </c>
      <c r="AI832" t="str">
        <f t="shared" si="227"/>
        <v>Valid</v>
      </c>
      <c r="AJ832">
        <v>12867.55</v>
      </c>
      <c r="AK832">
        <f t="shared" si="228"/>
        <v>12867.552000000001</v>
      </c>
      <c r="AL832">
        <v>10068.94</v>
      </c>
      <c r="AM832">
        <v>2798.61</v>
      </c>
      <c r="AN832">
        <f t="shared" si="229"/>
        <v>2798.612000000001</v>
      </c>
      <c r="AO832">
        <f t="shared" si="230"/>
        <v>-10068.94</v>
      </c>
      <c r="AP832" t="s">
        <v>34</v>
      </c>
      <c r="AQ832" t="str">
        <f t="shared" si="231"/>
        <v>Paid</v>
      </c>
      <c r="AR832" t="s">
        <v>35</v>
      </c>
      <c r="AS832" t="str">
        <f t="shared" si="232"/>
        <v>Completed</v>
      </c>
      <c r="AT832" t="str">
        <f t="shared" si="233"/>
        <v>Clean</v>
      </c>
    </row>
    <row r="833" spans="1:46">
      <c r="A833" t="s">
        <v>3813</v>
      </c>
      <c r="B833">
        <f>COUNTIF($D$2:D833,D833)</f>
        <v>2</v>
      </c>
      <c r="C833" t="str">
        <f>IF(COUNTIF($A:$A,A833)=1,
"Unique",
IF(COUNTIFS($A:$A,A833,$N:$N,N833,$AF:$AF,AF833,$AJ:$AJ,AJ833)&gt;1,
"Exact Duplicate",
"Conflicting Duplicate"))</f>
        <v>Unique</v>
      </c>
      <c r="D833" t="s">
        <v>469</v>
      </c>
      <c r="E833" t="s">
        <v>3255</v>
      </c>
      <c r="F833" s="3">
        <v>45750</v>
      </c>
      <c r="G833" s="3">
        <v>45720</v>
      </c>
      <c r="H833" s="5" t="str">
        <f t="shared" si="216"/>
        <v>April</v>
      </c>
      <c r="I833" s="5">
        <f t="shared" si="217"/>
        <v>2025</v>
      </c>
      <c r="J833" t="str">
        <f>IF(F833="","Missing Date",
IF(ISNUMBER(F833),"Valid","Invalid Date"))</f>
        <v>Valid</v>
      </c>
      <c r="K833" t="str">
        <f t="shared" si="218"/>
        <v>Valid</v>
      </c>
      <c r="L833">
        <f>G833-F833</f>
        <v>-30</v>
      </c>
      <c r="M833" t="s">
        <v>3814</v>
      </c>
      <c r="N833" t="s">
        <v>210</v>
      </c>
      <c r="O833" t="str">
        <f t="shared" si="219"/>
        <v>Diya Patel</v>
      </c>
      <c r="P833" t="s">
        <v>115</v>
      </c>
      <c r="Q833" t="str">
        <f t="shared" si="220"/>
        <v>Home Office</v>
      </c>
      <c r="R833" t="s">
        <v>4104</v>
      </c>
      <c r="S833" t="s">
        <v>4104</v>
      </c>
      <c r="T833" t="s">
        <v>323</v>
      </c>
      <c r="U833" t="str">
        <f t="shared" si="222"/>
        <v>Haryana</v>
      </c>
      <c r="V833" t="s">
        <v>324</v>
      </c>
      <c r="W833" t="str">
        <f t="shared" si="223"/>
        <v>Gurugram</v>
      </c>
      <c r="X833" t="s">
        <v>45</v>
      </c>
      <c r="Y833" t="str">
        <f t="shared" si="224"/>
        <v>Furniture</v>
      </c>
      <c r="Z833" t="s">
        <v>76</v>
      </c>
      <c r="AA833" t="str">
        <f t="shared" si="225"/>
        <v>Chairs</v>
      </c>
      <c r="AB833" t="s">
        <v>3815</v>
      </c>
      <c r="AC833" t="s">
        <v>56</v>
      </c>
      <c r="AD833" t="str">
        <f t="shared" si="226"/>
        <v>First Class</v>
      </c>
      <c r="AE833">
        <v>9</v>
      </c>
      <c r="AF833">
        <v>3462.7</v>
      </c>
      <c r="AG833">
        <v>0.15</v>
      </c>
      <c r="AH833">
        <v>0.15</v>
      </c>
      <c r="AI833" t="str">
        <f t="shared" si="227"/>
        <v>Valid</v>
      </c>
      <c r="AJ833">
        <v>26489.65</v>
      </c>
      <c r="AK833">
        <f t="shared" si="228"/>
        <v>26489.654999999999</v>
      </c>
      <c r="AL833">
        <v>15818.46</v>
      </c>
      <c r="AM833">
        <v>10671.19</v>
      </c>
      <c r="AN833">
        <f t="shared" si="229"/>
        <v>10671.195</v>
      </c>
      <c r="AO833">
        <f t="shared" si="230"/>
        <v>-15818.46</v>
      </c>
      <c r="AP833" t="s">
        <v>200</v>
      </c>
      <c r="AQ833" t="str">
        <f t="shared" si="231"/>
        <v>Failed</v>
      </c>
      <c r="AR833" t="s">
        <v>125</v>
      </c>
      <c r="AS833" t="str">
        <f t="shared" si="232"/>
        <v>Returned</v>
      </c>
      <c r="AT833" t="str">
        <f t="shared" si="233"/>
        <v>Clean</v>
      </c>
    </row>
    <row r="834" spans="1:46">
      <c r="A834" t="s">
        <v>3816</v>
      </c>
      <c r="B834">
        <f>COUNTIF($D$2:D834,D834)</f>
        <v>2</v>
      </c>
      <c r="C834" t="str">
        <f>IF(COUNTIF($A:$A,A834)=1,
"Unique",
IF(COUNTIFS($A:$A,A834,$N:$N,N834,$AF:$AF,AF834,$AJ:$AJ,AJ834)&gt;1,
"Exact Duplicate",
"Conflicting Duplicate"))</f>
        <v>Unique</v>
      </c>
      <c r="D834" t="s">
        <v>3817</v>
      </c>
      <c r="E834" t="s">
        <v>3818</v>
      </c>
      <c r="F834" s="2">
        <v>45803</v>
      </c>
      <c r="G834" s="3">
        <v>45805</v>
      </c>
      <c r="H834" s="5" t="str">
        <f t="shared" si="216"/>
        <v>May</v>
      </c>
      <c r="I834" s="5">
        <f t="shared" si="217"/>
        <v>2025</v>
      </c>
      <c r="J834" t="str">
        <f>IF(F834="","Missing Date",
IF(ISNUMBER(F834),"Valid","Invalid Date"))</f>
        <v>Valid</v>
      </c>
      <c r="K834" t="str">
        <f t="shared" si="218"/>
        <v>Valid</v>
      </c>
      <c r="L834">
        <f>G834-F834</f>
        <v>2</v>
      </c>
      <c r="M834" t="s">
        <v>3819</v>
      </c>
      <c r="N834" t="s">
        <v>366</v>
      </c>
      <c r="O834" t="str">
        <f t="shared" si="219"/>
        <v>Kabir Singh</v>
      </c>
      <c r="P834" t="s">
        <v>41</v>
      </c>
      <c r="Q834" t="str">
        <f t="shared" si="220"/>
        <v>Small Business</v>
      </c>
      <c r="R834" t="s">
        <v>62</v>
      </c>
      <c r="S834" t="str">
        <f t="shared" si="221"/>
        <v>South</v>
      </c>
      <c r="T834" t="s">
        <v>100</v>
      </c>
      <c r="U834" t="str">
        <f t="shared" si="222"/>
        <v>Andhra Pradesh</v>
      </c>
      <c r="V834" t="s">
        <v>101</v>
      </c>
      <c r="W834" t="str">
        <f t="shared" si="223"/>
        <v>Vijayawada</v>
      </c>
      <c r="X834" t="s">
        <v>86</v>
      </c>
      <c r="Y834" t="str">
        <f t="shared" si="224"/>
        <v>Technology</v>
      </c>
      <c r="Z834" t="s">
        <v>223</v>
      </c>
      <c r="AA834" t="str">
        <f t="shared" si="225"/>
        <v>Phones</v>
      </c>
      <c r="AB834" t="s">
        <v>3820</v>
      </c>
      <c r="AC834" t="s">
        <v>33</v>
      </c>
      <c r="AD834" t="str">
        <f t="shared" si="226"/>
        <v>Second Class</v>
      </c>
      <c r="AE834">
        <v>9</v>
      </c>
      <c r="AF834">
        <v>4302.0200000000004</v>
      </c>
      <c r="AG834">
        <v>0.05</v>
      </c>
      <c r="AH834">
        <v>0.05</v>
      </c>
      <c r="AI834" t="str">
        <f t="shared" si="227"/>
        <v>Valid</v>
      </c>
      <c r="AJ834">
        <v>36782.269999999997</v>
      </c>
      <c r="AK834">
        <f t="shared" si="228"/>
        <v>36782.271000000008</v>
      </c>
      <c r="AL834">
        <v>25902.81</v>
      </c>
      <c r="AM834">
        <v>10879.46</v>
      </c>
      <c r="AN834">
        <f t="shared" si="229"/>
        <v>10879.461000000007</v>
      </c>
      <c r="AO834">
        <f t="shared" si="230"/>
        <v>-25902.81</v>
      </c>
      <c r="AP834" t="s">
        <v>34</v>
      </c>
      <c r="AQ834" t="str">
        <f t="shared" si="231"/>
        <v>Paid</v>
      </c>
      <c r="AR834" t="s">
        <v>35</v>
      </c>
      <c r="AS834" t="str">
        <f t="shared" si="232"/>
        <v>Completed</v>
      </c>
      <c r="AT834" t="str">
        <f t="shared" si="233"/>
        <v>Clean</v>
      </c>
    </row>
    <row r="835" spans="1:46">
      <c r="A835" t="s">
        <v>3821</v>
      </c>
      <c r="B835">
        <f>COUNTIF($D$2:D835,D835)</f>
        <v>1</v>
      </c>
      <c r="C835" t="str">
        <f>IF(COUNTIF($A:$A,A835)=1,
"Unique",
IF(COUNTIFS($A:$A,A835,$N:$N,N835,$AF:$AF,AF835,$AJ:$AJ,AJ835)&gt;1,
"Exact Duplicate",
"Conflicting Duplicate"))</f>
        <v>Unique</v>
      </c>
      <c r="D835" t="s">
        <v>3822</v>
      </c>
      <c r="E835" t="s">
        <v>3823</v>
      </c>
      <c r="F835" s="3">
        <v>45388</v>
      </c>
      <c r="G835" s="3">
        <v>45447</v>
      </c>
      <c r="H835" s="5" t="str">
        <f t="shared" ref="H835:H898" si="234">TEXT(DATE(2024,MONTH(F835),1),"MMMM")</f>
        <v>April</v>
      </c>
      <c r="I835" s="5">
        <f t="shared" ref="I835:I898" si="235">YEAR(F835)</f>
        <v>2024</v>
      </c>
      <c r="J835" t="str">
        <f>IF(F835="","Missing Date",
IF(ISNUMBER(F835),"Valid","Invalid Date"))</f>
        <v>Valid</v>
      </c>
      <c r="K835" t="str">
        <f t="shared" ref="K835:K898" si="236">IF(G835="","Missing Date",
IF(ISNUMBER(G835),"Valid","Invalid Date"))</f>
        <v>Valid</v>
      </c>
      <c r="L835">
        <f>G835-F835</f>
        <v>59</v>
      </c>
      <c r="M835" t="s">
        <v>3824</v>
      </c>
      <c r="N835" t="s">
        <v>148</v>
      </c>
      <c r="O835" t="str">
        <f t="shared" ref="O835:O898" si="237">TRIM(PROPER(CLEAN(N835)))</f>
        <v>Rahul Verma</v>
      </c>
      <c r="P835" t="s">
        <v>115</v>
      </c>
      <c r="Q835" t="str">
        <f t="shared" ref="Q835:Q898" si="238">TRIM(PROPER(CLEAN(P835)))</f>
        <v>Home Office</v>
      </c>
      <c r="R835" t="s">
        <v>42</v>
      </c>
      <c r="S835" t="str">
        <f t="shared" ref="S835:S898" si="239">TRIM(PROPER(CLEAN(R835)))</f>
        <v>East</v>
      </c>
      <c r="T835" t="s">
        <v>121</v>
      </c>
      <c r="U835" t="str">
        <f t="shared" ref="U835:U898" si="240">TRIM(PROPER(CLEAN(T835)))</f>
        <v>West Bengal</v>
      </c>
      <c r="V835" t="s">
        <v>122</v>
      </c>
      <c r="W835" t="str">
        <f t="shared" ref="W835:W898" si="241">TRIM(PROPER(CLEAN(V835)))</f>
        <v>Kolkata</v>
      </c>
      <c r="X835" t="s">
        <v>45</v>
      </c>
      <c r="Y835" t="str">
        <f t="shared" ref="Y835:Y898" si="242">TRIM(PROPER(CLEAN(X835)))</f>
        <v>Furniture</v>
      </c>
      <c r="Z835" t="s">
        <v>204</v>
      </c>
      <c r="AA835" t="str">
        <f t="shared" ref="AA835:AA898" si="243">TRIM(PROPER(CLEAN(Z835)))</f>
        <v>Bookcases</v>
      </c>
      <c r="AB835" t="s">
        <v>3825</v>
      </c>
      <c r="AC835" t="s">
        <v>56</v>
      </c>
      <c r="AD835" t="str">
        <f t="shared" ref="AD835:AD898" si="244">TRIM(PROPER(CLEAN(AC835)))</f>
        <v>First Class</v>
      </c>
      <c r="AE835">
        <v>6</v>
      </c>
      <c r="AF835">
        <v>3949.4</v>
      </c>
      <c r="AG835">
        <v>0</v>
      </c>
      <c r="AH835">
        <v>0</v>
      </c>
      <c r="AI835" t="str">
        <f t="shared" ref="AI835:AI898" si="245">IF(AG835="","Missing Discount",IF(AG835&lt;0,"Invalid - Negative Discount",IF(AG835&gt;1,"Invalid - Above Range","Valid")))</f>
        <v>Valid</v>
      </c>
      <c r="AJ835">
        <v>23696.400000000001</v>
      </c>
      <c r="AK835">
        <f t="shared" ref="AK835:AK898" si="246">AE835*AF835*(1-AH835)</f>
        <v>23696.400000000001</v>
      </c>
      <c r="AL835">
        <v>18109.77</v>
      </c>
      <c r="AM835">
        <v>5586.63</v>
      </c>
      <c r="AN835">
        <f t="shared" ref="AN835:AN898" si="247">AK835-AL835</f>
        <v>5586.630000000001</v>
      </c>
      <c r="AO835">
        <f t="shared" ref="AO835:AO898" si="248">AN835-AK835</f>
        <v>-18109.77</v>
      </c>
      <c r="AP835" t="s">
        <v>34</v>
      </c>
      <c r="AQ835" t="str">
        <f t="shared" ref="AQ835:AQ898" si="249">TRIM(PROPER(CLEAN(AP835)))</f>
        <v>Paid</v>
      </c>
      <c r="AR835" t="s">
        <v>35</v>
      </c>
      <c r="AS835" t="str">
        <f t="shared" ref="AS835:AS898" si="250">TRIM(PROPER(CLEAN(AR835)))</f>
        <v>Completed</v>
      </c>
      <c r="AT835" t="str">
        <f t="shared" ref="AT835:AT898" si="251">IF(OR(AH835="Unknown",AJ835="Unknown",AM835="Unknown",A835="Unknown"),"Needs Review","Clean")</f>
        <v>Clean</v>
      </c>
    </row>
    <row r="836" spans="1:46">
      <c r="A836" t="s">
        <v>3826</v>
      </c>
      <c r="B836">
        <f>COUNTIF($D$2:D836,D836)</f>
        <v>1</v>
      </c>
      <c r="C836" t="str">
        <f>IF(COUNTIF($A:$A,A836)=1,
"Unique",
IF(COUNTIFS($A:$A,A836,$N:$N,N836,$AF:$AF,AF836,$AJ:$AJ,AJ836)&gt;1,
"Exact Duplicate",
"Conflicting Duplicate"))</f>
        <v>Unique</v>
      </c>
      <c r="D836" t="s">
        <v>233</v>
      </c>
      <c r="E836" t="s">
        <v>3827</v>
      </c>
      <c r="F836" s="3">
        <v>45583</v>
      </c>
      <c r="G836" s="3">
        <v>45587</v>
      </c>
      <c r="H836" s="5" t="str">
        <f t="shared" si="234"/>
        <v>October</v>
      </c>
      <c r="I836" s="5">
        <f t="shared" si="235"/>
        <v>2024</v>
      </c>
      <c r="J836" t="str">
        <f>IF(F836="","Missing Date",
IF(ISNUMBER(F836),"Valid","Invalid Date"))</f>
        <v>Valid</v>
      </c>
      <c r="K836" t="str">
        <f t="shared" si="236"/>
        <v>Valid</v>
      </c>
      <c r="L836">
        <f>G836-F836</f>
        <v>4</v>
      </c>
      <c r="M836" t="s">
        <v>3828</v>
      </c>
      <c r="N836" t="s">
        <v>162</v>
      </c>
      <c r="O836" t="str">
        <f t="shared" si="237"/>
        <v>Aarav Sharma</v>
      </c>
      <c r="P836" t="s">
        <v>115</v>
      </c>
      <c r="Q836" t="str">
        <f t="shared" si="238"/>
        <v>Home Office</v>
      </c>
      <c r="R836" t="s">
        <v>62</v>
      </c>
      <c r="S836" t="str">
        <f t="shared" si="239"/>
        <v>South</v>
      </c>
      <c r="T836" t="s">
        <v>63</v>
      </c>
      <c r="U836" t="str">
        <f t="shared" si="240"/>
        <v>Telangana</v>
      </c>
      <c r="V836" t="s">
        <v>64</v>
      </c>
      <c r="W836" t="str">
        <f t="shared" si="241"/>
        <v>Hyderabad</v>
      </c>
      <c r="X836" t="s">
        <v>30</v>
      </c>
      <c r="Y836" t="str">
        <f t="shared" si="242"/>
        <v>Office Supplies</v>
      </c>
      <c r="Z836" t="s">
        <v>54</v>
      </c>
      <c r="AA836" t="str">
        <f t="shared" si="243"/>
        <v>Art</v>
      </c>
      <c r="AB836" t="s">
        <v>3829</v>
      </c>
      <c r="AC836" t="s">
        <v>56</v>
      </c>
      <c r="AD836" t="str">
        <f t="shared" si="244"/>
        <v>First Class</v>
      </c>
      <c r="AE836">
        <v>6</v>
      </c>
      <c r="AF836">
        <v>674.61</v>
      </c>
      <c r="AG836">
        <v>0</v>
      </c>
      <c r="AH836">
        <v>0</v>
      </c>
      <c r="AI836" t="str">
        <f t="shared" si="245"/>
        <v>Valid</v>
      </c>
      <c r="AJ836">
        <v>4047.66</v>
      </c>
      <c r="AK836">
        <f t="shared" si="246"/>
        <v>4047.66</v>
      </c>
      <c r="AL836">
        <v>3078.93</v>
      </c>
      <c r="AM836">
        <v>1279.79</v>
      </c>
      <c r="AN836">
        <f t="shared" si="247"/>
        <v>968.73</v>
      </c>
      <c r="AO836">
        <f t="shared" si="248"/>
        <v>-3078.93</v>
      </c>
      <c r="AP836" t="s">
        <v>34</v>
      </c>
      <c r="AQ836" t="str">
        <f t="shared" si="249"/>
        <v>Paid</v>
      </c>
      <c r="AR836" t="s">
        <v>35</v>
      </c>
      <c r="AS836" t="str">
        <f t="shared" si="250"/>
        <v>Completed</v>
      </c>
      <c r="AT836" t="str">
        <f t="shared" si="251"/>
        <v>Clean</v>
      </c>
    </row>
    <row r="837" spans="1:46">
      <c r="A837" t="s">
        <v>3830</v>
      </c>
      <c r="B837">
        <f>COUNTIF($D$2:D837,D837)</f>
        <v>1</v>
      </c>
      <c r="C837" t="str">
        <f>IF(COUNTIF($A:$A,A837)=1,
"Unique",
IF(COUNTIFS($A:$A,A837,$N:$N,N837,$AF:$AF,AF837,$AJ:$AJ,AJ837)&gt;1,
"Exact Duplicate",
"Conflicting Duplicate"))</f>
        <v>Unique</v>
      </c>
      <c r="D837" t="s">
        <v>2750</v>
      </c>
      <c r="E837" t="s">
        <v>955</v>
      </c>
      <c r="F837" s="3">
        <v>45926</v>
      </c>
      <c r="G837" s="3">
        <v>45757</v>
      </c>
      <c r="H837" s="5" t="str">
        <f t="shared" si="234"/>
        <v>September</v>
      </c>
      <c r="I837" s="5">
        <f t="shared" si="235"/>
        <v>2025</v>
      </c>
      <c r="J837" t="str">
        <f>IF(F837="","Missing Date",
IF(ISNUMBER(F837),"Valid","Invalid Date"))</f>
        <v>Valid</v>
      </c>
      <c r="K837" t="str">
        <f t="shared" si="236"/>
        <v>Valid</v>
      </c>
      <c r="L837">
        <f>G837-F837</f>
        <v>-169</v>
      </c>
      <c r="M837" t="s">
        <v>3831</v>
      </c>
      <c r="N837" t="s">
        <v>142</v>
      </c>
      <c r="O837" t="str">
        <f t="shared" si="237"/>
        <v>Priya Menon</v>
      </c>
      <c r="P837" t="s">
        <v>41</v>
      </c>
      <c r="Q837" t="str">
        <f t="shared" si="238"/>
        <v>Small Business</v>
      </c>
      <c r="R837" t="s">
        <v>42</v>
      </c>
      <c r="S837" t="str">
        <f t="shared" si="239"/>
        <v>East</v>
      </c>
      <c r="T837" t="s">
        <v>216</v>
      </c>
      <c r="U837" t="str">
        <f t="shared" si="240"/>
        <v>Assam</v>
      </c>
      <c r="V837" t="s">
        <v>217</v>
      </c>
      <c r="W837" t="str">
        <f t="shared" si="241"/>
        <v>Guwahati</v>
      </c>
      <c r="X837" t="s">
        <v>86</v>
      </c>
      <c r="Y837" t="str">
        <f t="shared" si="242"/>
        <v>Technology</v>
      </c>
      <c r="Z837" t="s">
        <v>223</v>
      </c>
      <c r="AA837" t="str">
        <f t="shared" si="243"/>
        <v>Phones</v>
      </c>
      <c r="AB837" t="s">
        <v>3832</v>
      </c>
      <c r="AC837" t="s">
        <v>33</v>
      </c>
      <c r="AD837" t="str">
        <f t="shared" si="244"/>
        <v>Second Class</v>
      </c>
      <c r="AE837">
        <v>7</v>
      </c>
      <c r="AF837">
        <v>1509.59</v>
      </c>
      <c r="AG837">
        <v>0.05</v>
      </c>
      <c r="AH837">
        <v>0.05</v>
      </c>
      <c r="AI837" t="str">
        <f t="shared" si="245"/>
        <v>Valid</v>
      </c>
      <c r="AJ837">
        <v>10038.77</v>
      </c>
      <c r="AK837">
        <f t="shared" si="246"/>
        <v>10038.773499999999</v>
      </c>
      <c r="AL837">
        <v>5673.1</v>
      </c>
      <c r="AM837">
        <v>4365.67</v>
      </c>
      <c r="AN837">
        <f t="shared" si="247"/>
        <v>4365.673499999999</v>
      </c>
      <c r="AO837">
        <f t="shared" si="248"/>
        <v>-5673.1</v>
      </c>
      <c r="AP837" t="s">
        <v>34</v>
      </c>
      <c r="AQ837" t="str">
        <f t="shared" si="249"/>
        <v>Paid</v>
      </c>
      <c r="AR837" t="s">
        <v>35</v>
      </c>
      <c r="AS837" t="str">
        <f t="shared" si="250"/>
        <v>Completed</v>
      </c>
      <c r="AT837" t="str">
        <f t="shared" si="251"/>
        <v>Clean</v>
      </c>
    </row>
    <row r="838" spans="1:46">
      <c r="A838" t="s">
        <v>3833</v>
      </c>
      <c r="B838">
        <f>COUNTIF($D$2:D838,D838)</f>
        <v>3</v>
      </c>
      <c r="C838" t="str">
        <f>IF(COUNTIF($A:$A,A838)=1,
"Unique",
IF(COUNTIFS($A:$A,A838,$N:$N,N838,$AF:$AF,AF838,$AJ:$AJ,AJ838)&gt;1,
"Exact Duplicate",
"Conflicting Duplicate"))</f>
        <v>Unique</v>
      </c>
      <c r="D838" t="s">
        <v>2462</v>
      </c>
      <c r="E838" t="s">
        <v>3834</v>
      </c>
      <c r="F838" s="3">
        <v>45641</v>
      </c>
      <c r="G838" s="3">
        <v>45644</v>
      </c>
      <c r="H838" s="5" t="str">
        <f t="shared" si="234"/>
        <v>December</v>
      </c>
      <c r="I838" s="5">
        <f t="shared" si="235"/>
        <v>2024</v>
      </c>
      <c r="J838" t="str">
        <f>IF(F838="","Missing Date",
IF(ISNUMBER(F838),"Valid","Invalid Date"))</f>
        <v>Valid</v>
      </c>
      <c r="K838" t="str">
        <f t="shared" si="236"/>
        <v>Valid</v>
      </c>
      <c r="L838">
        <f>G838-F838</f>
        <v>3</v>
      </c>
      <c r="M838" t="s">
        <v>3835</v>
      </c>
      <c r="N838" t="s">
        <v>53</v>
      </c>
      <c r="O838" t="str">
        <f t="shared" si="237"/>
        <v>Isha Nair</v>
      </c>
      <c r="P838" t="s">
        <v>41</v>
      </c>
      <c r="Q838" t="str">
        <f t="shared" si="238"/>
        <v>Small Business</v>
      </c>
      <c r="R838" t="s">
        <v>27</v>
      </c>
      <c r="S838" t="str">
        <f t="shared" si="239"/>
        <v>North</v>
      </c>
      <c r="T838" t="s">
        <v>28</v>
      </c>
      <c r="U838" t="str">
        <f t="shared" si="240"/>
        <v>Rajasthan</v>
      </c>
      <c r="V838" t="s">
        <v>29</v>
      </c>
      <c r="W838" t="str">
        <f t="shared" si="241"/>
        <v>Jaipur</v>
      </c>
      <c r="X838" t="s">
        <v>30</v>
      </c>
      <c r="Y838" t="str">
        <f t="shared" si="242"/>
        <v>Office Supplies</v>
      </c>
      <c r="Z838" t="s">
        <v>109</v>
      </c>
      <c r="AA838" t="str">
        <f t="shared" si="243"/>
        <v>Labels</v>
      </c>
      <c r="AB838" t="s">
        <v>3836</v>
      </c>
      <c r="AC838" t="s">
        <v>33</v>
      </c>
      <c r="AD838" t="str">
        <f t="shared" si="244"/>
        <v>Second Class</v>
      </c>
      <c r="AE838">
        <v>2</v>
      </c>
      <c r="AF838">
        <v>537.11</v>
      </c>
      <c r="AG838">
        <v>0</v>
      </c>
      <c r="AH838">
        <v>0</v>
      </c>
      <c r="AI838" t="str">
        <f t="shared" si="245"/>
        <v>Valid</v>
      </c>
      <c r="AJ838">
        <v>1074.22</v>
      </c>
      <c r="AK838">
        <f t="shared" si="246"/>
        <v>1074.22</v>
      </c>
      <c r="AL838">
        <v>850.86</v>
      </c>
      <c r="AM838">
        <v>223.36</v>
      </c>
      <c r="AN838">
        <f t="shared" si="247"/>
        <v>223.36</v>
      </c>
      <c r="AO838">
        <f t="shared" si="248"/>
        <v>-850.86</v>
      </c>
      <c r="AP838" t="s">
        <v>34</v>
      </c>
      <c r="AQ838" t="str">
        <f t="shared" si="249"/>
        <v>Paid</v>
      </c>
      <c r="AR838" t="s">
        <v>35</v>
      </c>
      <c r="AS838" t="str">
        <f t="shared" si="250"/>
        <v>Completed</v>
      </c>
      <c r="AT838" t="str">
        <f t="shared" si="251"/>
        <v>Clean</v>
      </c>
    </row>
    <row r="839" spans="1:46">
      <c r="A839" t="s">
        <v>3837</v>
      </c>
      <c r="B839">
        <f>COUNTIF($D$2:D839,D839)</f>
        <v>3</v>
      </c>
      <c r="C839" t="str">
        <f>IF(COUNTIF($A:$A,A839)=1,
"Unique",
IF(COUNTIFS($A:$A,A839,$N:$N,N839,$AF:$AF,AF839,$AJ:$AJ,AJ839)&gt;1,
"Exact Duplicate",
"Conflicting Duplicate"))</f>
        <v>Unique</v>
      </c>
      <c r="D839" t="s">
        <v>498</v>
      </c>
      <c r="E839" t="s">
        <v>3838</v>
      </c>
      <c r="F839" s="3">
        <v>45927</v>
      </c>
      <c r="G839" s="3">
        <v>45928</v>
      </c>
      <c r="H839" s="5" t="str">
        <f t="shared" si="234"/>
        <v>September</v>
      </c>
      <c r="I839" s="5">
        <f t="shared" si="235"/>
        <v>2025</v>
      </c>
      <c r="J839" t="str">
        <f>IF(F839="","Missing Date",
IF(ISNUMBER(F839),"Valid","Invalid Date"))</f>
        <v>Valid</v>
      </c>
      <c r="K839" t="str">
        <f t="shared" si="236"/>
        <v>Valid</v>
      </c>
      <c r="L839">
        <f>G839-F839</f>
        <v>1</v>
      </c>
      <c r="M839" t="s">
        <v>3839</v>
      </c>
      <c r="N839" t="s">
        <v>25</v>
      </c>
      <c r="O839" t="str">
        <f t="shared" si="237"/>
        <v>Karan Malhotra</v>
      </c>
      <c r="P839" t="s">
        <v>115</v>
      </c>
      <c r="Q839" t="str">
        <f t="shared" si="238"/>
        <v>Home Office</v>
      </c>
      <c r="R839" t="s">
        <v>73</v>
      </c>
      <c r="S839" t="str">
        <f t="shared" si="239"/>
        <v>West</v>
      </c>
      <c r="T839" t="s">
        <v>74</v>
      </c>
      <c r="U839" t="str">
        <f t="shared" si="240"/>
        <v>Maharashtra</v>
      </c>
      <c r="V839" t="s">
        <v>75</v>
      </c>
      <c r="W839" t="str">
        <f t="shared" si="241"/>
        <v>Mumbai</v>
      </c>
      <c r="X839" t="s">
        <v>30</v>
      </c>
      <c r="Y839" t="str">
        <f t="shared" si="242"/>
        <v>Office Supplies</v>
      </c>
      <c r="Z839" t="s">
        <v>31</v>
      </c>
      <c r="AA839" t="str">
        <f t="shared" si="243"/>
        <v>Paper</v>
      </c>
      <c r="AB839" t="s">
        <v>3840</v>
      </c>
      <c r="AC839" t="s">
        <v>56</v>
      </c>
      <c r="AD839" t="str">
        <f t="shared" si="244"/>
        <v>First Class</v>
      </c>
      <c r="AE839">
        <v>3</v>
      </c>
      <c r="AF839">
        <v>4177.63</v>
      </c>
      <c r="AG839">
        <v>0.25</v>
      </c>
      <c r="AH839">
        <v>0.25</v>
      </c>
      <c r="AI839" t="str">
        <f t="shared" si="245"/>
        <v>Valid</v>
      </c>
      <c r="AJ839">
        <v>9399.67</v>
      </c>
      <c r="AK839">
        <f t="shared" si="246"/>
        <v>9399.6674999999996</v>
      </c>
      <c r="AL839">
        <v>6540.37</v>
      </c>
      <c r="AM839">
        <v>2859.3</v>
      </c>
      <c r="AN839">
        <f t="shared" si="247"/>
        <v>2859.2974999999997</v>
      </c>
      <c r="AO839">
        <f t="shared" si="248"/>
        <v>-6540.37</v>
      </c>
      <c r="AP839" t="s">
        <v>34</v>
      </c>
      <c r="AQ839" t="str">
        <f t="shared" si="249"/>
        <v>Paid</v>
      </c>
      <c r="AR839" t="s">
        <v>35</v>
      </c>
      <c r="AS839" t="str">
        <f t="shared" si="250"/>
        <v>Completed</v>
      </c>
      <c r="AT839" t="str">
        <f t="shared" si="251"/>
        <v>Clean</v>
      </c>
    </row>
    <row r="840" spans="1:46">
      <c r="A840" t="s">
        <v>3841</v>
      </c>
      <c r="B840">
        <f>COUNTIF($D$2:D840,D840)</f>
        <v>3</v>
      </c>
      <c r="C840" t="str">
        <f>IF(COUNTIF($A:$A,A840)=1,
"Unique",
IF(COUNTIFS($A:$A,A840,$N:$N,N840,$AF:$AF,AF840,$AJ:$AJ,AJ840)&gt;1,
"Exact Duplicate",
"Conflicting Duplicate"))</f>
        <v>Unique</v>
      </c>
      <c r="D840" t="s">
        <v>469</v>
      </c>
      <c r="E840" t="s">
        <v>3842</v>
      </c>
      <c r="F840" s="3">
        <v>45750</v>
      </c>
      <c r="G840" s="2">
        <v>45842</v>
      </c>
      <c r="H840" s="5" t="str">
        <f t="shared" si="234"/>
        <v>April</v>
      </c>
      <c r="I840" s="5">
        <f t="shared" si="235"/>
        <v>2025</v>
      </c>
      <c r="J840" t="str">
        <f>IF(F840="","Missing Date",
IF(ISNUMBER(F840),"Valid","Invalid Date"))</f>
        <v>Valid</v>
      </c>
      <c r="K840" t="str">
        <f t="shared" si="236"/>
        <v>Valid</v>
      </c>
      <c r="L840">
        <f>G840-F840</f>
        <v>92</v>
      </c>
      <c r="M840" t="s">
        <v>3843</v>
      </c>
      <c r="N840" t="s">
        <v>72</v>
      </c>
      <c r="O840" t="str">
        <f t="shared" si="237"/>
        <v>Ananya Rao</v>
      </c>
      <c r="P840" t="s">
        <v>41</v>
      </c>
      <c r="Q840" t="str">
        <f t="shared" si="238"/>
        <v>Small Business</v>
      </c>
      <c r="R840" t="s">
        <v>73</v>
      </c>
      <c r="S840" t="str">
        <f t="shared" si="239"/>
        <v>West</v>
      </c>
      <c r="T840" t="s">
        <v>249</v>
      </c>
      <c r="U840" t="str">
        <f t="shared" si="240"/>
        <v>Goa</v>
      </c>
      <c r="V840" t="s">
        <v>250</v>
      </c>
      <c r="W840" t="str">
        <f t="shared" si="241"/>
        <v>Panaji</v>
      </c>
      <c r="X840" t="s">
        <v>30</v>
      </c>
      <c r="Y840" t="str">
        <f t="shared" si="242"/>
        <v>Office Supplies</v>
      </c>
      <c r="Z840" t="s">
        <v>31</v>
      </c>
      <c r="AA840" t="str">
        <f t="shared" si="243"/>
        <v>Paper</v>
      </c>
      <c r="AB840" t="s">
        <v>3844</v>
      </c>
      <c r="AC840" t="s">
        <v>48</v>
      </c>
      <c r="AD840" t="str">
        <f t="shared" si="244"/>
        <v>Same Day</v>
      </c>
      <c r="AE840">
        <v>1</v>
      </c>
      <c r="AF840">
        <v>1470.57</v>
      </c>
      <c r="AG840">
        <v>0</v>
      </c>
      <c r="AH840">
        <v>0</v>
      </c>
      <c r="AI840" t="str">
        <f t="shared" si="245"/>
        <v>Valid</v>
      </c>
      <c r="AJ840">
        <v>1470.57</v>
      </c>
      <c r="AK840">
        <f t="shared" si="246"/>
        <v>1470.57</v>
      </c>
      <c r="AL840">
        <v>834.02</v>
      </c>
      <c r="AM840">
        <v>636.54999999999995</v>
      </c>
      <c r="AN840">
        <f t="shared" si="247"/>
        <v>636.54999999999995</v>
      </c>
      <c r="AO840">
        <f t="shared" si="248"/>
        <v>-834.02</v>
      </c>
      <c r="AP840" t="s">
        <v>34</v>
      </c>
      <c r="AQ840" t="str">
        <f t="shared" si="249"/>
        <v>Paid</v>
      </c>
      <c r="AR840" t="s">
        <v>125</v>
      </c>
      <c r="AS840" t="str">
        <f t="shared" si="250"/>
        <v>Returned</v>
      </c>
      <c r="AT840" t="str">
        <f t="shared" si="251"/>
        <v>Clean</v>
      </c>
    </row>
    <row r="841" spans="1:46">
      <c r="A841" t="s">
        <v>3845</v>
      </c>
      <c r="B841">
        <f>COUNTIF($D$2:D841,D841)</f>
        <v>1</v>
      </c>
      <c r="C841" t="str">
        <f>IF(COUNTIF($A:$A,A841)=1,
"Unique",
IF(COUNTIFS($A:$A,A841,$N:$N,N841,$AF:$AF,AF841,$AJ:$AJ,AJ841)&gt;1,
"Exact Duplicate",
"Conflicting Duplicate"))</f>
        <v>Unique</v>
      </c>
      <c r="D841" t="s">
        <v>3846</v>
      </c>
      <c r="E841" t="s">
        <v>3847</v>
      </c>
      <c r="F841" s="3">
        <v>45555</v>
      </c>
      <c r="G841" s="3">
        <v>45557</v>
      </c>
      <c r="H841" s="5" t="str">
        <f t="shared" si="234"/>
        <v>September</v>
      </c>
      <c r="I841" s="5">
        <f t="shared" si="235"/>
        <v>2024</v>
      </c>
      <c r="J841" t="str">
        <f>IF(F841="","Missing Date",
IF(ISNUMBER(F841),"Valid","Invalid Date"))</f>
        <v>Valid</v>
      </c>
      <c r="K841" t="str">
        <f t="shared" si="236"/>
        <v>Valid</v>
      </c>
      <c r="L841">
        <f>G841-F841</f>
        <v>2</v>
      </c>
      <c r="M841" t="s">
        <v>3848</v>
      </c>
      <c r="N841" t="s">
        <v>180</v>
      </c>
      <c r="O841" t="str">
        <f t="shared" si="237"/>
        <v>Rohan Mehta</v>
      </c>
      <c r="P841" t="s">
        <v>115</v>
      </c>
      <c r="Q841" t="str">
        <f t="shared" si="238"/>
        <v>Home Office</v>
      </c>
      <c r="R841" t="s">
        <v>42</v>
      </c>
      <c r="S841" t="str">
        <f t="shared" si="239"/>
        <v>East</v>
      </c>
      <c r="T841" t="s">
        <v>43</v>
      </c>
      <c r="U841" t="str">
        <f t="shared" si="240"/>
        <v>Odisha</v>
      </c>
      <c r="V841" t="s">
        <v>44</v>
      </c>
      <c r="W841" t="str">
        <f t="shared" si="241"/>
        <v>Bhubaneswar</v>
      </c>
      <c r="X841" t="s">
        <v>86</v>
      </c>
      <c r="Y841" t="str">
        <f t="shared" si="242"/>
        <v>Technology</v>
      </c>
      <c r="Z841" t="s">
        <v>223</v>
      </c>
      <c r="AA841" t="str">
        <f t="shared" si="243"/>
        <v>Phones</v>
      </c>
      <c r="AB841" t="s">
        <v>3849</v>
      </c>
      <c r="AC841" t="s">
        <v>67</v>
      </c>
      <c r="AD841" t="str">
        <f t="shared" si="244"/>
        <v>Standard Class</v>
      </c>
      <c r="AE841">
        <v>8</v>
      </c>
      <c r="AF841">
        <v>531.42999999999995</v>
      </c>
      <c r="AG841">
        <v>0.1</v>
      </c>
      <c r="AH841">
        <v>0.1</v>
      </c>
      <c r="AI841" t="str">
        <f t="shared" si="245"/>
        <v>Valid</v>
      </c>
      <c r="AJ841">
        <v>3826.3</v>
      </c>
      <c r="AK841">
        <f t="shared" si="246"/>
        <v>3826.2959999999998</v>
      </c>
      <c r="AL841">
        <v>2194.12</v>
      </c>
      <c r="AM841">
        <v>1632.18</v>
      </c>
      <c r="AN841">
        <f t="shared" si="247"/>
        <v>1632.1759999999999</v>
      </c>
      <c r="AO841">
        <f t="shared" si="248"/>
        <v>-2194.12</v>
      </c>
      <c r="AP841" t="s">
        <v>34</v>
      </c>
      <c r="AQ841" t="str">
        <f t="shared" si="249"/>
        <v>Paid</v>
      </c>
      <c r="AR841" t="s">
        <v>35</v>
      </c>
      <c r="AS841" t="str">
        <f t="shared" si="250"/>
        <v>Completed</v>
      </c>
      <c r="AT841" t="str">
        <f t="shared" si="251"/>
        <v>Clean</v>
      </c>
    </row>
    <row r="842" spans="1:46">
      <c r="A842" t="s">
        <v>3850</v>
      </c>
      <c r="B842">
        <f>COUNTIF($D$2:D842,D842)</f>
        <v>2</v>
      </c>
      <c r="C842" t="str">
        <f>IF(COUNTIF($A:$A,A842)=1,
"Unique",
IF(COUNTIFS($A:$A,A842,$N:$N,N842,$AF:$AF,AF842,$AJ:$AJ,AJ842)&gt;1,
"Exact Duplicate",
"Conflicting Duplicate"))</f>
        <v>Unique</v>
      </c>
      <c r="D842" t="s">
        <v>1898</v>
      </c>
      <c r="E842" t="s">
        <v>2197</v>
      </c>
      <c r="F842" s="3">
        <v>45919</v>
      </c>
      <c r="G842" s="3">
        <v>45919</v>
      </c>
      <c r="H842" s="5" t="str">
        <f t="shared" si="234"/>
        <v>September</v>
      </c>
      <c r="I842" s="5">
        <f t="shared" si="235"/>
        <v>2025</v>
      </c>
      <c r="J842" t="str">
        <f>IF(F842="","Missing Date",
IF(ISNUMBER(F842),"Valid","Invalid Date"))</f>
        <v>Valid</v>
      </c>
      <c r="K842" t="str">
        <f t="shared" si="236"/>
        <v>Valid</v>
      </c>
      <c r="L842">
        <f>G842-F842</f>
        <v>0</v>
      </c>
      <c r="M842" t="s">
        <v>3851</v>
      </c>
      <c r="N842" t="s">
        <v>93</v>
      </c>
      <c r="O842" t="str">
        <f t="shared" si="237"/>
        <v>Neha Gupta</v>
      </c>
      <c r="P842" t="s">
        <v>115</v>
      </c>
      <c r="Q842" t="str">
        <f t="shared" si="238"/>
        <v>Home Office</v>
      </c>
      <c r="R842" t="s">
        <v>27</v>
      </c>
      <c r="S842" t="str">
        <f t="shared" si="239"/>
        <v>North</v>
      </c>
      <c r="T842" t="s">
        <v>506</v>
      </c>
      <c r="U842" t="str">
        <f t="shared" si="240"/>
        <v>Delhi</v>
      </c>
      <c r="V842" t="s">
        <v>507</v>
      </c>
      <c r="W842" t="str">
        <f t="shared" si="241"/>
        <v>New Delhi</v>
      </c>
      <c r="X842" t="s">
        <v>45</v>
      </c>
      <c r="Y842" t="str">
        <f t="shared" si="242"/>
        <v>Furniture</v>
      </c>
      <c r="Z842" t="s">
        <v>76</v>
      </c>
      <c r="AA842" t="str">
        <f t="shared" si="243"/>
        <v>Chairs</v>
      </c>
      <c r="AB842" t="s">
        <v>3852</v>
      </c>
      <c r="AC842" t="s">
        <v>48</v>
      </c>
      <c r="AD842" t="str">
        <f t="shared" si="244"/>
        <v>Same Day</v>
      </c>
      <c r="AE842">
        <v>4</v>
      </c>
      <c r="AF842">
        <v>1584.11</v>
      </c>
      <c r="AG842">
        <v>0</v>
      </c>
      <c r="AH842">
        <v>0</v>
      </c>
      <c r="AI842" t="str">
        <f t="shared" si="245"/>
        <v>Valid</v>
      </c>
      <c r="AJ842">
        <v>6336.44</v>
      </c>
      <c r="AK842">
        <f t="shared" si="246"/>
        <v>6336.44</v>
      </c>
      <c r="AL842">
        <v>4680.68</v>
      </c>
      <c r="AM842">
        <v>1655.76</v>
      </c>
      <c r="AN842">
        <f t="shared" si="247"/>
        <v>1655.7599999999993</v>
      </c>
      <c r="AO842">
        <f t="shared" si="248"/>
        <v>-4680.68</v>
      </c>
      <c r="AP842" t="s">
        <v>34</v>
      </c>
      <c r="AQ842" t="str">
        <f t="shared" si="249"/>
        <v>Paid</v>
      </c>
      <c r="AR842" t="s">
        <v>35</v>
      </c>
      <c r="AS842" t="str">
        <f t="shared" si="250"/>
        <v>Completed</v>
      </c>
      <c r="AT842" t="str">
        <f t="shared" si="251"/>
        <v>Clean</v>
      </c>
    </row>
    <row r="843" spans="1:46">
      <c r="A843" t="s">
        <v>3853</v>
      </c>
      <c r="B843">
        <f>COUNTIF($D$2:D843,D843)</f>
        <v>3</v>
      </c>
      <c r="C843" t="str">
        <f>IF(COUNTIF($A:$A,A843)=1,
"Unique",
IF(COUNTIFS($A:$A,A843,$N:$N,N843,$AF:$AF,AF843,$AJ:$AJ,AJ843)&gt;1,
"Exact Duplicate",
"Conflicting Duplicate"))</f>
        <v>Unique</v>
      </c>
      <c r="D843" t="s">
        <v>3854</v>
      </c>
      <c r="E843" t="s">
        <v>3855</v>
      </c>
      <c r="F843" s="3">
        <v>45810</v>
      </c>
      <c r="G843" s="2">
        <v>45993</v>
      </c>
      <c r="H843" s="5" t="str">
        <f t="shared" si="234"/>
        <v>June</v>
      </c>
      <c r="I843" s="5">
        <f t="shared" si="235"/>
        <v>2025</v>
      </c>
      <c r="J843" t="str">
        <f>IF(F843="","Missing Date",
IF(ISNUMBER(F843),"Valid","Invalid Date"))</f>
        <v>Valid</v>
      </c>
      <c r="K843" t="str">
        <f t="shared" si="236"/>
        <v>Valid</v>
      </c>
      <c r="L843">
        <f>G843-F843</f>
        <v>183</v>
      </c>
      <c r="M843" t="s">
        <v>3856</v>
      </c>
      <c r="N843" t="s">
        <v>72</v>
      </c>
      <c r="O843" t="str">
        <f t="shared" si="237"/>
        <v>Ananya Rao</v>
      </c>
      <c r="P843" t="s">
        <v>41</v>
      </c>
      <c r="Q843" t="str">
        <f t="shared" si="238"/>
        <v>Small Business</v>
      </c>
      <c r="R843" t="s">
        <v>42</v>
      </c>
      <c r="S843" t="str">
        <f t="shared" si="239"/>
        <v>East</v>
      </c>
      <c r="T843" t="s">
        <v>186</v>
      </c>
      <c r="U843" t="str">
        <f t="shared" si="240"/>
        <v>Bihar</v>
      </c>
      <c r="V843" t="s">
        <v>187</v>
      </c>
      <c r="W843" t="str">
        <f t="shared" si="241"/>
        <v>Patna</v>
      </c>
      <c r="X843" t="s">
        <v>30</v>
      </c>
      <c r="Y843" t="str">
        <f t="shared" si="242"/>
        <v>Office Supplies</v>
      </c>
      <c r="Z843" t="s">
        <v>54</v>
      </c>
      <c r="AA843" t="str">
        <f t="shared" si="243"/>
        <v>Art</v>
      </c>
      <c r="AB843" t="s">
        <v>3857</v>
      </c>
      <c r="AC843" t="s">
        <v>67</v>
      </c>
      <c r="AD843" t="str">
        <f t="shared" si="244"/>
        <v>Standard Class</v>
      </c>
      <c r="AE843">
        <v>9</v>
      </c>
      <c r="AF843">
        <v>3237.16</v>
      </c>
      <c r="AG843">
        <v>0.25</v>
      </c>
      <c r="AH843">
        <v>0.25</v>
      </c>
      <c r="AI843" t="str">
        <f t="shared" si="245"/>
        <v>Valid</v>
      </c>
      <c r="AJ843">
        <v>21850.83</v>
      </c>
      <c r="AK843">
        <f t="shared" si="246"/>
        <v>21850.829999999998</v>
      </c>
      <c r="AL843">
        <v>16600.13</v>
      </c>
      <c r="AM843">
        <v>5250.7</v>
      </c>
      <c r="AN843">
        <f t="shared" si="247"/>
        <v>5250.6999999999971</v>
      </c>
      <c r="AO843">
        <f t="shared" si="248"/>
        <v>-16600.13</v>
      </c>
      <c r="AP843" t="s">
        <v>34</v>
      </c>
      <c r="AQ843" t="str">
        <f t="shared" si="249"/>
        <v>Paid</v>
      </c>
      <c r="AR843" t="s">
        <v>35</v>
      </c>
      <c r="AS843" t="str">
        <f t="shared" si="250"/>
        <v>Completed</v>
      </c>
      <c r="AT843" t="str">
        <f t="shared" si="251"/>
        <v>Clean</v>
      </c>
    </row>
    <row r="844" spans="1:46">
      <c r="A844" t="s">
        <v>3858</v>
      </c>
      <c r="B844">
        <f>COUNTIF($D$2:D844,D844)</f>
        <v>2</v>
      </c>
      <c r="C844" t="str">
        <f>IF(COUNTIF($A:$A,A844)=1,
"Unique",
IF(COUNTIFS($A:$A,A844,$N:$N,N844,$AF:$AF,AF844,$AJ:$AJ,AJ844)&gt;1,
"Exact Duplicate",
"Conflicting Duplicate"))</f>
        <v>Unique</v>
      </c>
      <c r="D844" t="s">
        <v>3859</v>
      </c>
      <c r="E844" t="s">
        <v>3860</v>
      </c>
      <c r="F844" s="3">
        <v>45382</v>
      </c>
      <c r="G844" s="3">
        <v>45381</v>
      </c>
      <c r="H844" s="5" t="str">
        <f t="shared" si="234"/>
        <v>March</v>
      </c>
      <c r="I844" s="5">
        <f t="shared" si="235"/>
        <v>2024</v>
      </c>
      <c r="J844" t="str">
        <f>IF(F844="","Missing Date",
IF(ISNUMBER(F844),"Valid","Invalid Date"))</f>
        <v>Valid</v>
      </c>
      <c r="K844" t="str">
        <f t="shared" si="236"/>
        <v>Valid</v>
      </c>
      <c r="L844">
        <f>G844-F844</f>
        <v>-1</v>
      </c>
      <c r="M844" t="s">
        <v>3861</v>
      </c>
      <c r="N844" t="s">
        <v>3862</v>
      </c>
      <c r="O844" t="str">
        <f t="shared" si="237"/>
        <v>Kabir Singh</v>
      </c>
      <c r="P844" t="s">
        <v>26</v>
      </c>
      <c r="Q844" t="str">
        <f t="shared" si="238"/>
        <v>Consumer</v>
      </c>
      <c r="R844" t="s">
        <v>27</v>
      </c>
      <c r="S844" t="str">
        <f t="shared" si="239"/>
        <v>North</v>
      </c>
      <c r="T844" t="s">
        <v>323</v>
      </c>
      <c r="U844" t="str">
        <f t="shared" si="240"/>
        <v>Haryana</v>
      </c>
      <c r="V844" t="s">
        <v>324</v>
      </c>
      <c r="W844" t="str">
        <f t="shared" si="241"/>
        <v>Gurugram</v>
      </c>
      <c r="X844" t="s">
        <v>86</v>
      </c>
      <c r="Y844" t="str">
        <f t="shared" si="242"/>
        <v>Technology</v>
      </c>
      <c r="Z844" t="s">
        <v>382</v>
      </c>
      <c r="AA844" t="str">
        <f t="shared" si="243"/>
        <v>Machines</v>
      </c>
      <c r="AB844" t="s">
        <v>3863</v>
      </c>
      <c r="AC844" t="s">
        <v>56</v>
      </c>
      <c r="AD844" t="str">
        <f t="shared" si="244"/>
        <v>First Class</v>
      </c>
      <c r="AE844">
        <v>4</v>
      </c>
      <c r="AF844">
        <v>2192.08</v>
      </c>
      <c r="AG844">
        <v>0.15</v>
      </c>
      <c r="AH844">
        <v>0.15</v>
      </c>
      <c r="AI844" t="str">
        <f t="shared" si="245"/>
        <v>Valid</v>
      </c>
      <c r="AJ844">
        <v>7453.07</v>
      </c>
      <c r="AK844">
        <f t="shared" si="246"/>
        <v>7453.0719999999992</v>
      </c>
      <c r="AL844">
        <v>5133.78</v>
      </c>
      <c r="AM844">
        <v>2319.29</v>
      </c>
      <c r="AN844">
        <f t="shared" si="247"/>
        <v>2319.2919999999995</v>
      </c>
      <c r="AO844">
        <f t="shared" si="248"/>
        <v>-5133.78</v>
      </c>
      <c r="AP844" t="s">
        <v>34</v>
      </c>
      <c r="AQ844" t="str">
        <f t="shared" si="249"/>
        <v>Paid</v>
      </c>
      <c r="AR844" t="s">
        <v>125</v>
      </c>
      <c r="AS844" t="str">
        <f t="shared" si="250"/>
        <v>Returned</v>
      </c>
      <c r="AT844" t="str">
        <f t="shared" si="251"/>
        <v>Clean</v>
      </c>
    </row>
    <row r="845" spans="1:46">
      <c r="A845" t="s">
        <v>3864</v>
      </c>
      <c r="B845">
        <f>COUNTIF($D$2:D845,D845)</f>
        <v>3</v>
      </c>
      <c r="C845" t="str">
        <f>IF(COUNTIF($A:$A,A845)=1,
"Unique",
IF(COUNTIFS($A:$A,A845,$N:$N,N845,$AF:$AF,AF845,$AJ:$AJ,AJ845)&gt;1,
"Exact Duplicate",
"Conflicting Duplicate"))</f>
        <v>Unique</v>
      </c>
      <c r="D845" t="s">
        <v>2700</v>
      </c>
      <c r="E845" t="s">
        <v>3865</v>
      </c>
      <c r="F845" s="2">
        <v>45856</v>
      </c>
      <c r="G845" s="2">
        <v>45863</v>
      </c>
      <c r="H845" s="5" t="str">
        <f t="shared" si="234"/>
        <v>July</v>
      </c>
      <c r="I845" s="5">
        <f t="shared" si="235"/>
        <v>2025</v>
      </c>
      <c r="J845" t="str">
        <f>IF(F845="","Missing Date",
IF(ISNUMBER(F845),"Valid","Invalid Date"))</f>
        <v>Valid</v>
      </c>
      <c r="K845" t="str">
        <f t="shared" si="236"/>
        <v>Valid</v>
      </c>
      <c r="L845">
        <f>G845-F845</f>
        <v>7</v>
      </c>
      <c r="M845" t="s">
        <v>3866</v>
      </c>
      <c r="N845" t="s">
        <v>142</v>
      </c>
      <c r="O845" t="str">
        <f t="shared" si="237"/>
        <v>Priya Menon</v>
      </c>
      <c r="P845" t="s">
        <v>41</v>
      </c>
      <c r="Q845" t="str">
        <f t="shared" si="238"/>
        <v>Small Business</v>
      </c>
      <c r="R845" t="s">
        <v>27</v>
      </c>
      <c r="S845" t="str">
        <f t="shared" si="239"/>
        <v>North</v>
      </c>
      <c r="T845" t="s">
        <v>174</v>
      </c>
      <c r="U845" t="str">
        <f t="shared" si="240"/>
        <v>Uttar Pradesh</v>
      </c>
      <c r="V845" t="s">
        <v>175</v>
      </c>
      <c r="W845" t="str">
        <f t="shared" si="241"/>
        <v>Noida</v>
      </c>
      <c r="X845" t="s">
        <v>86</v>
      </c>
      <c r="Y845" t="str">
        <f t="shared" si="242"/>
        <v>Technology</v>
      </c>
      <c r="Z845" t="s">
        <v>223</v>
      </c>
      <c r="AA845" t="str">
        <f t="shared" si="243"/>
        <v>Phones</v>
      </c>
      <c r="AB845" t="s">
        <v>3867</v>
      </c>
      <c r="AC845" t="s">
        <v>56</v>
      </c>
      <c r="AD845" t="str">
        <f t="shared" si="244"/>
        <v>First Class</v>
      </c>
      <c r="AE845">
        <v>9</v>
      </c>
      <c r="AF845">
        <v>3989.52</v>
      </c>
      <c r="AG845">
        <v>-0.02</v>
      </c>
      <c r="AH845">
        <v>-0.02</v>
      </c>
      <c r="AI845" t="str">
        <f t="shared" si="245"/>
        <v>Invalid - Negative Discount</v>
      </c>
      <c r="AJ845">
        <v>35905.68</v>
      </c>
      <c r="AK845">
        <f t="shared" si="246"/>
        <v>36623.793600000005</v>
      </c>
      <c r="AL845">
        <v>23916.1</v>
      </c>
      <c r="AM845">
        <v>11989.58</v>
      </c>
      <c r="AN845">
        <f t="shared" si="247"/>
        <v>12707.693600000006</v>
      </c>
      <c r="AO845">
        <f t="shared" si="248"/>
        <v>-23916.1</v>
      </c>
      <c r="AP845" t="s">
        <v>34</v>
      </c>
      <c r="AQ845" t="str">
        <f t="shared" si="249"/>
        <v>Paid</v>
      </c>
      <c r="AR845" t="s">
        <v>35</v>
      </c>
      <c r="AS845" t="str">
        <f t="shared" si="250"/>
        <v>Completed</v>
      </c>
      <c r="AT845" t="str">
        <f t="shared" si="251"/>
        <v>Clean</v>
      </c>
    </row>
    <row r="846" spans="1:46">
      <c r="A846" t="s">
        <v>3868</v>
      </c>
      <c r="B846">
        <f>COUNTIF($D$2:D846,D846)</f>
        <v>1</v>
      </c>
      <c r="C846" t="str">
        <f>IF(COUNTIF($A:$A,A846)=1,
"Unique",
IF(COUNTIFS($A:$A,A846,$N:$N,N846,$AF:$AF,AF846,$AJ:$AJ,AJ846)&gt;1,
"Exact Duplicate",
"Conflicting Duplicate"))</f>
        <v>Unique</v>
      </c>
      <c r="D846" t="s">
        <v>3869</v>
      </c>
      <c r="E846" t="s">
        <v>3870</v>
      </c>
      <c r="F846" s="3">
        <v>45677</v>
      </c>
      <c r="G846" s="3">
        <v>45682</v>
      </c>
      <c r="H846" s="5" t="str">
        <f t="shared" si="234"/>
        <v>January</v>
      </c>
      <c r="I846" s="5">
        <f t="shared" si="235"/>
        <v>2025</v>
      </c>
      <c r="J846" t="str">
        <f>IF(F846="","Missing Date",
IF(ISNUMBER(F846),"Valid","Invalid Date"))</f>
        <v>Valid</v>
      </c>
      <c r="K846" t="str">
        <f t="shared" si="236"/>
        <v>Valid</v>
      </c>
      <c r="L846">
        <f>G846-F846</f>
        <v>5</v>
      </c>
      <c r="M846" t="s">
        <v>3871</v>
      </c>
      <c r="N846" t="s">
        <v>107</v>
      </c>
      <c r="O846" t="str">
        <f t="shared" si="237"/>
        <v>Aditi Sen</v>
      </c>
      <c r="P846" t="s">
        <v>115</v>
      </c>
      <c r="Q846" t="str">
        <f t="shared" si="238"/>
        <v>Home Office</v>
      </c>
      <c r="R846" t="s">
        <v>73</v>
      </c>
      <c r="S846" t="str">
        <f t="shared" si="239"/>
        <v>West</v>
      </c>
      <c r="T846" t="s">
        <v>249</v>
      </c>
      <c r="U846" t="str">
        <f t="shared" si="240"/>
        <v>Goa</v>
      </c>
      <c r="V846" t="s">
        <v>250</v>
      </c>
      <c r="W846" t="str">
        <f t="shared" si="241"/>
        <v>Panaji</v>
      </c>
      <c r="X846" t="s">
        <v>30</v>
      </c>
      <c r="Y846" t="str">
        <f t="shared" si="242"/>
        <v>Office Supplies</v>
      </c>
      <c r="Z846" t="s">
        <v>54</v>
      </c>
      <c r="AA846" t="str">
        <f t="shared" si="243"/>
        <v>Art</v>
      </c>
      <c r="AB846" t="s">
        <v>3872</v>
      </c>
      <c r="AC846" t="s">
        <v>56</v>
      </c>
      <c r="AD846" t="str">
        <f t="shared" si="244"/>
        <v>First Class</v>
      </c>
      <c r="AE846">
        <v>1</v>
      </c>
      <c r="AF846">
        <v>3515.15</v>
      </c>
      <c r="AG846">
        <v>0</v>
      </c>
      <c r="AH846">
        <v>0</v>
      </c>
      <c r="AI846" t="str">
        <f t="shared" si="245"/>
        <v>Valid</v>
      </c>
      <c r="AJ846">
        <v>3515.15</v>
      </c>
      <c r="AK846">
        <f t="shared" si="246"/>
        <v>3515.15</v>
      </c>
      <c r="AL846">
        <v>2216.34</v>
      </c>
      <c r="AM846">
        <v>1298.81</v>
      </c>
      <c r="AN846">
        <f t="shared" si="247"/>
        <v>1298.81</v>
      </c>
      <c r="AO846">
        <f t="shared" si="248"/>
        <v>-2216.34</v>
      </c>
      <c r="AP846" t="s">
        <v>34</v>
      </c>
      <c r="AQ846" t="str">
        <f t="shared" si="249"/>
        <v>Paid</v>
      </c>
      <c r="AR846" t="s">
        <v>35</v>
      </c>
      <c r="AS846" t="str">
        <f t="shared" si="250"/>
        <v>Completed</v>
      </c>
      <c r="AT846" t="str">
        <f t="shared" si="251"/>
        <v>Clean</v>
      </c>
    </row>
    <row r="847" spans="1:46">
      <c r="A847" t="s">
        <v>3873</v>
      </c>
      <c r="B847">
        <f>COUNTIF($D$2:D847,D847)</f>
        <v>2</v>
      </c>
      <c r="C847" t="str">
        <f>IF(COUNTIF($A:$A,A847)=1,
"Unique",
IF(COUNTIFS($A:$A,A847,$N:$N,N847,$AF:$AF,AF847,$AJ:$AJ,AJ847)&gt;1,
"Exact Duplicate",
"Conflicting Duplicate"))</f>
        <v>Unique</v>
      </c>
      <c r="D847" t="s">
        <v>2772</v>
      </c>
      <c r="E847" t="s">
        <v>3874</v>
      </c>
      <c r="F847" s="3">
        <v>45345</v>
      </c>
      <c r="G847" s="2">
        <v>45349</v>
      </c>
      <c r="H847" s="5" t="str">
        <f t="shared" si="234"/>
        <v>February</v>
      </c>
      <c r="I847" s="5">
        <f t="shared" si="235"/>
        <v>2024</v>
      </c>
      <c r="J847" t="str">
        <f>IF(F847="","Missing Date",
IF(ISNUMBER(F847),"Valid","Invalid Date"))</f>
        <v>Valid</v>
      </c>
      <c r="K847" t="str">
        <f t="shared" si="236"/>
        <v>Valid</v>
      </c>
      <c r="L847">
        <f>G847-F847</f>
        <v>4</v>
      </c>
      <c r="M847" t="s">
        <v>893</v>
      </c>
      <c r="N847" t="s">
        <v>25</v>
      </c>
      <c r="O847" t="str">
        <f t="shared" si="237"/>
        <v>Karan Malhotra</v>
      </c>
      <c r="P847" t="s">
        <v>26</v>
      </c>
      <c r="Q847" t="str">
        <f t="shared" si="238"/>
        <v>Consumer</v>
      </c>
      <c r="R847" t="s">
        <v>42</v>
      </c>
      <c r="S847" t="str">
        <f t="shared" si="239"/>
        <v>East</v>
      </c>
      <c r="T847" t="s">
        <v>43</v>
      </c>
      <c r="U847" t="str">
        <f t="shared" si="240"/>
        <v>Odisha</v>
      </c>
      <c r="V847" t="s">
        <v>44</v>
      </c>
      <c r="W847" t="str">
        <f t="shared" si="241"/>
        <v>Bhubaneswar</v>
      </c>
      <c r="X847" t="s">
        <v>45</v>
      </c>
      <c r="Y847" t="str">
        <f t="shared" si="242"/>
        <v>Furniture</v>
      </c>
      <c r="Z847" t="s">
        <v>46</v>
      </c>
      <c r="AA847" t="str">
        <f t="shared" si="243"/>
        <v>Tables</v>
      </c>
      <c r="AB847" t="s">
        <v>3875</v>
      </c>
      <c r="AC847" t="s">
        <v>56</v>
      </c>
      <c r="AD847" t="str">
        <f t="shared" si="244"/>
        <v>First Class</v>
      </c>
      <c r="AE847">
        <v>9</v>
      </c>
      <c r="AF847">
        <v>3616.23</v>
      </c>
      <c r="AG847">
        <v>0.25</v>
      </c>
      <c r="AH847">
        <v>0.25</v>
      </c>
      <c r="AI847" t="str">
        <f t="shared" si="245"/>
        <v>Valid</v>
      </c>
      <c r="AJ847">
        <v>24409.55</v>
      </c>
      <c r="AK847">
        <f t="shared" si="246"/>
        <v>24409.552499999998</v>
      </c>
      <c r="AL847">
        <v>17157.580000000002</v>
      </c>
      <c r="AM847">
        <v>7251.97</v>
      </c>
      <c r="AN847">
        <f t="shared" si="247"/>
        <v>7251.9724999999962</v>
      </c>
      <c r="AO847">
        <f t="shared" si="248"/>
        <v>-17157.580000000002</v>
      </c>
      <c r="AP847" t="s">
        <v>137</v>
      </c>
      <c r="AQ847" t="str">
        <f t="shared" si="249"/>
        <v>Pending</v>
      </c>
      <c r="AR847" t="s">
        <v>125</v>
      </c>
      <c r="AS847" t="str">
        <f t="shared" si="250"/>
        <v>Returned</v>
      </c>
      <c r="AT847" t="str">
        <f t="shared" si="251"/>
        <v>Clean</v>
      </c>
    </row>
    <row r="848" spans="1:46">
      <c r="A848" t="s">
        <v>3876</v>
      </c>
      <c r="B848">
        <f>COUNTIF($D$2:D848,D848)</f>
        <v>2</v>
      </c>
      <c r="C848" t="str">
        <f>IF(COUNTIF($A:$A,A848)=1,
"Unique",
IF(COUNTIFS($A:$A,A848,$N:$N,N848,$AF:$AF,AF848,$AJ:$AJ,AJ848)&gt;1,
"Exact Duplicate",
"Conflicting Duplicate"))</f>
        <v>Unique</v>
      </c>
      <c r="D848" t="s">
        <v>3877</v>
      </c>
      <c r="E848" t="s">
        <v>3878</v>
      </c>
      <c r="F848" s="3">
        <v>45396</v>
      </c>
      <c r="G848" s="3">
        <v>45404</v>
      </c>
      <c r="H848" s="5" t="str">
        <f t="shared" si="234"/>
        <v>April</v>
      </c>
      <c r="I848" s="5">
        <f t="shared" si="235"/>
        <v>2024</v>
      </c>
      <c r="J848" t="str">
        <f>IF(F848="","Missing Date",
IF(ISNUMBER(F848),"Valid","Invalid Date"))</f>
        <v>Valid</v>
      </c>
      <c r="K848" t="str">
        <f t="shared" si="236"/>
        <v>Valid</v>
      </c>
      <c r="L848">
        <f>G848-F848</f>
        <v>8</v>
      </c>
      <c r="M848" t="s">
        <v>3879</v>
      </c>
      <c r="N848" t="s">
        <v>142</v>
      </c>
      <c r="O848" t="str">
        <f t="shared" si="237"/>
        <v>Priya Menon</v>
      </c>
      <c r="P848" t="s">
        <v>41</v>
      </c>
      <c r="Q848" t="str">
        <f t="shared" si="238"/>
        <v>Small Business</v>
      </c>
      <c r="R848" t="s">
        <v>73</v>
      </c>
      <c r="S848" t="str">
        <f t="shared" si="239"/>
        <v>West</v>
      </c>
      <c r="T848" t="s">
        <v>235</v>
      </c>
      <c r="U848" t="str">
        <f t="shared" si="240"/>
        <v>Gujarat</v>
      </c>
      <c r="V848" t="s">
        <v>236</v>
      </c>
      <c r="W848" t="str">
        <f t="shared" si="241"/>
        <v>Ahmedabad</v>
      </c>
      <c r="X848" t="s">
        <v>45</v>
      </c>
      <c r="Y848" t="str">
        <f t="shared" si="242"/>
        <v>Furniture</v>
      </c>
      <c r="Z848" t="s">
        <v>204</v>
      </c>
      <c r="AA848" t="str">
        <f t="shared" si="243"/>
        <v>Bookcases</v>
      </c>
      <c r="AB848" t="s">
        <v>3880</v>
      </c>
      <c r="AC848" t="s">
        <v>67</v>
      </c>
      <c r="AD848" t="str">
        <f t="shared" si="244"/>
        <v>Standard Class</v>
      </c>
      <c r="AE848">
        <v>2</v>
      </c>
      <c r="AF848">
        <v>3977.52</v>
      </c>
      <c r="AG848">
        <v>0</v>
      </c>
      <c r="AH848">
        <v>0</v>
      </c>
      <c r="AI848" t="str">
        <f t="shared" si="245"/>
        <v>Valid</v>
      </c>
      <c r="AJ848">
        <v>7955.04</v>
      </c>
      <c r="AK848">
        <f t="shared" si="246"/>
        <v>7955.04</v>
      </c>
      <c r="AL848">
        <v>5580.68</v>
      </c>
      <c r="AM848">
        <v>2374.36</v>
      </c>
      <c r="AN848">
        <f t="shared" si="247"/>
        <v>2374.3599999999997</v>
      </c>
      <c r="AO848">
        <f t="shared" si="248"/>
        <v>-5580.68</v>
      </c>
      <c r="AP848" t="s">
        <v>137</v>
      </c>
      <c r="AQ848" t="str">
        <f t="shared" si="249"/>
        <v>Pending</v>
      </c>
      <c r="AR848" t="s">
        <v>125</v>
      </c>
      <c r="AS848" t="str">
        <f t="shared" si="250"/>
        <v>Returned</v>
      </c>
      <c r="AT848" t="str">
        <f t="shared" si="251"/>
        <v>Clean</v>
      </c>
    </row>
    <row r="849" spans="1:46">
      <c r="A849" t="s">
        <v>3881</v>
      </c>
      <c r="B849">
        <f>COUNTIF($D$2:D849,D849)</f>
        <v>3</v>
      </c>
      <c r="C849" t="str">
        <f>IF(COUNTIF($A:$A,A849)=1,
"Unique",
IF(COUNTIFS($A:$A,A849,$N:$N,N849,$AF:$AF,AF849,$AJ:$AJ,AJ849)&gt;1,
"Exact Duplicate",
"Conflicting Duplicate"))</f>
        <v>Unique</v>
      </c>
      <c r="D849" t="s">
        <v>3882</v>
      </c>
      <c r="E849" t="s">
        <v>3883</v>
      </c>
      <c r="F849" s="3">
        <v>45797</v>
      </c>
      <c r="G849" s="3">
        <v>45799</v>
      </c>
      <c r="H849" s="5" t="str">
        <f t="shared" si="234"/>
        <v>May</v>
      </c>
      <c r="I849" s="5">
        <f t="shared" si="235"/>
        <v>2025</v>
      </c>
      <c r="J849" t="str">
        <f>IF(F849="","Missing Date",
IF(ISNUMBER(F849),"Valid","Invalid Date"))</f>
        <v>Valid</v>
      </c>
      <c r="K849" t="str">
        <f t="shared" si="236"/>
        <v>Valid</v>
      </c>
      <c r="L849">
        <f>G849-F849</f>
        <v>2</v>
      </c>
      <c r="M849" t="s">
        <v>3884</v>
      </c>
      <c r="N849" t="s">
        <v>210</v>
      </c>
      <c r="O849" t="str">
        <f t="shared" si="237"/>
        <v>Diya Patel</v>
      </c>
      <c r="P849" t="s">
        <v>115</v>
      </c>
      <c r="Q849" t="str">
        <f t="shared" si="238"/>
        <v>Home Office</v>
      </c>
      <c r="R849" t="s">
        <v>42</v>
      </c>
      <c r="S849" t="str">
        <f t="shared" si="239"/>
        <v>East</v>
      </c>
      <c r="T849" t="s">
        <v>43</v>
      </c>
      <c r="U849" t="str">
        <f t="shared" si="240"/>
        <v>Odisha</v>
      </c>
      <c r="V849" t="s">
        <v>44</v>
      </c>
      <c r="W849" t="str">
        <f t="shared" si="241"/>
        <v>Bhubaneswar</v>
      </c>
      <c r="X849" t="s">
        <v>45</v>
      </c>
      <c r="Y849" t="str">
        <f t="shared" si="242"/>
        <v>Furniture</v>
      </c>
      <c r="Z849" t="s">
        <v>46</v>
      </c>
      <c r="AA849" t="str">
        <f t="shared" si="243"/>
        <v>Tables</v>
      </c>
      <c r="AB849" t="s">
        <v>3885</v>
      </c>
      <c r="AC849" t="s">
        <v>33</v>
      </c>
      <c r="AD849" t="str">
        <f t="shared" si="244"/>
        <v>Second Class</v>
      </c>
      <c r="AE849">
        <v>2</v>
      </c>
      <c r="AF849">
        <v>210.08</v>
      </c>
      <c r="AG849">
        <v>0.2</v>
      </c>
      <c r="AH849">
        <v>0.2</v>
      </c>
      <c r="AI849" t="str">
        <f t="shared" si="245"/>
        <v>Valid</v>
      </c>
      <c r="AJ849">
        <v>336.13</v>
      </c>
      <c r="AK849">
        <f t="shared" si="246"/>
        <v>336.12800000000004</v>
      </c>
      <c r="AL849">
        <v>242.19</v>
      </c>
      <c r="AM849">
        <v>93.94</v>
      </c>
      <c r="AN849">
        <f t="shared" si="247"/>
        <v>93.938000000000045</v>
      </c>
      <c r="AO849">
        <f t="shared" si="248"/>
        <v>-242.19</v>
      </c>
      <c r="AP849" t="s">
        <v>34</v>
      </c>
      <c r="AQ849" t="str">
        <f t="shared" si="249"/>
        <v>Paid</v>
      </c>
      <c r="AR849" t="s">
        <v>35</v>
      </c>
      <c r="AS849" t="str">
        <f t="shared" si="250"/>
        <v>Completed</v>
      </c>
      <c r="AT849" t="str">
        <f t="shared" si="251"/>
        <v>Clean</v>
      </c>
    </row>
    <row r="850" spans="1:46">
      <c r="A850" t="s">
        <v>3886</v>
      </c>
      <c r="B850">
        <f>COUNTIF($D$2:D850,D850)</f>
        <v>2</v>
      </c>
      <c r="C850" t="str">
        <f>IF(COUNTIF($A:$A,A850)=1,
"Unique",
IF(COUNTIFS($A:$A,A850,$N:$N,N850,$AF:$AF,AF850,$AJ:$AJ,AJ850)&gt;1,
"Exact Duplicate",
"Conflicting Duplicate"))</f>
        <v>Unique</v>
      </c>
      <c r="D850" t="s">
        <v>3145</v>
      </c>
      <c r="E850" t="s">
        <v>3887</v>
      </c>
      <c r="F850" s="3">
        <v>45804</v>
      </c>
      <c r="G850" s="2">
        <v>45806</v>
      </c>
      <c r="H850" s="5" t="str">
        <f t="shared" si="234"/>
        <v>May</v>
      </c>
      <c r="I850" s="5">
        <f t="shared" si="235"/>
        <v>2025</v>
      </c>
      <c r="J850" t="str">
        <f>IF(F850="","Missing Date",
IF(ISNUMBER(F850),"Valid","Invalid Date"))</f>
        <v>Valid</v>
      </c>
      <c r="K850" t="str">
        <f t="shared" si="236"/>
        <v>Valid</v>
      </c>
      <c r="L850">
        <f>G850-F850</f>
        <v>2</v>
      </c>
      <c r="M850" t="s">
        <v>3888</v>
      </c>
      <c r="N850" t="s">
        <v>148</v>
      </c>
      <c r="O850" t="str">
        <f t="shared" si="237"/>
        <v>Rahul Verma</v>
      </c>
      <c r="P850" t="s">
        <v>115</v>
      </c>
      <c r="Q850" t="str">
        <f t="shared" si="238"/>
        <v>Home Office</v>
      </c>
      <c r="R850" t="s">
        <v>62</v>
      </c>
      <c r="S850" t="str">
        <f t="shared" si="239"/>
        <v>South</v>
      </c>
      <c r="T850" t="s">
        <v>339</v>
      </c>
      <c r="U850" t="str">
        <f t="shared" si="240"/>
        <v>Tamil Nadu</v>
      </c>
      <c r="V850" t="s">
        <v>340</v>
      </c>
      <c r="W850" t="str">
        <f t="shared" si="241"/>
        <v>Chennai</v>
      </c>
      <c r="X850" t="s">
        <v>45</v>
      </c>
      <c r="Y850" t="str">
        <f t="shared" si="242"/>
        <v>Furniture</v>
      </c>
      <c r="Z850" t="s">
        <v>65</v>
      </c>
      <c r="AA850" t="str">
        <f t="shared" si="243"/>
        <v>Furnishings</v>
      </c>
      <c r="AB850" t="s">
        <v>3889</v>
      </c>
      <c r="AC850" t="s">
        <v>33</v>
      </c>
      <c r="AD850" t="str">
        <f t="shared" si="244"/>
        <v>Second Class</v>
      </c>
      <c r="AE850">
        <v>1</v>
      </c>
      <c r="AF850">
        <v>1744.35</v>
      </c>
      <c r="AG850">
        <v>0.25</v>
      </c>
      <c r="AH850">
        <v>0.25</v>
      </c>
      <c r="AI850" t="str">
        <f t="shared" si="245"/>
        <v>Valid</v>
      </c>
      <c r="AJ850">
        <v>1308.26</v>
      </c>
      <c r="AK850">
        <f t="shared" si="246"/>
        <v>1308.2624999999998</v>
      </c>
      <c r="AL850">
        <v>1083.56</v>
      </c>
      <c r="AM850">
        <v>224.7</v>
      </c>
      <c r="AN850">
        <f t="shared" si="247"/>
        <v>224.70249999999987</v>
      </c>
      <c r="AO850">
        <f t="shared" si="248"/>
        <v>-1083.56</v>
      </c>
      <c r="AP850" t="s">
        <v>34</v>
      </c>
      <c r="AQ850" t="str">
        <f t="shared" si="249"/>
        <v>Paid</v>
      </c>
      <c r="AR850" t="s">
        <v>35</v>
      </c>
      <c r="AS850" t="str">
        <f t="shared" si="250"/>
        <v>Completed</v>
      </c>
      <c r="AT850" t="str">
        <f t="shared" si="251"/>
        <v>Clean</v>
      </c>
    </row>
    <row r="851" spans="1:46">
      <c r="A851" t="s">
        <v>3890</v>
      </c>
      <c r="B851">
        <f>COUNTIF($D$2:D851,D851)</f>
        <v>1</v>
      </c>
      <c r="C851" t="str">
        <f>IF(COUNTIF($A:$A,A851)=1,
"Unique",
IF(COUNTIFS($A:$A,A851,$N:$N,N851,$AF:$AF,AF851,$AJ:$AJ,AJ851)&gt;1,
"Exact Duplicate",
"Conflicting Duplicate"))</f>
        <v>Exact Duplicate</v>
      </c>
      <c r="D851" t="s">
        <v>3891</v>
      </c>
      <c r="E851" t="s">
        <v>1071</v>
      </c>
      <c r="F851" s="3">
        <v>45446</v>
      </c>
      <c r="G851" s="3">
        <v>45629</v>
      </c>
      <c r="H851" s="5" t="str">
        <f t="shared" si="234"/>
        <v>June</v>
      </c>
      <c r="I851" s="5">
        <f t="shared" si="235"/>
        <v>2024</v>
      </c>
      <c r="J851" t="str">
        <f>IF(F851="","Missing Date",
IF(ISNUMBER(F851),"Valid","Invalid Date"))</f>
        <v>Valid</v>
      </c>
      <c r="K851" t="str">
        <f t="shared" si="236"/>
        <v>Valid</v>
      </c>
      <c r="L851">
        <f>G851-F851</f>
        <v>183</v>
      </c>
      <c r="M851" t="s">
        <v>3892</v>
      </c>
      <c r="N851" t="s">
        <v>53</v>
      </c>
      <c r="O851" t="str">
        <f t="shared" si="237"/>
        <v>Isha Nair</v>
      </c>
      <c r="P851" t="s">
        <v>115</v>
      </c>
      <c r="Q851" t="str">
        <f t="shared" si="238"/>
        <v>Home Office</v>
      </c>
      <c r="R851" t="s">
        <v>73</v>
      </c>
      <c r="S851" t="str">
        <f t="shared" si="239"/>
        <v>West</v>
      </c>
      <c r="T851" t="s">
        <v>235</v>
      </c>
      <c r="U851" t="str">
        <f t="shared" si="240"/>
        <v>Gujarat</v>
      </c>
      <c r="V851" t="s">
        <v>236</v>
      </c>
      <c r="W851" t="str">
        <f t="shared" si="241"/>
        <v>Ahmedabad</v>
      </c>
      <c r="X851" t="s">
        <v>45</v>
      </c>
      <c r="Y851" t="str">
        <f t="shared" si="242"/>
        <v>Furniture</v>
      </c>
      <c r="Z851" t="s">
        <v>204</v>
      </c>
      <c r="AA851" t="str">
        <f t="shared" si="243"/>
        <v>Bookcases</v>
      </c>
      <c r="AB851" t="s">
        <v>3893</v>
      </c>
      <c r="AC851" t="s">
        <v>67</v>
      </c>
      <c r="AD851" t="str">
        <f t="shared" si="244"/>
        <v>Standard Class</v>
      </c>
      <c r="AE851">
        <v>3</v>
      </c>
      <c r="AF851">
        <v>679.63</v>
      </c>
      <c r="AG851">
        <v>0.2</v>
      </c>
      <c r="AH851">
        <v>0.2</v>
      </c>
      <c r="AI851" t="str">
        <f t="shared" si="245"/>
        <v>Valid</v>
      </c>
      <c r="AJ851">
        <v>1631.11</v>
      </c>
      <c r="AK851">
        <f t="shared" si="246"/>
        <v>1631.1120000000001</v>
      </c>
      <c r="AL851">
        <v>898.73</v>
      </c>
      <c r="AM851">
        <v>396.58</v>
      </c>
      <c r="AN851">
        <f t="shared" si="247"/>
        <v>732.38200000000006</v>
      </c>
      <c r="AO851">
        <f t="shared" si="248"/>
        <v>-898.73</v>
      </c>
      <c r="AP851" t="s">
        <v>34</v>
      </c>
      <c r="AQ851" t="str">
        <f t="shared" si="249"/>
        <v>Paid</v>
      </c>
      <c r="AR851" t="s">
        <v>35</v>
      </c>
      <c r="AS851" t="str">
        <f t="shared" si="250"/>
        <v>Completed</v>
      </c>
      <c r="AT851" t="str">
        <f t="shared" si="251"/>
        <v>Clean</v>
      </c>
    </row>
    <row r="852" spans="1:46">
      <c r="A852" t="s">
        <v>3894</v>
      </c>
      <c r="B852">
        <f>COUNTIF($D$2:D852,D852)</f>
        <v>2</v>
      </c>
      <c r="C852" t="str">
        <f>IF(COUNTIF($A:$A,A852)=1,
"Unique",
IF(COUNTIFS($A:$A,A852,$N:$N,N852,$AF:$AF,AF852,$AJ:$AJ,AJ852)&gt;1,
"Exact Duplicate",
"Conflicting Duplicate"))</f>
        <v>Unique</v>
      </c>
      <c r="D852" t="s">
        <v>2104</v>
      </c>
      <c r="E852" t="s">
        <v>3771</v>
      </c>
      <c r="F852" s="3">
        <v>45473</v>
      </c>
      <c r="G852" s="3">
        <v>45358</v>
      </c>
      <c r="H852" s="5" t="str">
        <f t="shared" si="234"/>
        <v>June</v>
      </c>
      <c r="I852" s="5">
        <f t="shared" si="235"/>
        <v>2024</v>
      </c>
      <c r="J852" t="str">
        <f>IF(F852="","Missing Date",
IF(ISNUMBER(F852),"Valid","Invalid Date"))</f>
        <v>Valid</v>
      </c>
      <c r="K852" t="str">
        <f t="shared" si="236"/>
        <v>Valid</v>
      </c>
      <c r="L852">
        <f>G852-F852</f>
        <v>-115</v>
      </c>
      <c r="M852" t="s">
        <v>3895</v>
      </c>
      <c r="N852" t="s">
        <v>142</v>
      </c>
      <c r="O852" t="str">
        <f t="shared" si="237"/>
        <v>Priya Menon</v>
      </c>
      <c r="P852" t="s">
        <v>115</v>
      </c>
      <c r="Q852" t="str">
        <f t="shared" si="238"/>
        <v>Home Office</v>
      </c>
      <c r="R852" t="s">
        <v>42</v>
      </c>
      <c r="S852" t="str">
        <f t="shared" si="239"/>
        <v>East</v>
      </c>
      <c r="T852" t="s">
        <v>121</v>
      </c>
      <c r="U852" t="str">
        <f t="shared" si="240"/>
        <v>West Bengal</v>
      </c>
      <c r="V852" t="s">
        <v>122</v>
      </c>
      <c r="W852" t="str">
        <f t="shared" si="241"/>
        <v>Kolkata</v>
      </c>
      <c r="X852" t="s">
        <v>30</v>
      </c>
      <c r="Y852" t="str">
        <f t="shared" si="242"/>
        <v>Office Supplies</v>
      </c>
      <c r="Z852" t="s">
        <v>31</v>
      </c>
      <c r="AA852" t="str">
        <f t="shared" si="243"/>
        <v>Paper</v>
      </c>
      <c r="AB852" t="s">
        <v>3896</v>
      </c>
      <c r="AC852" t="s">
        <v>56</v>
      </c>
      <c r="AD852" t="str">
        <f t="shared" si="244"/>
        <v>First Class</v>
      </c>
      <c r="AE852">
        <v>6</v>
      </c>
      <c r="AF852">
        <v>1211.01</v>
      </c>
      <c r="AG852">
        <v>0</v>
      </c>
      <c r="AH852">
        <v>0</v>
      </c>
      <c r="AI852" t="str">
        <f t="shared" si="245"/>
        <v>Valid</v>
      </c>
      <c r="AJ852">
        <v>7266.06</v>
      </c>
      <c r="AK852">
        <f t="shared" si="246"/>
        <v>7266.0599999999995</v>
      </c>
      <c r="AL852">
        <v>6216.89</v>
      </c>
      <c r="AM852">
        <v>1049.17</v>
      </c>
      <c r="AN852">
        <f t="shared" si="247"/>
        <v>1049.1699999999992</v>
      </c>
      <c r="AO852">
        <f t="shared" si="248"/>
        <v>-6216.89</v>
      </c>
      <c r="AP852" t="s">
        <v>34</v>
      </c>
      <c r="AQ852" t="str">
        <f t="shared" si="249"/>
        <v>Paid</v>
      </c>
      <c r="AR852" t="s">
        <v>35</v>
      </c>
      <c r="AS852" t="str">
        <f t="shared" si="250"/>
        <v>Completed</v>
      </c>
      <c r="AT852" t="str">
        <f t="shared" si="251"/>
        <v>Clean</v>
      </c>
    </row>
    <row r="853" spans="1:46">
      <c r="A853" t="s">
        <v>3897</v>
      </c>
      <c r="B853">
        <f>COUNTIF($D$2:D853,D853)</f>
        <v>1</v>
      </c>
      <c r="C853" t="str">
        <f>IF(COUNTIF($A:$A,A853)=1,
"Unique",
IF(COUNTIFS($A:$A,A853,$N:$N,N853,$AF:$AF,AF853,$AJ:$AJ,AJ853)&gt;1,
"Exact Duplicate",
"Conflicting Duplicate"))</f>
        <v>Unique</v>
      </c>
      <c r="D853" t="s">
        <v>806</v>
      </c>
      <c r="E853" t="s">
        <v>3154</v>
      </c>
      <c r="F853" s="3">
        <v>45377</v>
      </c>
      <c r="G853" s="2">
        <v>45295</v>
      </c>
      <c r="H853" s="5" t="str">
        <f t="shared" si="234"/>
        <v>March</v>
      </c>
      <c r="I853" s="5">
        <f t="shared" si="235"/>
        <v>2024</v>
      </c>
      <c r="J853" t="str">
        <f>IF(F853="","Missing Date",
IF(ISNUMBER(F853),"Valid","Invalid Date"))</f>
        <v>Valid</v>
      </c>
      <c r="K853" t="str">
        <f t="shared" si="236"/>
        <v>Valid</v>
      </c>
      <c r="L853">
        <f>G853-F853</f>
        <v>-82</v>
      </c>
      <c r="M853" t="s">
        <v>3898</v>
      </c>
      <c r="N853" t="s">
        <v>25</v>
      </c>
      <c r="O853" t="str">
        <f t="shared" si="237"/>
        <v>Karan Malhotra</v>
      </c>
      <c r="P853" t="s">
        <v>41</v>
      </c>
      <c r="Q853" t="str">
        <f t="shared" si="238"/>
        <v>Small Business</v>
      </c>
      <c r="R853" t="s">
        <v>73</v>
      </c>
      <c r="S853" t="str">
        <f t="shared" si="239"/>
        <v>West</v>
      </c>
      <c r="T853" t="s">
        <v>235</v>
      </c>
      <c r="U853" t="str">
        <f t="shared" si="240"/>
        <v>Gujarat</v>
      </c>
      <c r="V853" t="s">
        <v>236</v>
      </c>
      <c r="W853" t="str">
        <f t="shared" si="241"/>
        <v>Ahmedabad</v>
      </c>
      <c r="X853" t="s">
        <v>86</v>
      </c>
      <c r="Y853" t="str">
        <f t="shared" si="242"/>
        <v>Technology</v>
      </c>
      <c r="Z853" t="s">
        <v>87</v>
      </c>
      <c r="AA853" t="str">
        <f t="shared" si="243"/>
        <v>Accessories</v>
      </c>
      <c r="AB853" t="s">
        <v>3899</v>
      </c>
      <c r="AC853" t="s">
        <v>56</v>
      </c>
      <c r="AD853" t="str">
        <f t="shared" si="244"/>
        <v>First Class</v>
      </c>
      <c r="AE853">
        <v>2</v>
      </c>
      <c r="AF853">
        <v>1161.3</v>
      </c>
      <c r="AG853">
        <v>0.2</v>
      </c>
      <c r="AH853">
        <v>0.2</v>
      </c>
      <c r="AI853" t="str">
        <f t="shared" si="245"/>
        <v>Valid</v>
      </c>
      <c r="AJ853">
        <v>1858.08</v>
      </c>
      <c r="AK853">
        <f t="shared" si="246"/>
        <v>1858.08</v>
      </c>
      <c r="AL853">
        <v>1590.75</v>
      </c>
      <c r="AM853">
        <v>267.33</v>
      </c>
      <c r="AN853">
        <f t="shared" si="247"/>
        <v>267.32999999999993</v>
      </c>
      <c r="AO853">
        <f t="shared" si="248"/>
        <v>-1590.75</v>
      </c>
      <c r="AP853" t="s">
        <v>34</v>
      </c>
      <c r="AQ853" t="str">
        <f t="shared" si="249"/>
        <v>Paid</v>
      </c>
      <c r="AR853" t="s">
        <v>35</v>
      </c>
      <c r="AS853" t="str">
        <f t="shared" si="250"/>
        <v>Completed</v>
      </c>
      <c r="AT853" t="str">
        <f t="shared" si="251"/>
        <v>Clean</v>
      </c>
    </row>
    <row r="854" spans="1:46">
      <c r="A854" t="s">
        <v>3900</v>
      </c>
      <c r="B854">
        <f>COUNTIF($D$2:D854,D854)</f>
        <v>1</v>
      </c>
      <c r="C854" t="str">
        <f>IF(COUNTIF($A:$A,A854)=1,
"Unique",
IF(COUNTIFS($A:$A,A854,$N:$N,N854,$AF:$AF,AF854,$AJ:$AJ,AJ854)&gt;1,
"Exact Duplicate",
"Conflicting Duplicate"))</f>
        <v>Unique</v>
      </c>
      <c r="D854" t="s">
        <v>3901</v>
      </c>
      <c r="E854" t="s">
        <v>3724</v>
      </c>
      <c r="F854" s="3">
        <v>45295</v>
      </c>
      <c r="G854" s="3">
        <v>45508</v>
      </c>
      <c r="H854" s="5" t="str">
        <f t="shared" si="234"/>
        <v>January</v>
      </c>
      <c r="I854" s="5">
        <f t="shared" si="235"/>
        <v>2024</v>
      </c>
      <c r="J854" t="str">
        <f>IF(F854="","Missing Date",
IF(ISNUMBER(F854),"Valid","Invalid Date"))</f>
        <v>Valid</v>
      </c>
      <c r="K854" t="str">
        <f t="shared" si="236"/>
        <v>Valid</v>
      </c>
      <c r="L854">
        <f>G854-F854</f>
        <v>213</v>
      </c>
      <c r="M854" t="s">
        <v>3902</v>
      </c>
      <c r="N854" t="s">
        <v>72</v>
      </c>
      <c r="O854" t="str">
        <f t="shared" si="237"/>
        <v>Ananya Rao</v>
      </c>
      <c r="P854" t="s">
        <v>26</v>
      </c>
      <c r="Q854" t="str">
        <f t="shared" si="238"/>
        <v>Consumer</v>
      </c>
      <c r="R854" t="s">
        <v>42</v>
      </c>
      <c r="S854" t="str">
        <f t="shared" si="239"/>
        <v>East</v>
      </c>
      <c r="T854" t="s">
        <v>216</v>
      </c>
      <c r="U854" t="str">
        <f t="shared" si="240"/>
        <v>Assam</v>
      </c>
      <c r="V854" t="s">
        <v>217</v>
      </c>
      <c r="W854" t="str">
        <f t="shared" si="241"/>
        <v>Guwahati</v>
      </c>
      <c r="X854" t="s">
        <v>45</v>
      </c>
      <c r="Y854" t="str">
        <f t="shared" si="242"/>
        <v>Furniture</v>
      </c>
      <c r="Z854" t="s">
        <v>46</v>
      </c>
      <c r="AA854" t="str">
        <f t="shared" si="243"/>
        <v>Tables</v>
      </c>
      <c r="AB854" t="s">
        <v>3903</v>
      </c>
      <c r="AC854" t="s">
        <v>33</v>
      </c>
      <c r="AD854" t="str">
        <f t="shared" si="244"/>
        <v>Second Class</v>
      </c>
      <c r="AE854">
        <v>7</v>
      </c>
      <c r="AF854">
        <v>4205.3500000000004</v>
      </c>
      <c r="AG854">
        <v>0.15</v>
      </c>
      <c r="AH854">
        <v>0.15</v>
      </c>
      <c r="AI854" t="str">
        <f t="shared" si="245"/>
        <v>Valid</v>
      </c>
      <c r="AJ854">
        <v>25021.83</v>
      </c>
      <c r="AK854">
        <f t="shared" si="246"/>
        <v>25021.832500000004</v>
      </c>
      <c r="AL854">
        <v>15544.44</v>
      </c>
      <c r="AM854">
        <v>9477.39</v>
      </c>
      <c r="AN854">
        <f t="shared" si="247"/>
        <v>9477.3925000000036</v>
      </c>
      <c r="AO854">
        <f t="shared" si="248"/>
        <v>-15544.44</v>
      </c>
      <c r="AP854" t="s">
        <v>137</v>
      </c>
      <c r="AQ854" t="str">
        <f t="shared" si="249"/>
        <v>Pending</v>
      </c>
      <c r="AR854" t="s">
        <v>78</v>
      </c>
      <c r="AS854" t="str">
        <f t="shared" si="250"/>
        <v>Cancelled</v>
      </c>
      <c r="AT854" t="str">
        <f t="shared" si="251"/>
        <v>Clean</v>
      </c>
    </row>
    <row r="855" spans="1:46">
      <c r="A855" t="s">
        <v>3904</v>
      </c>
      <c r="B855">
        <f>COUNTIF($D$2:D855,D855)</f>
        <v>1</v>
      </c>
      <c r="C855" t="str">
        <f>IF(COUNTIF($A:$A,A855)=1,
"Unique",
IF(COUNTIFS($A:$A,A855,$N:$N,N855,$AF:$AF,AF855,$AJ:$AJ,AJ855)&gt;1,
"Exact Duplicate",
"Conflicting Duplicate"))</f>
        <v>Unique</v>
      </c>
      <c r="D855" t="s">
        <v>3905</v>
      </c>
      <c r="E855" t="s">
        <v>3883</v>
      </c>
      <c r="F855" s="3">
        <v>45793</v>
      </c>
      <c r="G855" s="3">
        <v>45799</v>
      </c>
      <c r="H855" s="5" t="str">
        <f t="shared" si="234"/>
        <v>May</v>
      </c>
      <c r="I855" s="5">
        <f t="shared" si="235"/>
        <v>2025</v>
      </c>
      <c r="J855" t="str">
        <f>IF(F855="","Missing Date",
IF(ISNUMBER(F855),"Valid","Invalid Date"))</f>
        <v>Valid</v>
      </c>
      <c r="K855" t="str">
        <f t="shared" si="236"/>
        <v>Valid</v>
      </c>
      <c r="L855">
        <f>G855-F855</f>
        <v>6</v>
      </c>
      <c r="M855" t="s">
        <v>3906</v>
      </c>
      <c r="N855" t="s">
        <v>61</v>
      </c>
      <c r="O855" t="str">
        <f t="shared" si="237"/>
        <v>Arjun Bose</v>
      </c>
      <c r="P855" t="s">
        <v>108</v>
      </c>
      <c r="Q855" t="str">
        <f t="shared" si="238"/>
        <v>Corporate</v>
      </c>
      <c r="R855" t="s">
        <v>62</v>
      </c>
      <c r="S855" t="str">
        <f t="shared" si="239"/>
        <v>South</v>
      </c>
      <c r="T855" t="s">
        <v>339</v>
      </c>
      <c r="U855" t="str">
        <f t="shared" si="240"/>
        <v>Tamil Nadu</v>
      </c>
      <c r="V855" t="s">
        <v>340</v>
      </c>
      <c r="W855" t="str">
        <f t="shared" si="241"/>
        <v>Chennai</v>
      </c>
      <c r="X855" t="s">
        <v>86</v>
      </c>
      <c r="Y855" t="str">
        <f t="shared" si="242"/>
        <v>Technology</v>
      </c>
      <c r="Z855" t="s">
        <v>87</v>
      </c>
      <c r="AA855" t="str">
        <f t="shared" si="243"/>
        <v>Accessories</v>
      </c>
      <c r="AB855" t="s">
        <v>3907</v>
      </c>
      <c r="AC855" t="s">
        <v>48</v>
      </c>
      <c r="AD855" t="str">
        <f t="shared" si="244"/>
        <v>Same Day</v>
      </c>
      <c r="AE855">
        <v>8</v>
      </c>
      <c r="AF855">
        <v>579.79999999999995</v>
      </c>
      <c r="AG855">
        <v>0.2</v>
      </c>
      <c r="AH855">
        <v>0.2</v>
      </c>
      <c r="AI855" t="str">
        <f t="shared" si="245"/>
        <v>Valid</v>
      </c>
      <c r="AJ855">
        <v>3710.72</v>
      </c>
      <c r="AK855">
        <f t="shared" si="246"/>
        <v>3710.72</v>
      </c>
      <c r="AL855">
        <v>3115.29</v>
      </c>
      <c r="AM855">
        <v>595.42999999999995</v>
      </c>
      <c r="AN855">
        <f t="shared" si="247"/>
        <v>595.42999999999984</v>
      </c>
      <c r="AO855">
        <f t="shared" si="248"/>
        <v>-3115.29</v>
      </c>
      <c r="AP855" t="s">
        <v>34</v>
      </c>
      <c r="AQ855" t="str">
        <f t="shared" si="249"/>
        <v>Paid</v>
      </c>
      <c r="AR855" t="s">
        <v>35</v>
      </c>
      <c r="AS855" t="str">
        <f t="shared" si="250"/>
        <v>Completed</v>
      </c>
      <c r="AT855" t="str">
        <f t="shared" si="251"/>
        <v>Clean</v>
      </c>
    </row>
    <row r="856" spans="1:46">
      <c r="A856" t="s">
        <v>3908</v>
      </c>
      <c r="B856">
        <f>COUNTIF($D$2:D856,D856)</f>
        <v>1</v>
      </c>
      <c r="C856" t="str">
        <f>IF(COUNTIF($A:$A,A856)=1,
"Unique",
IF(COUNTIFS($A:$A,A856,$N:$N,N856,$AF:$AF,AF856,$AJ:$AJ,AJ856)&gt;1,
"Exact Duplicate",
"Conflicting Duplicate"))</f>
        <v>Unique</v>
      </c>
      <c r="D856" t="s">
        <v>3909</v>
      </c>
      <c r="E856" t="s">
        <v>3910</v>
      </c>
      <c r="F856" s="3">
        <v>45741</v>
      </c>
      <c r="G856" s="3">
        <v>45749</v>
      </c>
      <c r="H856" s="5" t="str">
        <f t="shared" si="234"/>
        <v>March</v>
      </c>
      <c r="I856" s="5">
        <f t="shared" si="235"/>
        <v>2025</v>
      </c>
      <c r="J856" t="str">
        <f>IF(F856="","Missing Date",
IF(ISNUMBER(F856),"Valid","Invalid Date"))</f>
        <v>Valid</v>
      </c>
      <c r="K856" t="str">
        <f t="shared" si="236"/>
        <v>Valid</v>
      </c>
      <c r="L856">
        <f>G856-F856</f>
        <v>8</v>
      </c>
      <c r="M856" t="s">
        <v>3911</v>
      </c>
      <c r="N856" t="s">
        <v>142</v>
      </c>
      <c r="O856" t="str">
        <f t="shared" si="237"/>
        <v>Priya Menon</v>
      </c>
      <c r="P856" t="s">
        <v>26</v>
      </c>
      <c r="Q856" t="str">
        <f t="shared" si="238"/>
        <v>Consumer</v>
      </c>
      <c r="R856" t="s">
        <v>62</v>
      </c>
      <c r="S856" t="str">
        <f t="shared" si="239"/>
        <v>South</v>
      </c>
      <c r="T856" t="s">
        <v>229</v>
      </c>
      <c r="U856" t="str">
        <f t="shared" si="240"/>
        <v>Karnataka</v>
      </c>
      <c r="V856" t="s">
        <v>230</v>
      </c>
      <c r="W856" t="str">
        <f t="shared" si="241"/>
        <v>Bengaluru</v>
      </c>
      <c r="X856" t="s">
        <v>45</v>
      </c>
      <c r="Y856" t="str">
        <f t="shared" si="242"/>
        <v>Furniture</v>
      </c>
      <c r="Z856" t="s">
        <v>204</v>
      </c>
      <c r="AA856" t="str">
        <f t="shared" si="243"/>
        <v>Bookcases</v>
      </c>
      <c r="AB856" t="s">
        <v>3912</v>
      </c>
      <c r="AC856" t="s">
        <v>33</v>
      </c>
      <c r="AD856" t="str">
        <f t="shared" si="244"/>
        <v>Second Class</v>
      </c>
      <c r="AE856">
        <v>4</v>
      </c>
      <c r="AF856">
        <v>2233.64</v>
      </c>
      <c r="AG856">
        <v>0.05</v>
      </c>
      <c r="AH856">
        <v>0.05</v>
      </c>
      <c r="AI856" t="str">
        <f t="shared" si="245"/>
        <v>Valid</v>
      </c>
      <c r="AJ856">
        <v>8487.83</v>
      </c>
      <c r="AK856">
        <f t="shared" si="246"/>
        <v>8487.8319999999985</v>
      </c>
      <c r="AL856">
        <v>5245.72</v>
      </c>
      <c r="AM856">
        <v>3242.11</v>
      </c>
      <c r="AN856">
        <f t="shared" si="247"/>
        <v>3242.1119999999983</v>
      </c>
      <c r="AO856">
        <f t="shared" si="248"/>
        <v>-5245.72</v>
      </c>
      <c r="AP856" t="s">
        <v>34</v>
      </c>
      <c r="AQ856" t="str">
        <f t="shared" si="249"/>
        <v>Paid</v>
      </c>
      <c r="AR856" t="s">
        <v>35</v>
      </c>
      <c r="AS856" t="str">
        <f t="shared" si="250"/>
        <v>Completed</v>
      </c>
      <c r="AT856" t="str">
        <f t="shared" si="251"/>
        <v>Clean</v>
      </c>
    </row>
    <row r="857" spans="1:46">
      <c r="A857" t="s">
        <v>3913</v>
      </c>
      <c r="B857">
        <f>COUNTIF($D$2:D857,D857)</f>
        <v>1</v>
      </c>
      <c r="C857" t="str">
        <f>IF(COUNTIF($A:$A,A857)=1,
"Unique",
IF(COUNTIFS($A:$A,A857,$N:$N,N857,$AF:$AF,AF857,$AJ:$AJ,AJ857)&gt;1,
"Exact Duplicate",
"Conflicting Duplicate"))</f>
        <v>Unique</v>
      </c>
      <c r="D857" t="s">
        <v>738</v>
      </c>
      <c r="E857" t="s">
        <v>3914</v>
      </c>
      <c r="F857" s="3">
        <v>45498</v>
      </c>
      <c r="G857" s="2">
        <v>45330</v>
      </c>
      <c r="H857" s="5" t="str">
        <f t="shared" si="234"/>
        <v>July</v>
      </c>
      <c r="I857" s="5">
        <f t="shared" si="235"/>
        <v>2024</v>
      </c>
      <c r="J857" t="str">
        <f>IF(F857="","Missing Date",
IF(ISNUMBER(F857),"Valid","Invalid Date"))</f>
        <v>Valid</v>
      </c>
      <c r="K857" t="str">
        <f t="shared" si="236"/>
        <v>Valid</v>
      </c>
      <c r="L857">
        <f>G857-F857</f>
        <v>-168</v>
      </c>
      <c r="M857" t="s">
        <v>1716</v>
      </c>
      <c r="N857" t="s">
        <v>148</v>
      </c>
      <c r="O857" t="str">
        <f t="shared" si="237"/>
        <v>Rahul Verma</v>
      </c>
      <c r="P857" t="s">
        <v>26</v>
      </c>
      <c r="Q857" t="str">
        <f t="shared" si="238"/>
        <v>Consumer</v>
      </c>
      <c r="R857" t="s">
        <v>27</v>
      </c>
      <c r="S857" t="str">
        <f t="shared" si="239"/>
        <v>North</v>
      </c>
      <c r="T857" t="s">
        <v>28</v>
      </c>
      <c r="U857" t="str">
        <f t="shared" si="240"/>
        <v>Rajasthan</v>
      </c>
      <c r="V857" t="s">
        <v>29</v>
      </c>
      <c r="W857" t="str">
        <f t="shared" si="241"/>
        <v>Jaipur</v>
      </c>
      <c r="X857" t="s">
        <v>30</v>
      </c>
      <c r="Y857" t="str">
        <f t="shared" si="242"/>
        <v>Office Supplies</v>
      </c>
      <c r="Z857" t="s">
        <v>3915</v>
      </c>
      <c r="AA857" t="str">
        <f t="shared" si="243"/>
        <v>Labels</v>
      </c>
      <c r="AB857" t="s">
        <v>3916</v>
      </c>
      <c r="AC857" t="s">
        <v>33</v>
      </c>
      <c r="AD857" t="str">
        <f t="shared" si="244"/>
        <v>Second Class</v>
      </c>
      <c r="AE857">
        <v>2</v>
      </c>
      <c r="AF857">
        <v>2073.5300000000002</v>
      </c>
      <c r="AG857">
        <v>0.25</v>
      </c>
      <c r="AH857">
        <v>0.25</v>
      </c>
      <c r="AI857" t="str">
        <f t="shared" si="245"/>
        <v>Valid</v>
      </c>
      <c r="AJ857">
        <v>3110.3</v>
      </c>
      <c r="AK857">
        <f t="shared" si="246"/>
        <v>3110.2950000000001</v>
      </c>
      <c r="AL857">
        <v>2101.0300000000002</v>
      </c>
      <c r="AM857">
        <v>1009.27</v>
      </c>
      <c r="AN857">
        <f t="shared" si="247"/>
        <v>1009.2649999999999</v>
      </c>
      <c r="AO857">
        <f t="shared" si="248"/>
        <v>-2101.0300000000002</v>
      </c>
      <c r="AP857" t="s">
        <v>34</v>
      </c>
      <c r="AQ857" t="str">
        <f t="shared" si="249"/>
        <v>Paid</v>
      </c>
      <c r="AR857" t="s">
        <v>35</v>
      </c>
      <c r="AS857" t="str">
        <f t="shared" si="250"/>
        <v>Completed</v>
      </c>
      <c r="AT857" t="str">
        <f t="shared" si="251"/>
        <v>Clean</v>
      </c>
    </row>
    <row r="858" spans="1:46">
      <c r="A858" t="s">
        <v>3917</v>
      </c>
      <c r="B858">
        <f>COUNTIF($D$2:D858,D858)</f>
        <v>2</v>
      </c>
      <c r="C858" t="str">
        <f>IF(COUNTIF($A:$A,A858)=1,
"Unique",
IF(COUNTIFS($A:$A,A858,$N:$N,N858,$AF:$AF,AF858,$AJ:$AJ,AJ858)&gt;1,
"Exact Duplicate",
"Conflicting Duplicate"))</f>
        <v>Unique</v>
      </c>
      <c r="D858" t="s">
        <v>3918</v>
      </c>
      <c r="E858" t="s">
        <v>690</v>
      </c>
      <c r="F858" s="3">
        <v>45632</v>
      </c>
      <c r="G858" s="2">
        <v>45462</v>
      </c>
      <c r="H858" s="5" t="str">
        <f t="shared" si="234"/>
        <v>December</v>
      </c>
      <c r="I858" s="5">
        <f t="shared" si="235"/>
        <v>2024</v>
      </c>
      <c r="J858" t="str">
        <f>IF(F858="","Missing Date",
IF(ISNUMBER(F858),"Valid","Invalid Date"))</f>
        <v>Valid</v>
      </c>
      <c r="K858" t="str">
        <f t="shared" si="236"/>
        <v>Valid</v>
      </c>
      <c r="L858">
        <f>G858-F858</f>
        <v>-170</v>
      </c>
      <c r="M858" t="s">
        <v>1979</v>
      </c>
      <c r="N858" t="s">
        <v>180</v>
      </c>
      <c r="O858" t="str">
        <f t="shared" si="237"/>
        <v>Rohan Mehta</v>
      </c>
      <c r="P858" t="s">
        <v>115</v>
      </c>
      <c r="Q858" t="str">
        <f t="shared" si="238"/>
        <v>Home Office</v>
      </c>
      <c r="R858" t="s">
        <v>62</v>
      </c>
      <c r="S858" t="str">
        <f t="shared" si="239"/>
        <v>South</v>
      </c>
      <c r="T858" t="s">
        <v>339</v>
      </c>
      <c r="U858" t="str">
        <f t="shared" si="240"/>
        <v>Tamil Nadu</v>
      </c>
      <c r="V858" t="s">
        <v>340</v>
      </c>
      <c r="W858" t="str">
        <f t="shared" si="241"/>
        <v>Chennai</v>
      </c>
      <c r="X858" t="s">
        <v>30</v>
      </c>
      <c r="Y858" t="str">
        <f t="shared" si="242"/>
        <v>Office Supplies</v>
      </c>
      <c r="Z858" t="s">
        <v>156</v>
      </c>
      <c r="AA858" t="str">
        <f t="shared" si="243"/>
        <v>Storage</v>
      </c>
      <c r="AB858" t="s">
        <v>3919</v>
      </c>
      <c r="AC858" t="s">
        <v>67</v>
      </c>
      <c r="AD858" t="str">
        <f t="shared" si="244"/>
        <v>Standard Class</v>
      </c>
      <c r="AE858">
        <v>4</v>
      </c>
      <c r="AF858">
        <v>395.1</v>
      </c>
      <c r="AG858">
        <v>-0.16</v>
      </c>
      <c r="AH858">
        <v>-0.16</v>
      </c>
      <c r="AI858" t="str">
        <f t="shared" si="245"/>
        <v>Invalid - Negative Discount</v>
      </c>
      <c r="AJ858">
        <v>1185.3</v>
      </c>
      <c r="AK858">
        <f t="shared" si="246"/>
        <v>1833.2639999999999</v>
      </c>
      <c r="AL858">
        <v>966.55</v>
      </c>
      <c r="AM858">
        <v>218.75</v>
      </c>
      <c r="AN858">
        <f t="shared" si="247"/>
        <v>866.71399999999994</v>
      </c>
      <c r="AO858">
        <f t="shared" si="248"/>
        <v>-966.55</v>
      </c>
      <c r="AP858" t="s">
        <v>200</v>
      </c>
      <c r="AQ858" t="str">
        <f t="shared" si="249"/>
        <v>Failed</v>
      </c>
      <c r="AR858" t="s">
        <v>78</v>
      </c>
      <c r="AS858" t="str">
        <f t="shared" si="250"/>
        <v>Cancelled</v>
      </c>
      <c r="AT858" t="str">
        <f t="shared" si="251"/>
        <v>Clean</v>
      </c>
    </row>
    <row r="859" spans="1:46">
      <c r="A859" t="s">
        <v>3920</v>
      </c>
      <c r="B859">
        <f>COUNTIF($D$2:D859,D859)</f>
        <v>2</v>
      </c>
      <c r="C859" t="str">
        <f>IF(COUNTIF($A:$A,A859)=1,
"Unique",
IF(COUNTIFS($A:$A,A859,$N:$N,N859,$AF:$AF,AF859,$AJ:$AJ,AJ859)&gt;1,
"Exact Duplicate",
"Conflicting Duplicate"))</f>
        <v>Unique</v>
      </c>
      <c r="D859" t="s">
        <v>3921</v>
      </c>
      <c r="E859" t="s">
        <v>3922</v>
      </c>
      <c r="F859" s="2">
        <v>45388</v>
      </c>
      <c r="G859" s="3">
        <v>45388</v>
      </c>
      <c r="H859" s="5" t="str">
        <f t="shared" si="234"/>
        <v>April</v>
      </c>
      <c r="I859" s="5">
        <f t="shared" si="235"/>
        <v>2024</v>
      </c>
      <c r="J859" t="str">
        <f>IF(F859="","Missing Date",
IF(ISNUMBER(F859),"Valid","Invalid Date"))</f>
        <v>Valid</v>
      </c>
      <c r="K859" t="str">
        <f t="shared" si="236"/>
        <v>Valid</v>
      </c>
      <c r="L859">
        <f>G859-F859</f>
        <v>0</v>
      </c>
      <c r="M859" t="s">
        <v>3235</v>
      </c>
      <c r="N859" t="s">
        <v>168</v>
      </c>
      <c r="O859" t="str">
        <f t="shared" si="237"/>
        <v>Sneha Kapoor</v>
      </c>
      <c r="P859" t="s">
        <v>115</v>
      </c>
      <c r="Q859" t="str">
        <f t="shared" si="238"/>
        <v>Home Office</v>
      </c>
      <c r="R859" t="s">
        <v>62</v>
      </c>
      <c r="S859" t="str">
        <f t="shared" si="239"/>
        <v>South</v>
      </c>
      <c r="T859" t="s">
        <v>242</v>
      </c>
      <c r="U859" t="str">
        <f t="shared" si="240"/>
        <v>Kerala</v>
      </c>
      <c r="V859" t="s">
        <v>243</v>
      </c>
      <c r="W859" t="str">
        <f t="shared" si="241"/>
        <v>Kochi</v>
      </c>
      <c r="X859" t="s">
        <v>30</v>
      </c>
      <c r="Y859" t="str">
        <f t="shared" si="242"/>
        <v>Office Supplies</v>
      </c>
      <c r="Z859" t="s">
        <v>156</v>
      </c>
      <c r="AA859" t="str">
        <f t="shared" si="243"/>
        <v>Storage</v>
      </c>
      <c r="AB859" t="s">
        <v>3923</v>
      </c>
      <c r="AC859" t="s">
        <v>56</v>
      </c>
      <c r="AD859" t="str">
        <f t="shared" si="244"/>
        <v>First Class</v>
      </c>
      <c r="AE859">
        <v>6</v>
      </c>
      <c r="AF859">
        <v>2708.97</v>
      </c>
      <c r="AG859">
        <v>0.25</v>
      </c>
      <c r="AH859">
        <v>0.25</v>
      </c>
      <c r="AI859" t="str">
        <f t="shared" si="245"/>
        <v>Valid</v>
      </c>
      <c r="AJ859">
        <v>12190.36</v>
      </c>
      <c r="AK859">
        <f t="shared" si="246"/>
        <v>12190.365</v>
      </c>
      <c r="AL859">
        <v>10176.99</v>
      </c>
      <c r="AM859">
        <v>2013.37</v>
      </c>
      <c r="AN859">
        <f t="shared" si="247"/>
        <v>2013.375</v>
      </c>
      <c r="AO859">
        <f t="shared" si="248"/>
        <v>-10176.99</v>
      </c>
      <c r="AP859" t="s">
        <v>34</v>
      </c>
      <c r="AQ859" t="str">
        <f t="shared" si="249"/>
        <v>Paid</v>
      </c>
      <c r="AR859" t="s">
        <v>35</v>
      </c>
      <c r="AS859" t="str">
        <f t="shared" si="250"/>
        <v>Completed</v>
      </c>
      <c r="AT859" t="str">
        <f t="shared" si="251"/>
        <v>Clean</v>
      </c>
    </row>
    <row r="860" spans="1:46">
      <c r="A860" t="s">
        <v>3924</v>
      </c>
      <c r="B860">
        <f>COUNTIF($D$2:D860,D860)</f>
        <v>3</v>
      </c>
      <c r="C860" t="str">
        <f>IF(COUNTIF($A:$A,A860)=1,
"Unique",
IF(COUNTIFS($A:$A,A860,$N:$N,N860,$AF:$AF,AF860,$AJ:$AJ,AJ860)&gt;1,
"Exact Duplicate",
"Conflicting Duplicate"))</f>
        <v>Unique</v>
      </c>
      <c r="D860" t="s">
        <v>1225</v>
      </c>
      <c r="E860" t="s">
        <v>1294</v>
      </c>
      <c r="F860" s="3">
        <v>45414</v>
      </c>
      <c r="G860" s="2">
        <v>45540</v>
      </c>
      <c r="H860" s="5" t="str">
        <f t="shared" si="234"/>
        <v>May</v>
      </c>
      <c r="I860" s="5">
        <f t="shared" si="235"/>
        <v>2024</v>
      </c>
      <c r="J860" t="str">
        <f>IF(F860="","Missing Date",
IF(ISNUMBER(F860),"Valid","Invalid Date"))</f>
        <v>Valid</v>
      </c>
      <c r="K860" t="str">
        <f t="shared" si="236"/>
        <v>Valid</v>
      </c>
      <c r="L860">
        <f>G860-F860</f>
        <v>126</v>
      </c>
      <c r="M860" t="s">
        <v>3925</v>
      </c>
      <c r="N860" t="s">
        <v>61</v>
      </c>
      <c r="O860" t="str">
        <f t="shared" si="237"/>
        <v>Arjun Bose</v>
      </c>
      <c r="P860" t="s">
        <v>26</v>
      </c>
      <c r="Q860" t="str">
        <f t="shared" si="238"/>
        <v>Consumer</v>
      </c>
      <c r="R860" t="s">
        <v>42</v>
      </c>
      <c r="S860" t="str">
        <f t="shared" si="239"/>
        <v>East</v>
      </c>
      <c r="T860" t="s">
        <v>43</v>
      </c>
      <c r="U860" t="str">
        <f t="shared" si="240"/>
        <v>Odisha</v>
      </c>
      <c r="V860" t="s">
        <v>44</v>
      </c>
      <c r="W860" t="str">
        <f t="shared" si="241"/>
        <v>Bhubaneswar</v>
      </c>
      <c r="X860" t="s">
        <v>86</v>
      </c>
      <c r="Y860" t="str">
        <f t="shared" si="242"/>
        <v>Technology</v>
      </c>
      <c r="Z860" t="s">
        <v>87</v>
      </c>
      <c r="AA860" t="str">
        <f t="shared" si="243"/>
        <v>Accessories</v>
      </c>
      <c r="AB860" t="s">
        <v>3926</v>
      </c>
      <c r="AC860" t="s">
        <v>33</v>
      </c>
      <c r="AD860" t="str">
        <f t="shared" si="244"/>
        <v>Second Class</v>
      </c>
      <c r="AE860">
        <v>4</v>
      </c>
      <c r="AF860">
        <v>2904.86</v>
      </c>
      <c r="AG860">
        <v>0</v>
      </c>
      <c r="AH860">
        <v>0</v>
      </c>
      <c r="AI860" t="str">
        <f t="shared" si="245"/>
        <v>Valid</v>
      </c>
      <c r="AJ860">
        <v>11619.44</v>
      </c>
      <c r="AK860">
        <f t="shared" si="246"/>
        <v>11619.44</v>
      </c>
      <c r="AL860">
        <v>7184.32</v>
      </c>
      <c r="AM860">
        <v>4494.6400000000003</v>
      </c>
      <c r="AN860">
        <f t="shared" si="247"/>
        <v>4435.1200000000008</v>
      </c>
      <c r="AO860">
        <f t="shared" si="248"/>
        <v>-7184.32</v>
      </c>
      <c r="AP860" t="s">
        <v>34</v>
      </c>
      <c r="AQ860" t="str">
        <f t="shared" si="249"/>
        <v>Paid</v>
      </c>
      <c r="AR860" t="s">
        <v>35</v>
      </c>
      <c r="AS860" t="str">
        <f t="shared" si="250"/>
        <v>Completed</v>
      </c>
      <c r="AT860" t="str">
        <f t="shared" si="251"/>
        <v>Clean</v>
      </c>
    </row>
    <row r="861" spans="1:46">
      <c r="A861" t="s">
        <v>3927</v>
      </c>
      <c r="B861">
        <f>COUNTIF($D$2:D861,D861)</f>
        <v>2</v>
      </c>
      <c r="C861" t="str">
        <f>IF(COUNTIF($A:$A,A861)=1,
"Unique",
IF(COUNTIFS($A:$A,A861,$N:$N,N861,$AF:$AF,AF861,$AJ:$AJ,AJ861)&gt;1,
"Exact Duplicate",
"Conflicting Duplicate"))</f>
        <v>Unique</v>
      </c>
      <c r="D861" t="s">
        <v>3505</v>
      </c>
      <c r="E861" t="s">
        <v>3928</v>
      </c>
      <c r="F861" s="3">
        <v>45592</v>
      </c>
      <c r="G861" s="3">
        <v>45302</v>
      </c>
      <c r="H861" s="5" t="str">
        <f t="shared" si="234"/>
        <v>October</v>
      </c>
      <c r="I861" s="5">
        <f t="shared" si="235"/>
        <v>2024</v>
      </c>
      <c r="J861" t="str">
        <f>IF(F861="","Missing Date",
IF(ISNUMBER(F861),"Valid","Invalid Date"))</f>
        <v>Valid</v>
      </c>
      <c r="K861" t="str">
        <f t="shared" si="236"/>
        <v>Valid</v>
      </c>
      <c r="L861">
        <f>G861-F861</f>
        <v>-290</v>
      </c>
      <c r="M861" t="s">
        <v>3929</v>
      </c>
      <c r="N861" t="s">
        <v>107</v>
      </c>
      <c r="O861" t="str">
        <f t="shared" si="237"/>
        <v>Aditi Sen</v>
      </c>
      <c r="P861" t="s">
        <v>108</v>
      </c>
      <c r="Q861" t="str">
        <f t="shared" si="238"/>
        <v>Corporate</v>
      </c>
      <c r="R861" t="s">
        <v>62</v>
      </c>
      <c r="S861" t="str">
        <f t="shared" si="239"/>
        <v>South</v>
      </c>
      <c r="T861" t="s">
        <v>339</v>
      </c>
      <c r="U861" t="str">
        <f t="shared" si="240"/>
        <v>Tamil Nadu</v>
      </c>
      <c r="V861" t="s">
        <v>340</v>
      </c>
      <c r="W861" t="str">
        <f t="shared" si="241"/>
        <v>Chennai</v>
      </c>
      <c r="X861" t="s">
        <v>86</v>
      </c>
      <c r="Y861" t="str">
        <f t="shared" si="242"/>
        <v>Technology</v>
      </c>
      <c r="Z861" t="s">
        <v>223</v>
      </c>
      <c r="AA861" t="str">
        <f t="shared" si="243"/>
        <v>Phones</v>
      </c>
      <c r="AB861" t="s">
        <v>3930</v>
      </c>
      <c r="AC861" t="s">
        <v>67</v>
      </c>
      <c r="AD861" t="str">
        <f t="shared" si="244"/>
        <v>Standard Class</v>
      </c>
      <c r="AE861">
        <v>6</v>
      </c>
      <c r="AF861">
        <v>4399.2</v>
      </c>
      <c r="AG861">
        <v>0.05</v>
      </c>
      <c r="AH861">
        <v>0.05</v>
      </c>
      <c r="AI861" t="str">
        <f t="shared" si="245"/>
        <v>Valid</v>
      </c>
      <c r="AJ861">
        <v>25075.439999999999</v>
      </c>
      <c r="AK861">
        <f t="shared" si="246"/>
        <v>25075.439999999995</v>
      </c>
      <c r="AL861">
        <v>16282.74</v>
      </c>
      <c r="AM861">
        <v>8792.7000000000007</v>
      </c>
      <c r="AN861">
        <f t="shared" si="247"/>
        <v>8792.6999999999953</v>
      </c>
      <c r="AO861">
        <f t="shared" si="248"/>
        <v>-16282.74</v>
      </c>
      <c r="AP861" t="s">
        <v>34</v>
      </c>
      <c r="AQ861" t="str">
        <f t="shared" si="249"/>
        <v>Paid</v>
      </c>
      <c r="AR861" t="s">
        <v>35</v>
      </c>
      <c r="AS861" t="str">
        <f t="shared" si="250"/>
        <v>Completed</v>
      </c>
      <c r="AT861" t="str">
        <f t="shared" si="251"/>
        <v>Clean</v>
      </c>
    </row>
    <row r="862" spans="1:46">
      <c r="A862" t="s">
        <v>3931</v>
      </c>
      <c r="B862">
        <f>COUNTIF($D$2:D862,D862)</f>
        <v>2</v>
      </c>
      <c r="C862" t="str">
        <f>IF(COUNTIF($A:$A,A862)=1,
"Unique",
IF(COUNTIFS($A:$A,A862,$N:$N,N862,$AF:$AF,AF862,$AJ:$AJ,AJ862)&gt;1,
"Exact Duplicate",
"Conflicting Duplicate"))</f>
        <v>Unique</v>
      </c>
      <c r="D862" t="s">
        <v>743</v>
      </c>
      <c r="E862" t="s">
        <v>3932</v>
      </c>
      <c r="F862" s="2">
        <v>45324</v>
      </c>
      <c r="G862" s="2">
        <v>45384</v>
      </c>
      <c r="H862" s="5" t="str">
        <f t="shared" si="234"/>
        <v>February</v>
      </c>
      <c r="I862" s="5">
        <f t="shared" si="235"/>
        <v>2024</v>
      </c>
      <c r="J862" t="str">
        <f>IF(F862="","Missing Date",
IF(ISNUMBER(F862),"Valid","Invalid Date"))</f>
        <v>Valid</v>
      </c>
      <c r="K862" t="str">
        <f t="shared" si="236"/>
        <v>Valid</v>
      </c>
      <c r="L862">
        <f>G862-F862</f>
        <v>60</v>
      </c>
      <c r="M862" t="s">
        <v>3933</v>
      </c>
      <c r="N862" t="s">
        <v>83</v>
      </c>
      <c r="O862" t="str">
        <f t="shared" si="237"/>
        <v>Vikram Iyer</v>
      </c>
      <c r="P862" t="s">
        <v>115</v>
      </c>
      <c r="Q862" t="str">
        <f t="shared" si="238"/>
        <v>Home Office</v>
      </c>
      <c r="R862" t="s">
        <v>27</v>
      </c>
      <c r="S862" t="str">
        <f t="shared" si="239"/>
        <v>North</v>
      </c>
      <c r="T862" t="s">
        <v>174</v>
      </c>
      <c r="U862" t="str">
        <f t="shared" si="240"/>
        <v>Uttar Pradesh</v>
      </c>
      <c r="V862" t="s">
        <v>175</v>
      </c>
      <c r="W862" t="str">
        <f t="shared" si="241"/>
        <v>Noida</v>
      </c>
      <c r="X862" t="s">
        <v>30</v>
      </c>
      <c r="Y862" t="str">
        <f t="shared" si="242"/>
        <v>Office Supplies</v>
      </c>
      <c r="Z862" t="s">
        <v>156</v>
      </c>
      <c r="AA862" t="str">
        <f t="shared" si="243"/>
        <v>Storage</v>
      </c>
      <c r="AB862" t="s">
        <v>3934</v>
      </c>
      <c r="AC862" t="s">
        <v>33</v>
      </c>
      <c r="AD862" t="str">
        <f t="shared" si="244"/>
        <v>Second Class</v>
      </c>
      <c r="AE862">
        <v>1</v>
      </c>
      <c r="AF862">
        <v>4397.32</v>
      </c>
      <c r="AG862">
        <v>0.05</v>
      </c>
      <c r="AH862">
        <v>0.05</v>
      </c>
      <c r="AI862" t="str">
        <f t="shared" si="245"/>
        <v>Valid</v>
      </c>
      <c r="AJ862">
        <v>4177.45</v>
      </c>
      <c r="AK862">
        <f t="shared" si="246"/>
        <v>4177.4539999999997</v>
      </c>
      <c r="AL862">
        <v>2299.5</v>
      </c>
      <c r="AM862">
        <v>1877.95</v>
      </c>
      <c r="AN862">
        <f t="shared" si="247"/>
        <v>1877.9539999999997</v>
      </c>
      <c r="AO862">
        <f t="shared" si="248"/>
        <v>-2299.5</v>
      </c>
      <c r="AP862" t="s">
        <v>34</v>
      </c>
      <c r="AQ862" t="str">
        <f t="shared" si="249"/>
        <v>Paid</v>
      </c>
      <c r="AR862" t="s">
        <v>35</v>
      </c>
      <c r="AS862" t="str">
        <f t="shared" si="250"/>
        <v>Completed</v>
      </c>
      <c r="AT862" t="str">
        <f t="shared" si="251"/>
        <v>Clean</v>
      </c>
    </row>
    <row r="863" spans="1:46">
      <c r="A863" t="s">
        <v>3935</v>
      </c>
      <c r="B863">
        <f>COUNTIF($D$2:D863,D863)</f>
        <v>1</v>
      </c>
      <c r="C863" t="str">
        <f>IF(COUNTIF($A:$A,A863)=1,
"Unique",
IF(COUNTIFS($A:$A,A863,$N:$N,N863,$AF:$AF,AF863,$AJ:$AJ,AJ863)&gt;1,
"Exact Duplicate",
"Conflicting Duplicate"))</f>
        <v>Unique</v>
      </c>
      <c r="D863" t="s">
        <v>3936</v>
      </c>
      <c r="E863" t="s">
        <v>3937</v>
      </c>
      <c r="F863" s="3">
        <v>45872</v>
      </c>
      <c r="G863" s="3">
        <v>45903</v>
      </c>
      <c r="H863" s="5" t="str">
        <f t="shared" si="234"/>
        <v>August</v>
      </c>
      <c r="I863" s="5">
        <f t="shared" si="235"/>
        <v>2025</v>
      </c>
      <c r="J863" t="str">
        <f>IF(F863="","Missing Date",
IF(ISNUMBER(F863),"Valid","Invalid Date"))</f>
        <v>Valid</v>
      </c>
      <c r="K863" t="str">
        <f t="shared" si="236"/>
        <v>Valid</v>
      </c>
      <c r="L863">
        <f>G863-F863</f>
        <v>31</v>
      </c>
      <c r="M863" t="s">
        <v>3938</v>
      </c>
      <c r="N863" t="s">
        <v>142</v>
      </c>
      <c r="O863" t="str">
        <f t="shared" si="237"/>
        <v>Priya Menon</v>
      </c>
      <c r="P863" t="s">
        <v>115</v>
      </c>
      <c r="Q863" t="str">
        <f t="shared" si="238"/>
        <v>Home Office</v>
      </c>
      <c r="R863" t="s">
        <v>27</v>
      </c>
      <c r="S863" t="str">
        <f t="shared" si="239"/>
        <v>North</v>
      </c>
      <c r="T863" t="s">
        <v>506</v>
      </c>
      <c r="U863" t="str">
        <f t="shared" si="240"/>
        <v>Delhi</v>
      </c>
      <c r="V863" t="s">
        <v>507</v>
      </c>
      <c r="W863" t="str">
        <f t="shared" si="241"/>
        <v>New Delhi</v>
      </c>
      <c r="X863" t="s">
        <v>45</v>
      </c>
      <c r="Y863" t="str">
        <f t="shared" si="242"/>
        <v>Furniture</v>
      </c>
      <c r="Z863" t="s">
        <v>65</v>
      </c>
      <c r="AA863" t="str">
        <f t="shared" si="243"/>
        <v>Furnishings</v>
      </c>
      <c r="AB863" t="s">
        <v>3939</v>
      </c>
      <c r="AC863" t="s">
        <v>48</v>
      </c>
      <c r="AD863" t="str">
        <f t="shared" si="244"/>
        <v>Same Day</v>
      </c>
      <c r="AE863">
        <v>4</v>
      </c>
      <c r="AF863">
        <v>3405.68</v>
      </c>
      <c r="AG863">
        <v>0.2</v>
      </c>
      <c r="AH863">
        <v>0.2</v>
      </c>
      <c r="AI863" t="str">
        <f t="shared" si="245"/>
        <v>Valid</v>
      </c>
      <c r="AJ863">
        <v>10898.18</v>
      </c>
      <c r="AK863">
        <f t="shared" si="246"/>
        <v>10898.175999999999</v>
      </c>
      <c r="AL863">
        <v>6231.41</v>
      </c>
      <c r="AM863">
        <v>4666.7700000000004</v>
      </c>
      <c r="AN863">
        <f t="shared" si="247"/>
        <v>4666.7659999999996</v>
      </c>
      <c r="AO863">
        <f t="shared" si="248"/>
        <v>-6231.41</v>
      </c>
      <c r="AP863" t="s">
        <v>34</v>
      </c>
      <c r="AQ863" t="str">
        <f t="shared" si="249"/>
        <v>Paid</v>
      </c>
      <c r="AR863" t="s">
        <v>35</v>
      </c>
      <c r="AS863" t="str">
        <f t="shared" si="250"/>
        <v>Completed</v>
      </c>
      <c r="AT863" t="str">
        <f t="shared" si="251"/>
        <v>Clean</v>
      </c>
    </row>
    <row r="864" spans="1:46">
      <c r="A864" t="s">
        <v>3940</v>
      </c>
      <c r="B864">
        <f>COUNTIF($D$2:D864,D864)</f>
        <v>1</v>
      </c>
      <c r="C864" t="str">
        <f>IF(COUNTIF($A:$A,A864)=1,
"Unique",
IF(COUNTIFS($A:$A,A864,$N:$N,N864,$AF:$AF,AF864,$AJ:$AJ,AJ864)&gt;1,
"Exact Duplicate",
"Conflicting Duplicate"))</f>
        <v>Unique</v>
      </c>
      <c r="D864" t="s">
        <v>3315</v>
      </c>
      <c r="E864" t="s">
        <v>3941</v>
      </c>
      <c r="F864" s="3">
        <v>45742</v>
      </c>
      <c r="G864" s="3">
        <v>45747</v>
      </c>
      <c r="H864" s="5" t="str">
        <f t="shared" si="234"/>
        <v>March</v>
      </c>
      <c r="I864" s="5">
        <f t="shared" si="235"/>
        <v>2025</v>
      </c>
      <c r="J864" t="str">
        <f>IF(F864="","Missing Date",
IF(ISNUMBER(F864),"Valid","Invalid Date"))</f>
        <v>Valid</v>
      </c>
      <c r="K864" t="str">
        <f t="shared" si="236"/>
        <v>Valid</v>
      </c>
      <c r="L864">
        <f>G864-F864</f>
        <v>5</v>
      </c>
      <c r="M864" t="s">
        <v>3942</v>
      </c>
      <c r="N864" t="s">
        <v>142</v>
      </c>
      <c r="O864" t="str">
        <f t="shared" si="237"/>
        <v>Priya Menon</v>
      </c>
      <c r="P864" t="s">
        <v>41</v>
      </c>
      <c r="Q864" t="str">
        <f t="shared" si="238"/>
        <v>Small Business</v>
      </c>
      <c r="R864" t="s">
        <v>42</v>
      </c>
      <c r="S864" t="str">
        <f t="shared" si="239"/>
        <v>East</v>
      </c>
      <c r="T864" t="s">
        <v>311</v>
      </c>
      <c r="U864" t="str">
        <f t="shared" si="240"/>
        <v>Jharkhand</v>
      </c>
      <c r="V864" t="s">
        <v>312</v>
      </c>
      <c r="W864" t="str">
        <f t="shared" si="241"/>
        <v>Ranchi</v>
      </c>
      <c r="X864" t="s">
        <v>30</v>
      </c>
      <c r="Y864" t="str">
        <f t="shared" si="242"/>
        <v>Office Supplies</v>
      </c>
      <c r="Z864" t="s">
        <v>198</v>
      </c>
      <c r="AA864" t="str">
        <f t="shared" si="243"/>
        <v>Binders</v>
      </c>
      <c r="AB864" t="s">
        <v>3943</v>
      </c>
      <c r="AC864" t="s">
        <v>56</v>
      </c>
      <c r="AD864" t="str">
        <f t="shared" si="244"/>
        <v>First Class</v>
      </c>
      <c r="AE864">
        <v>5</v>
      </c>
      <c r="AF864">
        <v>1395.14</v>
      </c>
      <c r="AG864">
        <v>0</v>
      </c>
      <c r="AH864">
        <v>0</v>
      </c>
      <c r="AI864" t="str">
        <f t="shared" si="245"/>
        <v>Valid</v>
      </c>
      <c r="AJ864">
        <v>6975.7</v>
      </c>
      <c r="AK864">
        <f t="shared" si="246"/>
        <v>6975.7000000000007</v>
      </c>
      <c r="AL864">
        <v>4797.88</v>
      </c>
      <c r="AM864">
        <v>2177.8200000000002</v>
      </c>
      <c r="AN864">
        <f t="shared" si="247"/>
        <v>2177.8200000000006</v>
      </c>
      <c r="AO864">
        <f t="shared" si="248"/>
        <v>-4797.88</v>
      </c>
      <c r="AP864" t="s">
        <v>34</v>
      </c>
      <c r="AQ864" t="str">
        <f t="shared" si="249"/>
        <v>Paid</v>
      </c>
      <c r="AR864" t="s">
        <v>78</v>
      </c>
      <c r="AS864" t="str">
        <f t="shared" si="250"/>
        <v>Cancelled</v>
      </c>
      <c r="AT864" t="str">
        <f t="shared" si="251"/>
        <v>Clean</v>
      </c>
    </row>
    <row r="865" spans="1:46">
      <c r="A865" t="s">
        <v>3944</v>
      </c>
      <c r="B865">
        <f>COUNTIF($D$2:D865,D865)</f>
        <v>3</v>
      </c>
      <c r="C865" t="str">
        <f>IF(COUNTIF($A:$A,A865)=1,
"Unique",
IF(COUNTIFS($A:$A,A865,$N:$N,N865,$AF:$AF,AF865,$AJ:$AJ,AJ865)&gt;1,
"Exact Duplicate",
"Conflicting Duplicate"))</f>
        <v>Unique</v>
      </c>
      <c r="D865" t="s">
        <v>3945</v>
      </c>
      <c r="E865" t="s">
        <v>2732</v>
      </c>
      <c r="F865" s="3">
        <v>45906</v>
      </c>
      <c r="G865" s="3">
        <v>45908</v>
      </c>
      <c r="H865" s="5" t="str">
        <f t="shared" si="234"/>
        <v>September</v>
      </c>
      <c r="I865" s="5">
        <f t="shared" si="235"/>
        <v>2025</v>
      </c>
      <c r="J865" t="str">
        <f>IF(F865="","Missing Date",
IF(ISNUMBER(F865),"Valid","Invalid Date"))</f>
        <v>Valid</v>
      </c>
      <c r="K865" t="str">
        <f t="shared" si="236"/>
        <v>Valid</v>
      </c>
      <c r="L865">
        <f>G865-F865</f>
        <v>2</v>
      </c>
      <c r="M865" t="s">
        <v>3946</v>
      </c>
      <c r="N865" t="s">
        <v>162</v>
      </c>
      <c r="O865" t="str">
        <f t="shared" si="237"/>
        <v>Aarav Sharma</v>
      </c>
      <c r="P865" t="s">
        <v>115</v>
      </c>
      <c r="Q865" t="str">
        <f t="shared" si="238"/>
        <v>Home Office</v>
      </c>
      <c r="R865" t="s">
        <v>73</v>
      </c>
      <c r="S865" t="str">
        <f t="shared" si="239"/>
        <v>West</v>
      </c>
      <c r="T865" t="s">
        <v>84</v>
      </c>
      <c r="U865" t="str">
        <f t="shared" si="240"/>
        <v>Madhya Pradesh</v>
      </c>
      <c r="V865" t="s">
        <v>85</v>
      </c>
      <c r="W865" t="str">
        <f t="shared" si="241"/>
        <v>Indore</v>
      </c>
      <c r="X865" t="s">
        <v>45</v>
      </c>
      <c r="Y865" t="str">
        <f t="shared" si="242"/>
        <v>Furniture</v>
      </c>
      <c r="Z865" t="s">
        <v>65</v>
      </c>
      <c r="AA865" t="str">
        <f t="shared" si="243"/>
        <v>Furnishings</v>
      </c>
      <c r="AB865" t="s">
        <v>3947</v>
      </c>
      <c r="AC865" t="s">
        <v>48</v>
      </c>
      <c r="AD865" t="str">
        <f t="shared" si="244"/>
        <v>Same Day</v>
      </c>
      <c r="AE865">
        <v>3</v>
      </c>
      <c r="AF865">
        <v>2937.23</v>
      </c>
      <c r="AG865">
        <v>0</v>
      </c>
      <c r="AH865">
        <v>0</v>
      </c>
      <c r="AI865" t="str">
        <f t="shared" si="245"/>
        <v>Valid</v>
      </c>
      <c r="AJ865">
        <v>8811.69</v>
      </c>
      <c r="AK865">
        <f t="shared" si="246"/>
        <v>8811.69</v>
      </c>
      <c r="AL865">
        <v>6765.91</v>
      </c>
      <c r="AM865">
        <v>2045.78</v>
      </c>
      <c r="AN865">
        <f t="shared" si="247"/>
        <v>2045.7800000000007</v>
      </c>
      <c r="AO865">
        <f t="shared" si="248"/>
        <v>-6765.91</v>
      </c>
      <c r="AP865" t="s">
        <v>34</v>
      </c>
      <c r="AQ865" t="str">
        <f t="shared" si="249"/>
        <v>Paid</v>
      </c>
      <c r="AR865" t="s">
        <v>35</v>
      </c>
      <c r="AS865" t="str">
        <f t="shared" si="250"/>
        <v>Completed</v>
      </c>
      <c r="AT865" t="str">
        <f t="shared" si="251"/>
        <v>Clean</v>
      </c>
    </row>
    <row r="866" spans="1:46">
      <c r="A866" t="s">
        <v>3948</v>
      </c>
      <c r="B866">
        <f>COUNTIF($D$2:D866,D866)</f>
        <v>1</v>
      </c>
      <c r="C866" t="str">
        <f>IF(COUNTIF($A:$A,A866)=1,
"Unique",
IF(COUNTIFS($A:$A,A866,$N:$N,N866,$AF:$AF,AF866,$AJ:$AJ,AJ866)&gt;1,
"Exact Duplicate",
"Conflicting Duplicate"))</f>
        <v>Unique</v>
      </c>
      <c r="D866" t="s">
        <v>3949</v>
      </c>
      <c r="E866" t="s">
        <v>572</v>
      </c>
      <c r="F866" s="2">
        <v>45697</v>
      </c>
      <c r="G866" s="3">
        <v>45786</v>
      </c>
      <c r="H866" s="5" t="str">
        <f t="shared" si="234"/>
        <v>February</v>
      </c>
      <c r="I866" s="5">
        <f t="shared" si="235"/>
        <v>2025</v>
      </c>
      <c r="J866" t="str">
        <f>IF(F866="","Missing Date",
IF(ISNUMBER(F866),"Valid","Invalid Date"))</f>
        <v>Valid</v>
      </c>
      <c r="K866" t="str">
        <f t="shared" si="236"/>
        <v>Valid</v>
      </c>
      <c r="L866">
        <f>G866-F866</f>
        <v>89</v>
      </c>
      <c r="M866" t="s">
        <v>3950</v>
      </c>
      <c r="N866" t="s">
        <v>83</v>
      </c>
      <c r="O866" t="str">
        <f t="shared" si="237"/>
        <v>Vikram Iyer</v>
      </c>
      <c r="P866" t="s">
        <v>26</v>
      </c>
      <c r="Q866" t="str">
        <f t="shared" si="238"/>
        <v>Consumer</v>
      </c>
      <c r="R866" t="s">
        <v>62</v>
      </c>
      <c r="S866" t="str">
        <f t="shared" si="239"/>
        <v>South</v>
      </c>
      <c r="T866" t="s">
        <v>339</v>
      </c>
      <c r="U866" t="str">
        <f t="shared" si="240"/>
        <v>Tamil Nadu</v>
      </c>
      <c r="V866" t="s">
        <v>340</v>
      </c>
      <c r="W866" t="str">
        <f t="shared" si="241"/>
        <v>Chennai</v>
      </c>
      <c r="X866" t="s">
        <v>86</v>
      </c>
      <c r="Y866" t="str">
        <f t="shared" si="242"/>
        <v>Technology</v>
      </c>
      <c r="Z866" t="s">
        <v>223</v>
      </c>
      <c r="AA866" t="str">
        <f t="shared" si="243"/>
        <v>Phones</v>
      </c>
      <c r="AB866" t="s">
        <v>3951</v>
      </c>
      <c r="AC866" t="s">
        <v>56</v>
      </c>
      <c r="AD866" t="str">
        <f t="shared" si="244"/>
        <v>First Class</v>
      </c>
      <c r="AE866">
        <v>5</v>
      </c>
      <c r="AF866">
        <v>3406.87</v>
      </c>
      <c r="AG866">
        <v>0</v>
      </c>
      <c r="AH866">
        <v>0</v>
      </c>
      <c r="AI866" t="str">
        <f t="shared" si="245"/>
        <v>Valid</v>
      </c>
      <c r="AJ866">
        <v>17034.349999999999</v>
      </c>
      <c r="AK866">
        <f t="shared" si="246"/>
        <v>17034.349999999999</v>
      </c>
      <c r="AL866">
        <v>14631.36</v>
      </c>
      <c r="AM866">
        <v>2402.9899999999998</v>
      </c>
      <c r="AN866">
        <f t="shared" si="247"/>
        <v>2402.989999999998</v>
      </c>
      <c r="AO866">
        <f t="shared" si="248"/>
        <v>-14631.36</v>
      </c>
      <c r="AP866" t="s">
        <v>34</v>
      </c>
      <c r="AQ866" t="str">
        <f t="shared" si="249"/>
        <v>Paid</v>
      </c>
      <c r="AR866" t="s">
        <v>35</v>
      </c>
      <c r="AS866" t="str">
        <f t="shared" si="250"/>
        <v>Completed</v>
      </c>
      <c r="AT866" t="str">
        <f t="shared" si="251"/>
        <v>Clean</v>
      </c>
    </row>
    <row r="867" spans="1:46">
      <c r="A867" t="s">
        <v>3952</v>
      </c>
      <c r="B867">
        <f>COUNTIF($D$2:D867,D867)</f>
        <v>4</v>
      </c>
      <c r="C867" t="str">
        <f>IF(COUNTIF($A:$A,A867)=1,
"Unique",
IF(COUNTIFS($A:$A,A867,$N:$N,N867,$AF:$AF,AF867,$AJ:$AJ,AJ867)&gt;1,
"Exact Duplicate",
"Conflicting Duplicate"))</f>
        <v>Unique</v>
      </c>
      <c r="D867" t="s">
        <v>3766</v>
      </c>
      <c r="E867" t="s">
        <v>1920</v>
      </c>
      <c r="F867" s="3">
        <v>45810</v>
      </c>
      <c r="G867" s="3">
        <v>45702</v>
      </c>
      <c r="H867" s="5" t="str">
        <f t="shared" si="234"/>
        <v>June</v>
      </c>
      <c r="I867" s="5">
        <f t="shared" si="235"/>
        <v>2025</v>
      </c>
      <c r="J867" t="str">
        <f>IF(F867="","Missing Date",
IF(ISNUMBER(F867),"Valid","Invalid Date"))</f>
        <v>Valid</v>
      </c>
      <c r="K867" t="str">
        <f t="shared" si="236"/>
        <v>Valid</v>
      </c>
      <c r="L867">
        <f>G867-F867</f>
        <v>-108</v>
      </c>
      <c r="M867" t="s">
        <v>3953</v>
      </c>
      <c r="N867" t="s">
        <v>366</v>
      </c>
      <c r="O867" t="str">
        <f t="shared" si="237"/>
        <v>Kabir Singh</v>
      </c>
      <c r="P867" t="s">
        <v>26</v>
      </c>
      <c r="Q867" t="str">
        <f t="shared" si="238"/>
        <v>Consumer</v>
      </c>
      <c r="R867" t="s">
        <v>73</v>
      </c>
      <c r="S867" t="str">
        <f t="shared" si="239"/>
        <v>West</v>
      </c>
      <c r="T867" t="s">
        <v>74</v>
      </c>
      <c r="U867" t="str">
        <f t="shared" si="240"/>
        <v>Maharashtra</v>
      </c>
      <c r="V867" t="s">
        <v>75</v>
      </c>
      <c r="W867" t="str">
        <f t="shared" si="241"/>
        <v>Mumbai</v>
      </c>
      <c r="X867" t="s">
        <v>30</v>
      </c>
      <c r="Y867" t="str">
        <f t="shared" si="242"/>
        <v>Office Supplies</v>
      </c>
      <c r="Z867" t="s">
        <v>109</v>
      </c>
      <c r="AA867" t="str">
        <f t="shared" si="243"/>
        <v>Labels</v>
      </c>
      <c r="AB867" t="s">
        <v>3954</v>
      </c>
      <c r="AC867" t="s">
        <v>33</v>
      </c>
      <c r="AD867" t="str">
        <f t="shared" si="244"/>
        <v>Second Class</v>
      </c>
      <c r="AE867">
        <v>2</v>
      </c>
      <c r="AF867">
        <v>3992.04</v>
      </c>
      <c r="AG867">
        <v>0</v>
      </c>
      <c r="AH867">
        <v>0</v>
      </c>
      <c r="AI867" t="str">
        <f t="shared" si="245"/>
        <v>Valid</v>
      </c>
      <c r="AJ867">
        <v>7984.08</v>
      </c>
      <c r="AK867">
        <f t="shared" si="246"/>
        <v>7984.08</v>
      </c>
      <c r="AL867">
        <v>5658.05</v>
      </c>
      <c r="AM867">
        <v>2326.0300000000002</v>
      </c>
      <c r="AN867">
        <f t="shared" si="247"/>
        <v>2326.0299999999997</v>
      </c>
      <c r="AO867">
        <f t="shared" si="248"/>
        <v>-5658.05</v>
      </c>
      <c r="AP867" t="s">
        <v>34</v>
      </c>
      <c r="AQ867" t="str">
        <f t="shared" si="249"/>
        <v>Paid</v>
      </c>
      <c r="AR867" t="s">
        <v>35</v>
      </c>
      <c r="AS867" t="str">
        <f t="shared" si="250"/>
        <v>Completed</v>
      </c>
      <c r="AT867" t="str">
        <f t="shared" si="251"/>
        <v>Clean</v>
      </c>
    </row>
    <row r="868" spans="1:46">
      <c r="A868" t="s">
        <v>3955</v>
      </c>
      <c r="B868">
        <f>COUNTIF($D$2:D868,D868)</f>
        <v>1</v>
      </c>
      <c r="C868" t="str">
        <f>IF(COUNTIF($A:$A,A868)=1,
"Unique",
IF(COUNTIFS($A:$A,A868,$N:$N,N868,$AF:$AF,AF868,$AJ:$AJ,AJ868)&gt;1,
"Exact Duplicate",
"Conflicting Duplicate"))</f>
        <v>Unique</v>
      </c>
      <c r="D868" t="s">
        <v>1186</v>
      </c>
      <c r="E868" t="s">
        <v>3956</v>
      </c>
      <c r="F868" s="3">
        <v>45714</v>
      </c>
      <c r="G868" s="3">
        <v>45811</v>
      </c>
      <c r="H868" s="5" t="str">
        <f t="shared" si="234"/>
        <v>February</v>
      </c>
      <c r="I868" s="5">
        <f t="shared" si="235"/>
        <v>2025</v>
      </c>
      <c r="J868" t="str">
        <f>IF(F868="","Missing Date",
IF(ISNUMBER(F868),"Valid","Invalid Date"))</f>
        <v>Valid</v>
      </c>
      <c r="K868" t="str">
        <f t="shared" si="236"/>
        <v>Valid</v>
      </c>
      <c r="L868">
        <f>G868-F868</f>
        <v>97</v>
      </c>
      <c r="M868" t="s">
        <v>3957</v>
      </c>
      <c r="N868" t="s">
        <v>142</v>
      </c>
      <c r="O868" t="str">
        <f t="shared" si="237"/>
        <v>Priya Menon</v>
      </c>
      <c r="P868" t="s">
        <v>26</v>
      </c>
      <c r="Q868" t="str">
        <f t="shared" si="238"/>
        <v>Consumer</v>
      </c>
      <c r="R868" t="s">
        <v>42</v>
      </c>
      <c r="S868" t="str">
        <f t="shared" si="239"/>
        <v>East</v>
      </c>
      <c r="T868" t="s">
        <v>186</v>
      </c>
      <c r="U868" t="str">
        <f t="shared" si="240"/>
        <v>Bihar</v>
      </c>
      <c r="V868" t="s">
        <v>187</v>
      </c>
      <c r="W868" t="str">
        <f t="shared" si="241"/>
        <v>Patna</v>
      </c>
      <c r="X868" t="s">
        <v>45</v>
      </c>
      <c r="Y868" t="str">
        <f t="shared" si="242"/>
        <v>Furniture</v>
      </c>
      <c r="Z868" t="s">
        <v>204</v>
      </c>
      <c r="AA868" t="str">
        <f t="shared" si="243"/>
        <v>Bookcases</v>
      </c>
      <c r="AB868" t="s">
        <v>3958</v>
      </c>
      <c r="AC868" t="s">
        <v>56</v>
      </c>
      <c r="AD868" t="str">
        <f t="shared" si="244"/>
        <v>First Class</v>
      </c>
      <c r="AE868">
        <v>9</v>
      </c>
      <c r="AF868">
        <v>3043.37</v>
      </c>
      <c r="AG868">
        <v>0.2</v>
      </c>
      <c r="AH868">
        <v>0.2</v>
      </c>
      <c r="AI868" t="str">
        <f t="shared" si="245"/>
        <v>Valid</v>
      </c>
      <c r="AJ868">
        <v>21912.26</v>
      </c>
      <c r="AK868">
        <f t="shared" si="246"/>
        <v>21912.263999999999</v>
      </c>
      <c r="AL868">
        <v>16367.78</v>
      </c>
      <c r="AM868">
        <v>5544.48</v>
      </c>
      <c r="AN868">
        <f t="shared" si="247"/>
        <v>5544.4839999999986</v>
      </c>
      <c r="AO868">
        <f t="shared" si="248"/>
        <v>-16367.78</v>
      </c>
      <c r="AP868" t="s">
        <v>137</v>
      </c>
      <c r="AQ868" t="str">
        <f t="shared" si="249"/>
        <v>Pending</v>
      </c>
      <c r="AR868" t="s">
        <v>78</v>
      </c>
      <c r="AS868" t="str">
        <f t="shared" si="250"/>
        <v>Cancelled</v>
      </c>
      <c r="AT868" t="str">
        <f t="shared" si="251"/>
        <v>Clean</v>
      </c>
    </row>
    <row r="869" spans="1:46">
      <c r="A869" t="s">
        <v>3959</v>
      </c>
      <c r="B869">
        <f>COUNTIF($D$2:D869,D869)</f>
        <v>1</v>
      </c>
      <c r="C869" t="str">
        <f>IF(COUNTIF($A:$A,A869)=1,
"Unique",
IF(COUNTIFS($A:$A,A869,$N:$N,N869,$AF:$AF,AF869,$AJ:$AJ,AJ869)&gt;1,
"Exact Duplicate",
"Conflicting Duplicate"))</f>
        <v>Unique</v>
      </c>
      <c r="D869" t="s">
        <v>3960</v>
      </c>
      <c r="E869" t="s">
        <v>3961</v>
      </c>
      <c r="F869" s="2">
        <v>45617</v>
      </c>
      <c r="G869" s="2">
        <v>45618</v>
      </c>
      <c r="H869" s="5" t="str">
        <f t="shared" si="234"/>
        <v>November</v>
      </c>
      <c r="I869" s="5">
        <f t="shared" si="235"/>
        <v>2024</v>
      </c>
      <c r="J869" t="str">
        <f>IF(F869="","Missing Date",
IF(ISNUMBER(F869),"Valid","Invalid Date"))</f>
        <v>Valid</v>
      </c>
      <c r="K869" t="str">
        <f t="shared" si="236"/>
        <v>Valid</v>
      </c>
      <c r="L869">
        <f>G869-F869</f>
        <v>1</v>
      </c>
      <c r="M869" t="s">
        <v>3962</v>
      </c>
      <c r="N869" t="s">
        <v>148</v>
      </c>
      <c r="O869" t="str">
        <f t="shared" si="237"/>
        <v>Rahul Verma</v>
      </c>
      <c r="P869" t="s">
        <v>115</v>
      </c>
      <c r="Q869" t="str">
        <f t="shared" si="238"/>
        <v>Home Office</v>
      </c>
      <c r="R869" t="s">
        <v>62</v>
      </c>
      <c r="S869" t="str">
        <f t="shared" si="239"/>
        <v>South</v>
      </c>
      <c r="T869" t="s">
        <v>100</v>
      </c>
      <c r="U869" t="str">
        <f t="shared" si="240"/>
        <v>Andhra Pradesh</v>
      </c>
      <c r="V869" t="s">
        <v>101</v>
      </c>
      <c r="W869" t="str">
        <f t="shared" si="241"/>
        <v>Vijayawada</v>
      </c>
      <c r="X869" t="s">
        <v>86</v>
      </c>
      <c r="Y869" t="str">
        <f t="shared" si="242"/>
        <v>Technology</v>
      </c>
      <c r="Z869" t="s">
        <v>87</v>
      </c>
      <c r="AA869" t="str">
        <f t="shared" si="243"/>
        <v>Accessories</v>
      </c>
      <c r="AB869" t="s">
        <v>3963</v>
      </c>
      <c r="AC869" t="s">
        <v>48</v>
      </c>
      <c r="AD869" t="str">
        <f t="shared" si="244"/>
        <v>Same Day</v>
      </c>
      <c r="AE869">
        <v>6</v>
      </c>
      <c r="AF869">
        <v>1043.49</v>
      </c>
      <c r="AG869">
        <v>0.25</v>
      </c>
      <c r="AH869">
        <v>0.25</v>
      </c>
      <c r="AI869" t="str">
        <f t="shared" si="245"/>
        <v>Valid</v>
      </c>
      <c r="AJ869">
        <v>4695.7</v>
      </c>
      <c r="AK869">
        <f t="shared" si="246"/>
        <v>4695.7049999999999</v>
      </c>
      <c r="AL869">
        <v>3871.69</v>
      </c>
      <c r="AM869">
        <v>824.01</v>
      </c>
      <c r="AN869">
        <f t="shared" si="247"/>
        <v>824.01499999999987</v>
      </c>
      <c r="AO869">
        <f t="shared" si="248"/>
        <v>-3871.69</v>
      </c>
      <c r="AP869" t="s">
        <v>200</v>
      </c>
      <c r="AQ869" t="str">
        <f t="shared" si="249"/>
        <v>Failed</v>
      </c>
      <c r="AR869" t="s">
        <v>78</v>
      </c>
      <c r="AS869" t="str">
        <f t="shared" si="250"/>
        <v>Cancelled</v>
      </c>
      <c r="AT869" t="str">
        <f t="shared" si="251"/>
        <v>Clean</v>
      </c>
    </row>
    <row r="870" spans="1:46">
      <c r="A870" t="s">
        <v>3964</v>
      </c>
      <c r="B870">
        <f>COUNTIF($D$2:D870,D870)</f>
        <v>2</v>
      </c>
      <c r="C870" t="str">
        <f>IF(COUNTIF($A:$A,A870)=1,
"Unique",
IF(COUNTIFS($A:$A,A870,$N:$N,N870,$AF:$AF,AF870,$AJ:$AJ,AJ870)&gt;1,
"Exact Duplicate",
"Conflicting Duplicate"))</f>
        <v>Unique</v>
      </c>
      <c r="D870" t="s">
        <v>814</v>
      </c>
      <c r="E870" t="s">
        <v>2143</v>
      </c>
      <c r="F870" s="3">
        <v>45965</v>
      </c>
      <c r="G870" s="3">
        <v>45762</v>
      </c>
      <c r="H870" s="5" t="str">
        <f t="shared" si="234"/>
        <v>November</v>
      </c>
      <c r="I870" s="5">
        <f t="shared" si="235"/>
        <v>2025</v>
      </c>
      <c r="J870" t="str">
        <f>IF(F870="","Missing Date",
IF(ISNUMBER(F870),"Valid","Invalid Date"))</f>
        <v>Valid</v>
      </c>
      <c r="K870" t="str">
        <f t="shared" si="236"/>
        <v>Valid</v>
      </c>
      <c r="L870">
        <f>G870-F870</f>
        <v>-203</v>
      </c>
      <c r="M870" t="s">
        <v>3965</v>
      </c>
      <c r="N870" t="s">
        <v>83</v>
      </c>
      <c r="O870" t="str">
        <f t="shared" si="237"/>
        <v>Vikram Iyer</v>
      </c>
      <c r="P870" t="s">
        <v>115</v>
      </c>
      <c r="Q870" t="str">
        <f t="shared" si="238"/>
        <v>Home Office</v>
      </c>
      <c r="R870" t="s">
        <v>62</v>
      </c>
      <c r="S870" t="str">
        <f t="shared" si="239"/>
        <v>South</v>
      </c>
      <c r="T870" t="s">
        <v>229</v>
      </c>
      <c r="U870" t="str">
        <f t="shared" si="240"/>
        <v>Karnataka</v>
      </c>
      <c r="V870" t="s">
        <v>230</v>
      </c>
      <c r="W870" t="str">
        <f t="shared" si="241"/>
        <v>Bengaluru</v>
      </c>
      <c r="X870" t="s">
        <v>30</v>
      </c>
      <c r="Y870" t="str">
        <f t="shared" si="242"/>
        <v>Office Supplies</v>
      </c>
      <c r="Z870" t="s">
        <v>156</v>
      </c>
      <c r="AA870" t="str">
        <f t="shared" si="243"/>
        <v>Storage</v>
      </c>
      <c r="AB870" t="s">
        <v>3966</v>
      </c>
      <c r="AC870" t="s">
        <v>48</v>
      </c>
      <c r="AD870" t="str">
        <f t="shared" si="244"/>
        <v>Same Day</v>
      </c>
      <c r="AE870">
        <v>9</v>
      </c>
      <c r="AF870">
        <v>224.94</v>
      </c>
      <c r="AG870">
        <v>0.05</v>
      </c>
      <c r="AH870">
        <v>0.05</v>
      </c>
      <c r="AI870" t="str">
        <f t="shared" si="245"/>
        <v>Valid</v>
      </c>
      <c r="AJ870">
        <v>1923.24</v>
      </c>
      <c r="AK870">
        <f t="shared" si="246"/>
        <v>1923.2369999999999</v>
      </c>
      <c r="AL870">
        <v>1093.6600000000001</v>
      </c>
      <c r="AM870">
        <v>829.58</v>
      </c>
      <c r="AN870">
        <f t="shared" si="247"/>
        <v>829.57699999999977</v>
      </c>
      <c r="AO870">
        <f t="shared" si="248"/>
        <v>-1093.6600000000001</v>
      </c>
      <c r="AP870" t="s">
        <v>34</v>
      </c>
      <c r="AQ870" t="str">
        <f t="shared" si="249"/>
        <v>Paid</v>
      </c>
      <c r="AR870" t="s">
        <v>35</v>
      </c>
      <c r="AS870" t="str">
        <f t="shared" si="250"/>
        <v>Completed</v>
      </c>
      <c r="AT870" t="str">
        <f t="shared" si="251"/>
        <v>Clean</v>
      </c>
    </row>
    <row r="871" spans="1:46">
      <c r="A871" t="s">
        <v>3967</v>
      </c>
      <c r="B871">
        <f>COUNTIF($D$2:D871,D871)</f>
        <v>1</v>
      </c>
      <c r="C871" t="str">
        <f>IF(COUNTIF($A:$A,A871)=1,
"Unique",
IF(COUNTIFS($A:$A,A871,$N:$N,N871,$AF:$AF,AF871,$AJ:$AJ,AJ871)&gt;1,
"Exact Duplicate",
"Conflicting Duplicate"))</f>
        <v>Unique</v>
      </c>
      <c r="D871" t="s">
        <v>3968</v>
      </c>
      <c r="E871" t="s">
        <v>787</v>
      </c>
      <c r="F871" s="3">
        <v>45722</v>
      </c>
      <c r="G871" s="3">
        <v>45841</v>
      </c>
      <c r="H871" s="5" t="str">
        <f t="shared" si="234"/>
        <v>March</v>
      </c>
      <c r="I871" s="5">
        <f t="shared" si="235"/>
        <v>2025</v>
      </c>
      <c r="J871" t="str">
        <f>IF(F871="","Missing Date",
IF(ISNUMBER(F871),"Valid","Invalid Date"))</f>
        <v>Valid</v>
      </c>
      <c r="K871" t="str">
        <f t="shared" si="236"/>
        <v>Valid</v>
      </c>
      <c r="L871">
        <f>G871-F871</f>
        <v>119</v>
      </c>
      <c r="M871" t="s">
        <v>3969</v>
      </c>
      <c r="N871" t="s">
        <v>180</v>
      </c>
      <c r="O871" t="str">
        <f t="shared" si="237"/>
        <v>Rohan Mehta</v>
      </c>
      <c r="P871" t="s">
        <v>115</v>
      </c>
      <c r="Q871" t="str">
        <f t="shared" si="238"/>
        <v>Home Office</v>
      </c>
      <c r="R871" t="s">
        <v>4104</v>
      </c>
      <c r="S871" t="s">
        <v>4104</v>
      </c>
      <c r="T871" t="s">
        <v>506</v>
      </c>
      <c r="U871" t="str">
        <f t="shared" si="240"/>
        <v>Delhi</v>
      </c>
      <c r="V871" t="s">
        <v>507</v>
      </c>
      <c r="W871" t="str">
        <f t="shared" si="241"/>
        <v>New Delhi</v>
      </c>
      <c r="X871" t="s">
        <v>45</v>
      </c>
      <c r="Y871" t="str">
        <f t="shared" si="242"/>
        <v>Furniture</v>
      </c>
      <c r="Z871" t="s">
        <v>76</v>
      </c>
      <c r="AA871" t="str">
        <f t="shared" si="243"/>
        <v>Chairs</v>
      </c>
      <c r="AB871" t="s">
        <v>1752</v>
      </c>
      <c r="AC871" t="s">
        <v>48</v>
      </c>
      <c r="AD871" t="str">
        <f t="shared" si="244"/>
        <v>Same Day</v>
      </c>
      <c r="AE871">
        <v>6</v>
      </c>
      <c r="AF871">
        <v>796.65</v>
      </c>
      <c r="AG871">
        <v>0.1</v>
      </c>
      <c r="AH871">
        <v>0.1</v>
      </c>
      <c r="AI871" t="str">
        <f t="shared" si="245"/>
        <v>Valid</v>
      </c>
      <c r="AJ871">
        <v>4301.91</v>
      </c>
      <c r="AK871">
        <f t="shared" si="246"/>
        <v>4301.91</v>
      </c>
      <c r="AL871">
        <v>2374.4</v>
      </c>
      <c r="AM871">
        <v>1927.51</v>
      </c>
      <c r="AN871">
        <f t="shared" si="247"/>
        <v>1927.5099999999998</v>
      </c>
      <c r="AO871">
        <f t="shared" si="248"/>
        <v>-2374.4</v>
      </c>
      <c r="AP871" t="s">
        <v>34</v>
      </c>
      <c r="AQ871" t="str">
        <f t="shared" si="249"/>
        <v>Paid</v>
      </c>
      <c r="AR871" t="s">
        <v>35</v>
      </c>
      <c r="AS871" t="str">
        <f t="shared" si="250"/>
        <v>Completed</v>
      </c>
      <c r="AT871" t="str">
        <f t="shared" si="251"/>
        <v>Clean</v>
      </c>
    </row>
    <row r="872" spans="1:46">
      <c r="A872" t="s">
        <v>3970</v>
      </c>
      <c r="B872">
        <f>COUNTIF($D$2:D872,D872)</f>
        <v>3</v>
      </c>
      <c r="C872" t="str">
        <f>IF(COUNTIF($A:$A,A872)=1,
"Unique",
IF(COUNTIFS($A:$A,A872,$N:$N,N872,$AF:$AF,AF872,$AJ:$AJ,AJ872)&gt;1,
"Exact Duplicate",
"Conflicting Duplicate"))</f>
        <v>Unique</v>
      </c>
      <c r="D872" t="s">
        <v>3971</v>
      </c>
      <c r="E872" t="s">
        <v>3972</v>
      </c>
      <c r="F872" s="2">
        <v>45814</v>
      </c>
      <c r="G872" s="2">
        <v>45844</v>
      </c>
      <c r="H872" s="5" t="str">
        <f t="shared" si="234"/>
        <v>June</v>
      </c>
      <c r="I872" s="5">
        <f t="shared" si="235"/>
        <v>2025</v>
      </c>
      <c r="J872" t="str">
        <f>IF(F872="","Missing Date",
IF(ISNUMBER(F872),"Valid","Invalid Date"))</f>
        <v>Valid</v>
      </c>
      <c r="K872" t="str">
        <f t="shared" si="236"/>
        <v>Valid</v>
      </c>
      <c r="L872">
        <f>G872-F872</f>
        <v>30</v>
      </c>
      <c r="M872" t="s">
        <v>3973</v>
      </c>
      <c r="N872" t="s">
        <v>83</v>
      </c>
      <c r="O872" t="str">
        <f t="shared" si="237"/>
        <v>Vikram Iyer</v>
      </c>
      <c r="P872" t="s">
        <v>108</v>
      </c>
      <c r="Q872" t="str">
        <f t="shared" si="238"/>
        <v>Corporate</v>
      </c>
      <c r="R872" t="s">
        <v>73</v>
      </c>
      <c r="S872" t="str">
        <f t="shared" si="239"/>
        <v>West</v>
      </c>
      <c r="T872" t="s">
        <v>249</v>
      </c>
      <c r="U872" t="str">
        <f t="shared" si="240"/>
        <v>Goa</v>
      </c>
      <c r="V872" t="s">
        <v>250</v>
      </c>
      <c r="W872" t="str">
        <f t="shared" si="241"/>
        <v>Panaji</v>
      </c>
      <c r="X872" t="s">
        <v>45</v>
      </c>
      <c r="Y872" t="str">
        <f t="shared" si="242"/>
        <v>Furniture</v>
      </c>
      <c r="Z872" t="s">
        <v>46</v>
      </c>
      <c r="AA872" t="str">
        <f t="shared" si="243"/>
        <v>Tables</v>
      </c>
      <c r="AB872" t="s">
        <v>3974</v>
      </c>
      <c r="AC872" t="s">
        <v>67</v>
      </c>
      <c r="AD872" t="str">
        <f t="shared" si="244"/>
        <v>Standard Class</v>
      </c>
      <c r="AE872">
        <v>9</v>
      </c>
      <c r="AF872">
        <v>2932.92</v>
      </c>
      <c r="AG872">
        <v>0.15</v>
      </c>
      <c r="AH872">
        <v>0.15</v>
      </c>
      <c r="AI872" t="str">
        <f t="shared" si="245"/>
        <v>Valid</v>
      </c>
      <c r="AJ872">
        <v>22436.84</v>
      </c>
      <c r="AK872">
        <f t="shared" si="246"/>
        <v>22436.838</v>
      </c>
      <c r="AL872">
        <v>17454.669999999998</v>
      </c>
      <c r="AM872">
        <v>4982.17</v>
      </c>
      <c r="AN872">
        <f t="shared" si="247"/>
        <v>4982.1680000000015</v>
      </c>
      <c r="AO872">
        <f t="shared" si="248"/>
        <v>-17454.669999999998</v>
      </c>
      <c r="AP872" t="s">
        <v>34</v>
      </c>
      <c r="AQ872" t="str">
        <f t="shared" si="249"/>
        <v>Paid</v>
      </c>
      <c r="AR872" t="s">
        <v>78</v>
      </c>
      <c r="AS872" t="str">
        <f t="shared" si="250"/>
        <v>Cancelled</v>
      </c>
      <c r="AT872" t="str">
        <f t="shared" si="251"/>
        <v>Clean</v>
      </c>
    </row>
    <row r="873" spans="1:46">
      <c r="A873" t="s">
        <v>3975</v>
      </c>
      <c r="B873">
        <f>COUNTIF($D$2:D873,D873)</f>
        <v>1</v>
      </c>
      <c r="C873" t="str">
        <f>IF(COUNTIF($A:$A,A873)=1,
"Unique",
IF(COUNTIFS($A:$A,A873,$N:$N,N873,$AF:$AF,AF873,$AJ:$AJ,AJ873)&gt;1,
"Exact Duplicate",
"Conflicting Duplicate"))</f>
        <v>Unique</v>
      </c>
      <c r="D873" t="s">
        <v>3976</v>
      </c>
      <c r="E873" t="s">
        <v>2830</v>
      </c>
      <c r="F873" s="3">
        <v>45342</v>
      </c>
      <c r="G873" s="3">
        <v>45344</v>
      </c>
      <c r="H873" s="5" t="str">
        <f t="shared" si="234"/>
        <v>February</v>
      </c>
      <c r="I873" s="5">
        <f t="shared" si="235"/>
        <v>2024</v>
      </c>
      <c r="J873" t="str">
        <f>IF(F873="","Missing Date",
IF(ISNUMBER(F873),"Valid","Invalid Date"))</f>
        <v>Valid</v>
      </c>
      <c r="K873" t="str">
        <f t="shared" si="236"/>
        <v>Valid</v>
      </c>
      <c r="L873">
        <f>G873-F873</f>
        <v>2</v>
      </c>
      <c r="M873" t="s">
        <v>3795</v>
      </c>
      <c r="N873" t="s">
        <v>93</v>
      </c>
      <c r="O873" t="str">
        <f t="shared" si="237"/>
        <v>Neha Gupta</v>
      </c>
      <c r="P873" t="s">
        <v>41</v>
      </c>
      <c r="Q873" t="str">
        <f t="shared" si="238"/>
        <v>Small Business</v>
      </c>
      <c r="R873" t="s">
        <v>62</v>
      </c>
      <c r="S873" t="str">
        <f t="shared" si="239"/>
        <v>South</v>
      </c>
      <c r="T873" t="s">
        <v>63</v>
      </c>
      <c r="U873" t="str">
        <f t="shared" si="240"/>
        <v>Telangana</v>
      </c>
      <c r="V873" t="s">
        <v>64</v>
      </c>
      <c r="W873" t="str">
        <f t="shared" si="241"/>
        <v>Hyderabad</v>
      </c>
      <c r="X873" t="s">
        <v>86</v>
      </c>
      <c r="Y873" t="str">
        <f t="shared" si="242"/>
        <v>Technology</v>
      </c>
      <c r="Z873" t="s">
        <v>87</v>
      </c>
      <c r="AA873" t="str">
        <f t="shared" si="243"/>
        <v>Accessories</v>
      </c>
      <c r="AB873" t="s">
        <v>3977</v>
      </c>
      <c r="AC873" t="s">
        <v>56</v>
      </c>
      <c r="AD873" t="str">
        <f t="shared" si="244"/>
        <v>First Class</v>
      </c>
      <c r="AE873">
        <v>9</v>
      </c>
      <c r="AF873">
        <v>2186.23</v>
      </c>
      <c r="AG873">
        <v>0</v>
      </c>
      <c r="AH873">
        <v>0</v>
      </c>
      <c r="AI873" t="str">
        <f t="shared" si="245"/>
        <v>Valid</v>
      </c>
      <c r="AJ873">
        <v>19676.07</v>
      </c>
      <c r="AK873">
        <f t="shared" si="246"/>
        <v>19676.07</v>
      </c>
      <c r="AL873">
        <v>12458.62</v>
      </c>
      <c r="AM873">
        <v>7217.45</v>
      </c>
      <c r="AN873">
        <f t="shared" si="247"/>
        <v>7217.4499999999989</v>
      </c>
      <c r="AO873">
        <f t="shared" si="248"/>
        <v>-12458.62</v>
      </c>
      <c r="AP873" t="s">
        <v>124</v>
      </c>
      <c r="AQ873" t="str">
        <f t="shared" si="249"/>
        <v>Refunded</v>
      </c>
      <c r="AR873" t="s">
        <v>78</v>
      </c>
      <c r="AS873" t="str">
        <f t="shared" si="250"/>
        <v>Cancelled</v>
      </c>
      <c r="AT873" t="str">
        <f t="shared" si="251"/>
        <v>Clean</v>
      </c>
    </row>
    <row r="874" spans="1:46">
      <c r="A874" t="s">
        <v>3978</v>
      </c>
      <c r="B874">
        <f>COUNTIF($D$2:D874,D874)</f>
        <v>1</v>
      </c>
      <c r="C874" t="str">
        <f>IF(COUNTIF($A:$A,A874)=1,
"Unique",
IF(COUNTIFS($A:$A,A874,$N:$N,N874,$AF:$AF,AF874,$AJ:$AJ,AJ874)&gt;1,
"Exact Duplicate",
"Conflicting Duplicate"))</f>
        <v>Unique</v>
      </c>
      <c r="D874" t="s">
        <v>3506</v>
      </c>
      <c r="E874" t="s">
        <v>3979</v>
      </c>
      <c r="F874" s="3">
        <v>45597</v>
      </c>
      <c r="G874" s="2">
        <v>45333</v>
      </c>
      <c r="H874" s="5" t="str">
        <f t="shared" si="234"/>
        <v>November</v>
      </c>
      <c r="I874" s="5">
        <f t="shared" si="235"/>
        <v>2024</v>
      </c>
      <c r="J874" t="str">
        <f>IF(F874="","Missing Date",
IF(ISNUMBER(F874),"Valid","Invalid Date"))</f>
        <v>Valid</v>
      </c>
      <c r="K874" t="str">
        <f t="shared" si="236"/>
        <v>Valid</v>
      </c>
      <c r="L874">
        <f>G874-F874</f>
        <v>-264</v>
      </c>
      <c r="M874" t="s">
        <v>2962</v>
      </c>
      <c r="N874" t="s">
        <v>25</v>
      </c>
      <c r="O874" t="str">
        <f t="shared" si="237"/>
        <v>Karan Malhotra</v>
      </c>
      <c r="P874" t="s">
        <v>108</v>
      </c>
      <c r="Q874" t="str">
        <f t="shared" si="238"/>
        <v>Corporate</v>
      </c>
      <c r="R874" t="s">
        <v>42</v>
      </c>
      <c r="S874" t="str">
        <f t="shared" si="239"/>
        <v>East</v>
      </c>
      <c r="T874" t="s">
        <v>121</v>
      </c>
      <c r="U874" t="str">
        <f t="shared" si="240"/>
        <v>West Bengal</v>
      </c>
      <c r="V874" t="s">
        <v>122</v>
      </c>
      <c r="W874" t="str">
        <f t="shared" si="241"/>
        <v>Kolkata</v>
      </c>
      <c r="X874" t="s">
        <v>45</v>
      </c>
      <c r="Y874" t="str">
        <f t="shared" si="242"/>
        <v>Furniture</v>
      </c>
      <c r="Z874" t="s">
        <v>65</v>
      </c>
      <c r="AA874" t="str">
        <f t="shared" si="243"/>
        <v>Furnishings</v>
      </c>
      <c r="AB874" t="s">
        <v>3980</v>
      </c>
      <c r="AC874" t="s">
        <v>67</v>
      </c>
      <c r="AD874" t="str">
        <f t="shared" si="244"/>
        <v>Standard Class</v>
      </c>
      <c r="AE874">
        <v>5</v>
      </c>
      <c r="AF874">
        <v>2212.02</v>
      </c>
      <c r="AG874">
        <v>0.2</v>
      </c>
      <c r="AH874">
        <v>0.2</v>
      </c>
      <c r="AI874" t="str">
        <f t="shared" si="245"/>
        <v>Valid</v>
      </c>
      <c r="AJ874">
        <v>8848.08</v>
      </c>
      <c r="AK874">
        <f t="shared" si="246"/>
        <v>8848.08</v>
      </c>
      <c r="AL874">
        <v>5691.56</v>
      </c>
      <c r="AM874">
        <v>3156.52</v>
      </c>
      <c r="AN874">
        <f t="shared" si="247"/>
        <v>3156.5199999999995</v>
      </c>
      <c r="AO874">
        <f t="shared" si="248"/>
        <v>-5691.56</v>
      </c>
      <c r="AP874" t="s">
        <v>34</v>
      </c>
      <c r="AQ874" t="str">
        <f t="shared" si="249"/>
        <v>Paid</v>
      </c>
      <c r="AR874" t="s">
        <v>35</v>
      </c>
      <c r="AS874" t="str">
        <f t="shared" si="250"/>
        <v>Completed</v>
      </c>
      <c r="AT874" t="str">
        <f t="shared" si="251"/>
        <v>Clean</v>
      </c>
    </row>
    <row r="875" spans="1:46">
      <c r="A875" t="s">
        <v>3981</v>
      </c>
      <c r="B875">
        <f>COUNTIF($D$2:D875,D875)</f>
        <v>2</v>
      </c>
      <c r="C875" t="str">
        <f>IF(COUNTIF($A:$A,A875)=1,
"Unique",
IF(COUNTIFS($A:$A,A875,$N:$N,N875,$AF:$AF,AF875,$AJ:$AJ,AJ875)&gt;1,
"Exact Duplicate",
"Conflicting Duplicate"))</f>
        <v>Unique</v>
      </c>
      <c r="D875" t="s">
        <v>3982</v>
      </c>
      <c r="E875" t="s">
        <v>3983</v>
      </c>
      <c r="F875" s="2">
        <v>45659</v>
      </c>
      <c r="G875" s="3">
        <v>45871</v>
      </c>
      <c r="H875" s="5" t="str">
        <f t="shared" si="234"/>
        <v>January</v>
      </c>
      <c r="I875" s="5">
        <f t="shared" si="235"/>
        <v>2025</v>
      </c>
      <c r="J875" t="str">
        <f>IF(F875="","Missing Date",
IF(ISNUMBER(F875),"Valid","Invalid Date"))</f>
        <v>Valid</v>
      </c>
      <c r="K875" t="str">
        <f t="shared" si="236"/>
        <v>Valid</v>
      </c>
      <c r="L875">
        <f>G875-F875</f>
        <v>212</v>
      </c>
      <c r="M875" t="s">
        <v>3984</v>
      </c>
      <c r="N875" t="s">
        <v>107</v>
      </c>
      <c r="O875" t="str">
        <f t="shared" si="237"/>
        <v>Aditi Sen</v>
      </c>
      <c r="P875" t="s">
        <v>115</v>
      </c>
      <c r="Q875" t="str">
        <f t="shared" si="238"/>
        <v>Home Office</v>
      </c>
      <c r="R875" t="s">
        <v>73</v>
      </c>
      <c r="S875" t="str">
        <f t="shared" si="239"/>
        <v>West</v>
      </c>
      <c r="T875" t="s">
        <v>235</v>
      </c>
      <c r="U875" t="str">
        <f t="shared" si="240"/>
        <v>Gujarat</v>
      </c>
      <c r="V875" t="s">
        <v>236</v>
      </c>
      <c r="W875" t="str">
        <f t="shared" si="241"/>
        <v>Ahmedabad</v>
      </c>
      <c r="X875" t="s">
        <v>30</v>
      </c>
      <c r="Y875" t="str">
        <f t="shared" si="242"/>
        <v>Office Supplies</v>
      </c>
      <c r="Z875" t="s">
        <v>156</v>
      </c>
      <c r="AA875" t="str">
        <f t="shared" si="243"/>
        <v>Storage</v>
      </c>
      <c r="AB875" t="s">
        <v>3985</v>
      </c>
      <c r="AC875" t="s">
        <v>33</v>
      </c>
      <c r="AD875" t="str">
        <f t="shared" si="244"/>
        <v>Second Class</v>
      </c>
      <c r="AE875">
        <v>8</v>
      </c>
      <c r="AF875">
        <v>623.30999999999995</v>
      </c>
      <c r="AG875">
        <v>0.1</v>
      </c>
      <c r="AH875">
        <v>0.1</v>
      </c>
      <c r="AI875" t="str">
        <f t="shared" si="245"/>
        <v>Valid</v>
      </c>
      <c r="AJ875">
        <v>4487.83</v>
      </c>
      <c r="AK875">
        <f t="shared" si="246"/>
        <v>4487.8319999999994</v>
      </c>
      <c r="AL875">
        <v>2633.78</v>
      </c>
      <c r="AM875">
        <v>1854.05</v>
      </c>
      <c r="AN875">
        <f t="shared" si="247"/>
        <v>1854.0519999999992</v>
      </c>
      <c r="AO875">
        <f t="shared" si="248"/>
        <v>-2633.78</v>
      </c>
      <c r="AP875" t="s">
        <v>34</v>
      </c>
      <c r="AQ875" t="str">
        <f t="shared" si="249"/>
        <v>Paid</v>
      </c>
      <c r="AR875" t="s">
        <v>35</v>
      </c>
      <c r="AS875" t="str">
        <f t="shared" si="250"/>
        <v>Completed</v>
      </c>
      <c r="AT875" t="str">
        <f t="shared" si="251"/>
        <v>Clean</v>
      </c>
    </row>
    <row r="876" spans="1:46">
      <c r="A876" t="s">
        <v>3986</v>
      </c>
      <c r="B876">
        <f>COUNTIF($D$2:D876,D876)</f>
        <v>2</v>
      </c>
      <c r="C876" t="str">
        <f>IF(COUNTIF($A:$A,A876)=1,
"Unique",
IF(COUNTIFS($A:$A,A876,$N:$N,N876,$AF:$AF,AF876,$AJ:$AJ,AJ876)&gt;1,
"Exact Duplicate",
"Conflicting Duplicate"))</f>
        <v>Unique</v>
      </c>
      <c r="D876" t="s">
        <v>2908</v>
      </c>
      <c r="E876" t="s">
        <v>1511</v>
      </c>
      <c r="F876" s="2">
        <v>45853</v>
      </c>
      <c r="G876" s="2">
        <v>45854</v>
      </c>
      <c r="H876" s="5" t="str">
        <f t="shared" si="234"/>
        <v>July</v>
      </c>
      <c r="I876" s="5">
        <f t="shared" si="235"/>
        <v>2025</v>
      </c>
      <c r="J876" t="str">
        <f>IF(F876="","Missing Date",
IF(ISNUMBER(F876),"Valid","Invalid Date"))</f>
        <v>Valid</v>
      </c>
      <c r="K876" t="str">
        <f t="shared" si="236"/>
        <v>Valid</v>
      </c>
      <c r="L876">
        <f>G876-F876</f>
        <v>1</v>
      </c>
      <c r="M876" t="s">
        <v>3987</v>
      </c>
      <c r="N876" t="s">
        <v>83</v>
      </c>
      <c r="O876" t="str">
        <f t="shared" si="237"/>
        <v>Vikram Iyer</v>
      </c>
      <c r="P876" t="s">
        <v>41</v>
      </c>
      <c r="Q876" t="str">
        <f t="shared" si="238"/>
        <v>Small Business</v>
      </c>
      <c r="R876" t="s">
        <v>73</v>
      </c>
      <c r="S876" t="str">
        <f t="shared" si="239"/>
        <v>West</v>
      </c>
      <c r="T876" t="s">
        <v>74</v>
      </c>
      <c r="U876" t="str">
        <f t="shared" si="240"/>
        <v>Maharashtra</v>
      </c>
      <c r="V876" t="s">
        <v>75</v>
      </c>
      <c r="W876" t="str">
        <f t="shared" si="241"/>
        <v>Mumbai</v>
      </c>
      <c r="X876" t="s">
        <v>30</v>
      </c>
      <c r="Y876" t="str">
        <f t="shared" si="242"/>
        <v>Office Supplies</v>
      </c>
      <c r="Z876" t="s">
        <v>31</v>
      </c>
      <c r="AA876" t="str">
        <f t="shared" si="243"/>
        <v>Paper</v>
      </c>
      <c r="AB876" t="s">
        <v>3988</v>
      </c>
      <c r="AC876" t="s">
        <v>67</v>
      </c>
      <c r="AD876" t="str">
        <f t="shared" si="244"/>
        <v>Standard Class</v>
      </c>
      <c r="AE876">
        <v>8</v>
      </c>
      <c r="AF876">
        <v>3924.88</v>
      </c>
      <c r="AG876">
        <v>0.05</v>
      </c>
      <c r="AH876">
        <v>0.05</v>
      </c>
      <c r="AI876" t="str">
        <f t="shared" si="245"/>
        <v>Valid</v>
      </c>
      <c r="AJ876">
        <v>29829.09</v>
      </c>
      <c r="AK876">
        <f t="shared" si="246"/>
        <v>29829.088</v>
      </c>
      <c r="AL876">
        <v>20710.18</v>
      </c>
      <c r="AM876">
        <v>9118.91</v>
      </c>
      <c r="AN876">
        <f t="shared" si="247"/>
        <v>9118.9079999999994</v>
      </c>
      <c r="AO876">
        <f t="shared" si="248"/>
        <v>-20710.18</v>
      </c>
      <c r="AP876" t="s">
        <v>34</v>
      </c>
      <c r="AQ876" t="str">
        <f t="shared" si="249"/>
        <v>Paid</v>
      </c>
      <c r="AR876" t="s">
        <v>35</v>
      </c>
      <c r="AS876" t="str">
        <f t="shared" si="250"/>
        <v>Completed</v>
      </c>
      <c r="AT876" t="str">
        <f t="shared" si="251"/>
        <v>Clean</v>
      </c>
    </row>
    <row r="877" spans="1:46">
      <c r="A877" t="s">
        <v>3989</v>
      </c>
      <c r="B877">
        <f>COUNTIF($D$2:D877,D877)</f>
        <v>3</v>
      </c>
      <c r="C877" t="str">
        <f>IF(COUNTIF($A:$A,A877)=1,
"Unique",
IF(COUNTIFS($A:$A,A877,$N:$N,N877,$AF:$AF,AF877,$AJ:$AJ,AJ877)&gt;1,
"Exact Duplicate",
"Conflicting Duplicate"))</f>
        <v>Unique</v>
      </c>
      <c r="D877" t="s">
        <v>3990</v>
      </c>
      <c r="E877" t="s">
        <v>3991</v>
      </c>
      <c r="F877" s="2">
        <v>45573</v>
      </c>
      <c r="G877" s="3">
        <v>45515</v>
      </c>
      <c r="H877" s="5" t="str">
        <f t="shared" si="234"/>
        <v>October</v>
      </c>
      <c r="I877" s="5">
        <f t="shared" si="235"/>
        <v>2024</v>
      </c>
      <c r="J877" t="str">
        <f>IF(F877="","Missing Date",
IF(ISNUMBER(F877),"Valid","Invalid Date"))</f>
        <v>Valid</v>
      </c>
      <c r="K877" t="str">
        <f t="shared" si="236"/>
        <v>Valid</v>
      </c>
      <c r="L877">
        <f>G877-F877</f>
        <v>-58</v>
      </c>
      <c r="M877" t="s">
        <v>3992</v>
      </c>
      <c r="N877" t="s">
        <v>40</v>
      </c>
      <c r="O877" t="str">
        <f t="shared" si="237"/>
        <v>Mira Das</v>
      </c>
      <c r="P877" t="s">
        <v>108</v>
      </c>
      <c r="Q877" t="str">
        <f t="shared" si="238"/>
        <v>Corporate</v>
      </c>
      <c r="R877" t="s">
        <v>73</v>
      </c>
      <c r="S877" t="str">
        <f t="shared" si="239"/>
        <v>West</v>
      </c>
      <c r="T877" t="s">
        <v>74</v>
      </c>
      <c r="U877" t="str">
        <f t="shared" si="240"/>
        <v>Maharashtra</v>
      </c>
      <c r="V877" t="s">
        <v>75</v>
      </c>
      <c r="W877" t="str">
        <f t="shared" si="241"/>
        <v>Mumbai</v>
      </c>
      <c r="X877" t="s">
        <v>86</v>
      </c>
      <c r="Y877" t="str">
        <f t="shared" si="242"/>
        <v>Technology</v>
      </c>
      <c r="Z877" t="s">
        <v>94</v>
      </c>
      <c r="AA877" t="str">
        <f t="shared" si="243"/>
        <v>Copiers</v>
      </c>
      <c r="AB877" t="s">
        <v>3993</v>
      </c>
      <c r="AC877" t="s">
        <v>56</v>
      </c>
      <c r="AD877" t="str">
        <f t="shared" si="244"/>
        <v>First Class</v>
      </c>
      <c r="AE877">
        <v>7</v>
      </c>
      <c r="AF877">
        <v>3852.62</v>
      </c>
      <c r="AG877">
        <v>0.2</v>
      </c>
      <c r="AH877">
        <v>0.2</v>
      </c>
      <c r="AI877" t="str">
        <f t="shared" si="245"/>
        <v>Valid</v>
      </c>
      <c r="AJ877">
        <v>21574.67</v>
      </c>
      <c r="AK877">
        <f t="shared" si="246"/>
        <v>21574.672000000002</v>
      </c>
      <c r="AL877">
        <v>14672.83</v>
      </c>
      <c r="AM877">
        <v>6901.84</v>
      </c>
      <c r="AN877">
        <f t="shared" si="247"/>
        <v>6901.8420000000024</v>
      </c>
      <c r="AO877">
        <f t="shared" si="248"/>
        <v>-14672.83</v>
      </c>
      <c r="AP877" t="s">
        <v>34</v>
      </c>
      <c r="AQ877" t="str">
        <f t="shared" si="249"/>
        <v>Paid</v>
      </c>
      <c r="AR877" t="s">
        <v>35</v>
      </c>
      <c r="AS877" t="str">
        <f t="shared" si="250"/>
        <v>Completed</v>
      </c>
      <c r="AT877" t="str">
        <f t="shared" si="251"/>
        <v>Clean</v>
      </c>
    </row>
    <row r="878" spans="1:46">
      <c r="A878" t="s">
        <v>3994</v>
      </c>
      <c r="B878">
        <f>COUNTIF($D$2:D878,D878)</f>
        <v>1</v>
      </c>
      <c r="C878" t="str">
        <f>IF(COUNTIF($A:$A,A878)=1,
"Unique",
IF(COUNTIFS($A:$A,A878,$N:$N,N878,$AF:$AF,AF878,$AJ:$AJ,AJ878)&gt;1,
"Exact Duplicate",
"Conflicting Duplicate"))</f>
        <v>Unique</v>
      </c>
      <c r="D878" t="s">
        <v>3995</v>
      </c>
      <c r="E878" t="s">
        <v>3996</v>
      </c>
      <c r="F878" s="3">
        <v>45614</v>
      </c>
      <c r="G878" s="3">
        <v>45616</v>
      </c>
      <c r="H878" s="5" t="str">
        <f t="shared" si="234"/>
        <v>November</v>
      </c>
      <c r="I878" s="5">
        <f t="shared" si="235"/>
        <v>2024</v>
      </c>
      <c r="J878" t="str">
        <f>IF(F878="","Missing Date",
IF(ISNUMBER(F878),"Valid","Invalid Date"))</f>
        <v>Valid</v>
      </c>
      <c r="K878" t="str">
        <f t="shared" si="236"/>
        <v>Valid</v>
      </c>
      <c r="L878">
        <f>G878-F878</f>
        <v>2</v>
      </c>
      <c r="M878" t="s">
        <v>3997</v>
      </c>
      <c r="N878" t="s">
        <v>142</v>
      </c>
      <c r="O878" t="str">
        <f t="shared" si="237"/>
        <v>Priya Menon</v>
      </c>
      <c r="P878" t="s">
        <v>26</v>
      </c>
      <c r="Q878" t="str">
        <f t="shared" si="238"/>
        <v>Consumer</v>
      </c>
      <c r="R878" t="s">
        <v>73</v>
      </c>
      <c r="S878" t="str">
        <f t="shared" si="239"/>
        <v>West</v>
      </c>
      <c r="T878" t="s">
        <v>28</v>
      </c>
      <c r="U878" t="str">
        <f t="shared" si="240"/>
        <v>Rajasthan</v>
      </c>
      <c r="V878" t="s">
        <v>135</v>
      </c>
      <c r="W878" t="str">
        <f t="shared" si="241"/>
        <v>Udaipur</v>
      </c>
      <c r="X878" t="s">
        <v>45</v>
      </c>
      <c r="Y878" t="str">
        <f t="shared" si="242"/>
        <v>Furniture</v>
      </c>
      <c r="Z878" t="s">
        <v>76</v>
      </c>
      <c r="AA878" t="str">
        <f t="shared" si="243"/>
        <v>Chairs</v>
      </c>
      <c r="AB878" t="s">
        <v>1291</v>
      </c>
      <c r="AC878" t="s">
        <v>56</v>
      </c>
      <c r="AD878" t="str">
        <f t="shared" si="244"/>
        <v>First Class</v>
      </c>
      <c r="AE878">
        <v>6</v>
      </c>
      <c r="AF878">
        <v>3790.22</v>
      </c>
      <c r="AG878">
        <v>0</v>
      </c>
      <c r="AH878">
        <v>0</v>
      </c>
      <c r="AI878" t="str">
        <f t="shared" si="245"/>
        <v>Valid</v>
      </c>
      <c r="AJ878">
        <v>22741.32</v>
      </c>
      <c r="AK878">
        <f t="shared" si="246"/>
        <v>22741.32</v>
      </c>
      <c r="AL878">
        <v>16388.57</v>
      </c>
      <c r="AM878">
        <v>6352.75</v>
      </c>
      <c r="AN878">
        <f t="shared" si="247"/>
        <v>6352.75</v>
      </c>
      <c r="AO878">
        <f t="shared" si="248"/>
        <v>-16388.57</v>
      </c>
      <c r="AP878" t="s">
        <v>34</v>
      </c>
      <c r="AQ878" t="str">
        <f t="shared" si="249"/>
        <v>Paid</v>
      </c>
      <c r="AR878" t="s">
        <v>35</v>
      </c>
      <c r="AS878" t="str">
        <f t="shared" si="250"/>
        <v>Completed</v>
      </c>
      <c r="AT878" t="str">
        <f t="shared" si="251"/>
        <v>Clean</v>
      </c>
    </row>
    <row r="879" spans="1:46">
      <c r="A879" t="s">
        <v>3998</v>
      </c>
      <c r="B879">
        <f>COUNTIF($D$2:D879,D879)</f>
        <v>2</v>
      </c>
      <c r="C879" t="str">
        <f>IF(COUNTIF($A:$A,A879)=1,
"Unique",
IF(COUNTIFS($A:$A,A879,$N:$N,N879,$AF:$AF,AF879,$AJ:$AJ,AJ879)&gt;1,
"Exact Duplicate",
"Conflicting Duplicate"))</f>
        <v>Unique</v>
      </c>
      <c r="D879" t="s">
        <v>3999</v>
      </c>
      <c r="E879" t="s">
        <v>2767</v>
      </c>
      <c r="F879" s="3">
        <v>45895</v>
      </c>
      <c r="G879" s="3">
        <v>45725</v>
      </c>
      <c r="H879" s="5" t="str">
        <f t="shared" si="234"/>
        <v>August</v>
      </c>
      <c r="I879" s="5">
        <f t="shared" si="235"/>
        <v>2025</v>
      </c>
      <c r="J879" t="str">
        <f>IF(F879="","Missing Date",
IF(ISNUMBER(F879),"Valid","Invalid Date"))</f>
        <v>Valid</v>
      </c>
      <c r="K879" t="str">
        <f t="shared" si="236"/>
        <v>Valid</v>
      </c>
      <c r="L879">
        <f>G879-F879</f>
        <v>-170</v>
      </c>
      <c r="M879" t="s">
        <v>4000</v>
      </c>
      <c r="N879" t="s">
        <v>162</v>
      </c>
      <c r="O879" t="str">
        <f t="shared" si="237"/>
        <v>Aarav Sharma</v>
      </c>
      <c r="P879" t="s">
        <v>26</v>
      </c>
      <c r="Q879" t="str">
        <f t="shared" si="238"/>
        <v>Consumer</v>
      </c>
      <c r="R879" t="s">
        <v>73</v>
      </c>
      <c r="S879" t="str">
        <f t="shared" si="239"/>
        <v>West</v>
      </c>
      <c r="T879" t="s">
        <v>28</v>
      </c>
      <c r="U879" t="str">
        <f t="shared" si="240"/>
        <v>Rajasthan</v>
      </c>
      <c r="V879" t="s">
        <v>135</v>
      </c>
      <c r="W879" t="str">
        <f t="shared" si="241"/>
        <v>Udaipur</v>
      </c>
      <c r="X879" t="s">
        <v>30</v>
      </c>
      <c r="Y879" t="str">
        <f t="shared" si="242"/>
        <v>Office Supplies</v>
      </c>
      <c r="Z879" t="s">
        <v>156</v>
      </c>
      <c r="AA879" t="str">
        <f t="shared" si="243"/>
        <v>Storage</v>
      </c>
      <c r="AB879" t="s">
        <v>4001</v>
      </c>
      <c r="AC879" t="s">
        <v>33</v>
      </c>
      <c r="AD879" t="str">
        <f t="shared" si="244"/>
        <v>Second Class</v>
      </c>
      <c r="AE879">
        <v>6</v>
      </c>
      <c r="AF879">
        <v>674.36</v>
      </c>
      <c r="AG879">
        <v>0.1</v>
      </c>
      <c r="AH879">
        <v>0.1</v>
      </c>
      <c r="AI879" t="str">
        <f t="shared" si="245"/>
        <v>Valid</v>
      </c>
      <c r="AJ879">
        <v>3641.54</v>
      </c>
      <c r="AK879">
        <f t="shared" si="246"/>
        <v>3641.5439999999999</v>
      </c>
      <c r="AL879">
        <v>2690.37</v>
      </c>
      <c r="AM879">
        <v>951.17</v>
      </c>
      <c r="AN879">
        <f t="shared" si="247"/>
        <v>951.17399999999998</v>
      </c>
      <c r="AO879">
        <f t="shared" si="248"/>
        <v>-2690.37</v>
      </c>
      <c r="AP879" t="s">
        <v>34</v>
      </c>
      <c r="AQ879" t="str">
        <f t="shared" si="249"/>
        <v>Paid</v>
      </c>
      <c r="AR879" t="s">
        <v>35</v>
      </c>
      <c r="AS879" t="str">
        <f t="shared" si="250"/>
        <v>Completed</v>
      </c>
      <c r="AT879" t="str">
        <f t="shared" si="251"/>
        <v>Clean</v>
      </c>
    </row>
    <row r="880" spans="1:46">
      <c r="A880" t="s">
        <v>4002</v>
      </c>
      <c r="B880">
        <f>COUNTIF($D$2:D880,D880)</f>
        <v>6</v>
      </c>
      <c r="C880" t="str">
        <f>IF(COUNTIF($A:$A,A880)=1,
"Unique",
IF(COUNTIFS($A:$A,A880,$N:$N,N880,$AF:$AF,AF880,$AJ:$AJ,AJ880)&gt;1,
"Exact Duplicate",
"Conflicting Duplicate"))</f>
        <v>Unique</v>
      </c>
      <c r="D880" t="s">
        <v>2038</v>
      </c>
      <c r="E880" t="s">
        <v>2038</v>
      </c>
      <c r="F880" s="3">
        <v>45313</v>
      </c>
      <c r="G880" s="3">
        <v>45313</v>
      </c>
      <c r="H880" s="5" t="str">
        <f t="shared" si="234"/>
        <v>January</v>
      </c>
      <c r="I880" s="5">
        <f t="shared" si="235"/>
        <v>2024</v>
      </c>
      <c r="J880" t="str">
        <f>IF(F880="","Missing Date",
IF(ISNUMBER(F880),"Valid","Invalid Date"))</f>
        <v>Valid</v>
      </c>
      <c r="K880" t="str">
        <f t="shared" si="236"/>
        <v>Valid</v>
      </c>
      <c r="L880">
        <f>G880-F880</f>
        <v>0</v>
      </c>
      <c r="M880" t="s">
        <v>4003</v>
      </c>
      <c r="N880" t="s">
        <v>25</v>
      </c>
      <c r="O880" t="str">
        <f t="shared" si="237"/>
        <v>Karan Malhotra</v>
      </c>
      <c r="P880" t="s">
        <v>108</v>
      </c>
      <c r="Q880" t="str">
        <f t="shared" si="238"/>
        <v>Corporate</v>
      </c>
      <c r="R880" t="s">
        <v>42</v>
      </c>
      <c r="S880" t="str">
        <f t="shared" si="239"/>
        <v>East</v>
      </c>
      <c r="T880" t="s">
        <v>121</v>
      </c>
      <c r="U880" t="str">
        <f t="shared" si="240"/>
        <v>West Bengal</v>
      </c>
      <c r="V880" t="s">
        <v>122</v>
      </c>
      <c r="W880" t="str">
        <f t="shared" si="241"/>
        <v>Kolkata</v>
      </c>
      <c r="X880" t="s">
        <v>30</v>
      </c>
      <c r="Y880" t="str">
        <f t="shared" si="242"/>
        <v>Office Supplies</v>
      </c>
      <c r="Z880" t="s">
        <v>31</v>
      </c>
      <c r="AA880" t="str">
        <f t="shared" si="243"/>
        <v>Paper</v>
      </c>
      <c r="AB880" t="s">
        <v>4004</v>
      </c>
      <c r="AC880" t="s">
        <v>56</v>
      </c>
      <c r="AD880" t="str">
        <f t="shared" si="244"/>
        <v>First Class</v>
      </c>
      <c r="AE880">
        <v>8</v>
      </c>
      <c r="AF880">
        <v>1557.21</v>
      </c>
      <c r="AG880">
        <v>0.05</v>
      </c>
      <c r="AH880">
        <v>0.05</v>
      </c>
      <c r="AI880" t="str">
        <f t="shared" si="245"/>
        <v>Valid</v>
      </c>
      <c r="AJ880">
        <v>11834.8</v>
      </c>
      <c r="AK880">
        <f t="shared" si="246"/>
        <v>11834.796</v>
      </c>
      <c r="AL880">
        <v>9322.36</v>
      </c>
      <c r="AM880">
        <v>2512.44</v>
      </c>
      <c r="AN880">
        <f t="shared" si="247"/>
        <v>2512.4359999999997</v>
      </c>
      <c r="AO880">
        <f t="shared" si="248"/>
        <v>-9322.36</v>
      </c>
      <c r="AP880" t="s">
        <v>34</v>
      </c>
      <c r="AQ880" t="str">
        <f t="shared" si="249"/>
        <v>Paid</v>
      </c>
      <c r="AR880" t="s">
        <v>35</v>
      </c>
      <c r="AS880" t="str">
        <f t="shared" si="250"/>
        <v>Completed</v>
      </c>
      <c r="AT880" t="str">
        <f t="shared" si="251"/>
        <v>Clean</v>
      </c>
    </row>
    <row r="881" spans="1:46">
      <c r="A881" t="s">
        <v>4005</v>
      </c>
      <c r="B881">
        <f>COUNTIF($D$2:D881,D881)</f>
        <v>2</v>
      </c>
      <c r="C881" t="str">
        <f>IF(COUNTIF($A:$A,A881)=1,
"Unique",
IF(COUNTIFS($A:$A,A881,$N:$N,N881,$AF:$AF,AF881,$AJ:$AJ,AJ881)&gt;1,
"Exact Duplicate",
"Conflicting Duplicate"))</f>
        <v>Unique</v>
      </c>
      <c r="D881" t="s">
        <v>4006</v>
      </c>
      <c r="E881" t="s">
        <v>435</v>
      </c>
      <c r="F881" s="3">
        <v>45896</v>
      </c>
      <c r="G881" s="3">
        <v>45897</v>
      </c>
      <c r="H881" s="5" t="str">
        <f t="shared" si="234"/>
        <v>August</v>
      </c>
      <c r="I881" s="5">
        <f t="shared" si="235"/>
        <v>2025</v>
      </c>
      <c r="J881" t="str">
        <f>IF(F881="","Missing Date",
IF(ISNUMBER(F881),"Valid","Invalid Date"))</f>
        <v>Valid</v>
      </c>
      <c r="K881" t="str">
        <f t="shared" si="236"/>
        <v>Valid</v>
      </c>
      <c r="L881">
        <f>G881-F881</f>
        <v>1</v>
      </c>
      <c r="M881" t="s">
        <v>4007</v>
      </c>
      <c r="N881" t="s">
        <v>72</v>
      </c>
      <c r="O881" t="str">
        <f t="shared" si="237"/>
        <v>Ananya Rao</v>
      </c>
      <c r="P881" t="s">
        <v>115</v>
      </c>
      <c r="Q881" t="str">
        <f t="shared" si="238"/>
        <v>Home Office</v>
      </c>
      <c r="R881" t="s">
        <v>27</v>
      </c>
      <c r="S881" t="str">
        <f t="shared" si="239"/>
        <v>North</v>
      </c>
      <c r="T881" t="s">
        <v>174</v>
      </c>
      <c r="U881" t="str">
        <f t="shared" si="240"/>
        <v>Uttar Pradesh</v>
      </c>
      <c r="V881" t="s">
        <v>175</v>
      </c>
      <c r="W881" t="str">
        <f t="shared" si="241"/>
        <v>Noida</v>
      </c>
      <c r="X881" t="s">
        <v>30</v>
      </c>
      <c r="Y881" t="str">
        <f t="shared" si="242"/>
        <v>Office Supplies</v>
      </c>
      <c r="Z881" t="s">
        <v>54</v>
      </c>
      <c r="AA881" t="str">
        <f t="shared" si="243"/>
        <v>Art</v>
      </c>
      <c r="AB881" t="s">
        <v>4008</v>
      </c>
      <c r="AC881" t="s">
        <v>67</v>
      </c>
      <c r="AD881" t="str">
        <f t="shared" si="244"/>
        <v>Standard Class</v>
      </c>
      <c r="AE881">
        <v>6</v>
      </c>
      <c r="AF881">
        <v>1182.03</v>
      </c>
      <c r="AG881">
        <v>0.15</v>
      </c>
      <c r="AH881">
        <v>0.15</v>
      </c>
      <c r="AI881" t="str">
        <f t="shared" si="245"/>
        <v>Valid</v>
      </c>
      <c r="AJ881">
        <v>6028.35</v>
      </c>
      <c r="AK881">
        <f t="shared" si="246"/>
        <v>6028.3530000000001</v>
      </c>
      <c r="AL881">
        <v>4433.63</v>
      </c>
      <c r="AM881">
        <v>1594.72</v>
      </c>
      <c r="AN881">
        <f t="shared" si="247"/>
        <v>1594.723</v>
      </c>
      <c r="AO881">
        <f t="shared" si="248"/>
        <v>-4433.63</v>
      </c>
      <c r="AP881" t="s">
        <v>34</v>
      </c>
      <c r="AQ881" t="str">
        <f t="shared" si="249"/>
        <v>Paid</v>
      </c>
      <c r="AR881" t="s">
        <v>35</v>
      </c>
      <c r="AS881" t="str">
        <f t="shared" si="250"/>
        <v>Completed</v>
      </c>
      <c r="AT881" t="str">
        <f t="shared" si="251"/>
        <v>Clean</v>
      </c>
    </row>
    <row r="882" spans="1:46">
      <c r="A882" t="s">
        <v>4009</v>
      </c>
      <c r="B882">
        <f>COUNTIF($D$2:D882,D882)</f>
        <v>1</v>
      </c>
      <c r="C882" t="str">
        <f>IF(COUNTIF($A:$A,A882)=1,
"Unique",
IF(COUNTIFS($A:$A,A882,$N:$N,N882,$AF:$AF,AF882,$AJ:$AJ,AJ882)&gt;1,
"Exact Duplicate",
"Conflicting Duplicate"))</f>
        <v>Unique</v>
      </c>
      <c r="D882" t="s">
        <v>4010</v>
      </c>
      <c r="E882" t="s">
        <v>1123</v>
      </c>
      <c r="F882" s="3">
        <v>45507</v>
      </c>
      <c r="G882" s="3">
        <v>45366</v>
      </c>
      <c r="H882" s="5" t="str">
        <f t="shared" si="234"/>
        <v>August</v>
      </c>
      <c r="I882" s="5">
        <f t="shared" si="235"/>
        <v>2024</v>
      </c>
      <c r="J882" t="str">
        <f>IF(F882="","Missing Date",
IF(ISNUMBER(F882),"Valid","Invalid Date"))</f>
        <v>Valid</v>
      </c>
      <c r="K882" t="str">
        <f t="shared" si="236"/>
        <v>Valid</v>
      </c>
      <c r="L882">
        <f>G882-F882</f>
        <v>-141</v>
      </c>
      <c r="M882" t="s">
        <v>4011</v>
      </c>
      <c r="N882" t="s">
        <v>162</v>
      </c>
      <c r="O882" t="str">
        <f t="shared" si="237"/>
        <v>Aarav Sharma</v>
      </c>
      <c r="P882" t="s">
        <v>41</v>
      </c>
      <c r="Q882" t="str">
        <f t="shared" si="238"/>
        <v>Small Business</v>
      </c>
      <c r="R882" t="s">
        <v>4104</v>
      </c>
      <c r="S882" t="s">
        <v>4104</v>
      </c>
      <c r="T882" t="s">
        <v>154</v>
      </c>
      <c r="U882" t="str">
        <f t="shared" si="240"/>
        <v>Punjab</v>
      </c>
      <c r="V882" t="s">
        <v>155</v>
      </c>
      <c r="W882" t="str">
        <f t="shared" si="241"/>
        <v>Ludhiana</v>
      </c>
      <c r="X882" t="s">
        <v>45</v>
      </c>
      <c r="Y882" t="str">
        <f t="shared" si="242"/>
        <v>Furniture</v>
      </c>
      <c r="Z882" t="s">
        <v>76</v>
      </c>
      <c r="AA882" t="str">
        <f t="shared" si="243"/>
        <v>Chairs</v>
      </c>
      <c r="AB882" t="s">
        <v>4012</v>
      </c>
      <c r="AC882" t="s">
        <v>56</v>
      </c>
      <c r="AD882" t="str">
        <f t="shared" si="244"/>
        <v>First Class</v>
      </c>
      <c r="AE882">
        <v>5</v>
      </c>
      <c r="AF882">
        <v>3234.77</v>
      </c>
      <c r="AG882">
        <v>0</v>
      </c>
      <c r="AH882">
        <v>0</v>
      </c>
      <c r="AI882" t="str">
        <f t="shared" si="245"/>
        <v>Valid</v>
      </c>
      <c r="AJ882">
        <v>16173.85</v>
      </c>
      <c r="AK882">
        <f t="shared" si="246"/>
        <v>16173.85</v>
      </c>
      <c r="AL882">
        <v>13636.34</v>
      </c>
      <c r="AM882">
        <v>2537.5100000000002</v>
      </c>
      <c r="AN882">
        <f t="shared" si="247"/>
        <v>2537.5100000000002</v>
      </c>
      <c r="AO882">
        <f t="shared" si="248"/>
        <v>-13636.34</v>
      </c>
      <c r="AP882" t="s">
        <v>34</v>
      </c>
      <c r="AQ882" t="str">
        <f t="shared" si="249"/>
        <v>Paid</v>
      </c>
      <c r="AR882" t="s">
        <v>35</v>
      </c>
      <c r="AS882" t="str">
        <f t="shared" si="250"/>
        <v>Completed</v>
      </c>
      <c r="AT882" t="str">
        <f t="shared" si="251"/>
        <v>Clean</v>
      </c>
    </row>
    <row r="883" spans="1:46">
      <c r="A883" t="s">
        <v>4013</v>
      </c>
      <c r="B883">
        <f>COUNTIF($D$2:D883,D883)</f>
        <v>4</v>
      </c>
      <c r="C883" t="str">
        <f>IF(COUNTIF($A:$A,A883)=1,
"Unique",
IF(COUNTIFS($A:$A,A883,$N:$N,N883,$AF:$AF,AF883,$AJ:$AJ,AJ883)&gt;1,
"Exact Duplicate",
"Conflicting Duplicate"))</f>
        <v>Unique</v>
      </c>
      <c r="D883" t="s">
        <v>2538</v>
      </c>
      <c r="E883" t="s">
        <v>4014</v>
      </c>
      <c r="F883" s="2">
        <v>45303</v>
      </c>
      <c r="G883" s="3">
        <v>45424</v>
      </c>
      <c r="H883" s="5" t="str">
        <f t="shared" si="234"/>
        <v>January</v>
      </c>
      <c r="I883" s="5">
        <f t="shared" si="235"/>
        <v>2024</v>
      </c>
      <c r="J883" t="str">
        <f>IF(F883="","Missing Date",
IF(ISNUMBER(F883),"Valid","Invalid Date"))</f>
        <v>Valid</v>
      </c>
      <c r="K883" t="str">
        <f t="shared" si="236"/>
        <v>Valid</v>
      </c>
      <c r="L883">
        <f>G883-F883</f>
        <v>121</v>
      </c>
      <c r="M883" t="s">
        <v>4015</v>
      </c>
      <c r="N883" t="s">
        <v>72</v>
      </c>
      <c r="O883" t="str">
        <f t="shared" si="237"/>
        <v>Ananya Rao</v>
      </c>
      <c r="P883" t="s">
        <v>41</v>
      </c>
      <c r="Q883" t="str">
        <f t="shared" si="238"/>
        <v>Small Business</v>
      </c>
      <c r="R883" t="s">
        <v>62</v>
      </c>
      <c r="S883" t="str">
        <f t="shared" si="239"/>
        <v>South</v>
      </c>
      <c r="T883" t="s">
        <v>100</v>
      </c>
      <c r="U883" t="str">
        <f t="shared" si="240"/>
        <v>Andhra Pradesh</v>
      </c>
      <c r="V883" t="s">
        <v>101</v>
      </c>
      <c r="W883" t="str">
        <f t="shared" si="241"/>
        <v>Vijayawada</v>
      </c>
      <c r="X883" t="s">
        <v>86</v>
      </c>
      <c r="Y883" t="str">
        <f t="shared" si="242"/>
        <v>Technology</v>
      </c>
      <c r="Z883" t="s">
        <v>94</v>
      </c>
      <c r="AA883" t="str">
        <f t="shared" si="243"/>
        <v>Copiers</v>
      </c>
      <c r="AB883" t="s">
        <v>4016</v>
      </c>
      <c r="AC883" t="s">
        <v>33</v>
      </c>
      <c r="AD883" t="str">
        <f t="shared" si="244"/>
        <v>Second Class</v>
      </c>
      <c r="AE883">
        <v>9</v>
      </c>
      <c r="AF883">
        <v>3726.75</v>
      </c>
      <c r="AG883">
        <v>0.25</v>
      </c>
      <c r="AH883">
        <v>0.25</v>
      </c>
      <c r="AI883" t="str">
        <f t="shared" si="245"/>
        <v>Valid</v>
      </c>
      <c r="AJ883">
        <v>25155.56</v>
      </c>
      <c r="AK883">
        <f t="shared" si="246"/>
        <v>25155.5625</v>
      </c>
      <c r="AL883">
        <v>17592.689999999999</v>
      </c>
      <c r="AM883">
        <v>7562.87</v>
      </c>
      <c r="AN883">
        <f t="shared" si="247"/>
        <v>7562.8725000000013</v>
      </c>
      <c r="AO883">
        <f t="shared" si="248"/>
        <v>-17592.689999999999</v>
      </c>
      <c r="AP883" t="s">
        <v>34</v>
      </c>
      <c r="AQ883" t="str">
        <f t="shared" si="249"/>
        <v>Paid</v>
      </c>
      <c r="AR883" t="s">
        <v>35</v>
      </c>
      <c r="AS883" t="str">
        <f t="shared" si="250"/>
        <v>Completed</v>
      </c>
      <c r="AT883" t="str">
        <f t="shared" si="251"/>
        <v>Clean</v>
      </c>
    </row>
    <row r="884" spans="1:46">
      <c r="A884" t="s">
        <v>4017</v>
      </c>
      <c r="B884">
        <f>COUNTIF($D$2:D884,D884)</f>
        <v>4</v>
      </c>
      <c r="C884" t="str">
        <f>IF(COUNTIF($A:$A,A884)=1,
"Unique",
IF(COUNTIFS($A:$A,A884,$N:$N,N884,$AF:$AF,AF884,$AJ:$AJ,AJ884)&gt;1,
"Exact Duplicate",
"Conflicting Duplicate"))</f>
        <v>Unique</v>
      </c>
      <c r="D884" t="s">
        <v>4018</v>
      </c>
      <c r="E884" t="s">
        <v>1335</v>
      </c>
      <c r="F884" s="2">
        <v>45690</v>
      </c>
      <c r="G884" s="3">
        <v>45698</v>
      </c>
      <c r="H884" s="5" t="str">
        <f t="shared" si="234"/>
        <v>February</v>
      </c>
      <c r="I884" s="5">
        <f t="shared" si="235"/>
        <v>2025</v>
      </c>
      <c r="J884" t="str">
        <f>IF(F884="","Missing Date",
IF(ISNUMBER(F884),"Valid","Invalid Date"))</f>
        <v>Valid</v>
      </c>
      <c r="K884" t="str">
        <f t="shared" si="236"/>
        <v>Valid</v>
      </c>
      <c r="L884">
        <f>G884-F884</f>
        <v>8</v>
      </c>
      <c r="M884" t="s">
        <v>4019</v>
      </c>
      <c r="N884" t="s">
        <v>168</v>
      </c>
      <c r="O884" t="str">
        <f t="shared" si="237"/>
        <v>Sneha Kapoor</v>
      </c>
      <c r="P884" t="s">
        <v>108</v>
      </c>
      <c r="Q884" t="str">
        <f t="shared" si="238"/>
        <v>Corporate</v>
      </c>
      <c r="R884" t="s">
        <v>42</v>
      </c>
      <c r="S884" t="str">
        <f t="shared" si="239"/>
        <v>East</v>
      </c>
      <c r="T884" t="s">
        <v>186</v>
      </c>
      <c r="U884" t="str">
        <f t="shared" si="240"/>
        <v>Bihar</v>
      </c>
      <c r="V884" t="s">
        <v>187</v>
      </c>
      <c r="W884" t="str">
        <f t="shared" si="241"/>
        <v>Patna</v>
      </c>
      <c r="X884" t="s">
        <v>86</v>
      </c>
      <c r="Y884" t="str">
        <f t="shared" si="242"/>
        <v>Technology</v>
      </c>
      <c r="Z884" t="s">
        <v>87</v>
      </c>
      <c r="AA884" t="str">
        <f t="shared" si="243"/>
        <v>Accessories</v>
      </c>
      <c r="AB884" t="s">
        <v>4020</v>
      </c>
      <c r="AC884" t="s">
        <v>67</v>
      </c>
      <c r="AD884" t="str">
        <f t="shared" si="244"/>
        <v>Standard Class</v>
      </c>
      <c r="AE884">
        <v>4</v>
      </c>
      <c r="AF884">
        <v>1912.45</v>
      </c>
      <c r="AG884">
        <v>0</v>
      </c>
      <c r="AH884">
        <v>0</v>
      </c>
      <c r="AI884" t="str">
        <f t="shared" si="245"/>
        <v>Valid</v>
      </c>
      <c r="AJ884">
        <v>7649.8</v>
      </c>
      <c r="AK884">
        <f t="shared" si="246"/>
        <v>7649.8</v>
      </c>
      <c r="AL884">
        <v>4894.53</v>
      </c>
      <c r="AM884">
        <v>2755.27</v>
      </c>
      <c r="AN884">
        <f t="shared" si="247"/>
        <v>2755.2700000000004</v>
      </c>
      <c r="AO884">
        <f t="shared" si="248"/>
        <v>-4894.53</v>
      </c>
      <c r="AP884" t="s">
        <v>137</v>
      </c>
      <c r="AQ884" t="str">
        <f t="shared" si="249"/>
        <v>Pending</v>
      </c>
      <c r="AR884" t="s">
        <v>125</v>
      </c>
      <c r="AS884" t="str">
        <f t="shared" si="250"/>
        <v>Returned</v>
      </c>
      <c r="AT884" t="str">
        <f t="shared" si="251"/>
        <v>Clean</v>
      </c>
    </row>
    <row r="885" spans="1:46">
      <c r="A885" t="s">
        <v>4021</v>
      </c>
      <c r="B885">
        <f>COUNTIF($D$2:D885,D885)</f>
        <v>1</v>
      </c>
      <c r="C885" t="str">
        <f>IF(COUNTIF($A:$A,A885)=1,
"Unique",
IF(COUNTIFS($A:$A,A885,$N:$N,N885,$AF:$AF,AF885,$AJ:$AJ,AJ885)&gt;1,
"Exact Duplicate",
"Conflicting Duplicate"))</f>
        <v>Unique</v>
      </c>
      <c r="D885" t="s">
        <v>4022</v>
      </c>
      <c r="E885" t="s">
        <v>4023</v>
      </c>
      <c r="F885" s="2">
        <v>45775</v>
      </c>
      <c r="G885" s="3">
        <v>45778</v>
      </c>
      <c r="H885" s="5" t="str">
        <f t="shared" si="234"/>
        <v>April</v>
      </c>
      <c r="I885" s="5">
        <f t="shared" si="235"/>
        <v>2025</v>
      </c>
      <c r="J885" t="str">
        <f>IF(F885="","Missing Date",
IF(ISNUMBER(F885),"Valid","Invalid Date"))</f>
        <v>Valid</v>
      </c>
      <c r="K885" t="str">
        <f t="shared" si="236"/>
        <v>Valid</v>
      </c>
      <c r="L885">
        <f>G885-F885</f>
        <v>3</v>
      </c>
      <c r="M885" t="s">
        <v>4024</v>
      </c>
      <c r="N885" t="s">
        <v>162</v>
      </c>
      <c r="O885" t="str">
        <f t="shared" si="237"/>
        <v>Aarav Sharma</v>
      </c>
      <c r="P885" t="s">
        <v>41</v>
      </c>
      <c r="Q885" t="str">
        <f t="shared" si="238"/>
        <v>Small Business</v>
      </c>
      <c r="R885" t="s">
        <v>73</v>
      </c>
      <c r="S885" t="str">
        <f t="shared" si="239"/>
        <v>West</v>
      </c>
      <c r="T885" t="s">
        <v>249</v>
      </c>
      <c r="U885" t="str">
        <f t="shared" si="240"/>
        <v>Goa</v>
      </c>
      <c r="V885" t="s">
        <v>250</v>
      </c>
      <c r="W885" t="str">
        <f t="shared" si="241"/>
        <v>Panaji</v>
      </c>
      <c r="X885" t="s">
        <v>30</v>
      </c>
      <c r="Y885" t="str">
        <f t="shared" si="242"/>
        <v>Office Supplies</v>
      </c>
      <c r="Z885" t="s">
        <v>156</v>
      </c>
      <c r="AA885" t="str">
        <f t="shared" si="243"/>
        <v>Storage</v>
      </c>
      <c r="AB885" t="s">
        <v>4025</v>
      </c>
      <c r="AC885" t="s">
        <v>48</v>
      </c>
      <c r="AD885" t="str">
        <f t="shared" si="244"/>
        <v>Same Day</v>
      </c>
      <c r="AE885">
        <v>1</v>
      </c>
      <c r="AF885">
        <v>1620.87</v>
      </c>
      <c r="AG885">
        <v>0</v>
      </c>
      <c r="AH885">
        <v>0</v>
      </c>
      <c r="AI885" t="str">
        <f t="shared" si="245"/>
        <v>Valid</v>
      </c>
      <c r="AJ885">
        <v>1620.87</v>
      </c>
      <c r="AK885">
        <f t="shared" si="246"/>
        <v>1620.87</v>
      </c>
      <c r="AL885">
        <v>1103.6099999999999</v>
      </c>
      <c r="AM885">
        <v>517.26</v>
      </c>
      <c r="AN885">
        <f t="shared" si="247"/>
        <v>517.26</v>
      </c>
      <c r="AO885">
        <f t="shared" si="248"/>
        <v>-1103.6099999999999</v>
      </c>
      <c r="AP885" t="s">
        <v>34</v>
      </c>
      <c r="AQ885" t="str">
        <f t="shared" si="249"/>
        <v>Paid</v>
      </c>
      <c r="AR885" t="s">
        <v>35</v>
      </c>
      <c r="AS885" t="str">
        <f t="shared" si="250"/>
        <v>Completed</v>
      </c>
      <c r="AT885" t="str">
        <f t="shared" si="251"/>
        <v>Clean</v>
      </c>
    </row>
    <row r="886" spans="1:46">
      <c r="A886" t="s">
        <v>4026</v>
      </c>
      <c r="B886">
        <f>COUNTIF($D$2:D886,D886)</f>
        <v>1</v>
      </c>
      <c r="C886" t="str">
        <f>IF(COUNTIF($A:$A,A886)=1,
"Unique",
IF(COUNTIFS($A:$A,A886,$N:$N,N886,$AF:$AF,AF886,$AJ:$AJ,AJ886)&gt;1,
"Exact Duplicate",
"Conflicting Duplicate"))</f>
        <v>Unique</v>
      </c>
      <c r="D886" t="s">
        <v>4027</v>
      </c>
      <c r="E886" t="s">
        <v>4028</v>
      </c>
      <c r="F886" s="3">
        <v>45675</v>
      </c>
      <c r="G886" s="3">
        <v>45682</v>
      </c>
      <c r="H886" s="5" t="str">
        <f t="shared" si="234"/>
        <v>January</v>
      </c>
      <c r="I886" s="5">
        <f t="shared" si="235"/>
        <v>2025</v>
      </c>
      <c r="J886" t="str">
        <f>IF(F886="","Missing Date",
IF(ISNUMBER(F886),"Valid","Invalid Date"))</f>
        <v>Valid</v>
      </c>
      <c r="K886" t="str">
        <f t="shared" si="236"/>
        <v>Valid</v>
      </c>
      <c r="L886">
        <f>G886-F886</f>
        <v>7</v>
      </c>
      <c r="M886" t="s">
        <v>4029</v>
      </c>
      <c r="N886" t="s">
        <v>93</v>
      </c>
      <c r="O886" t="str">
        <f t="shared" si="237"/>
        <v>Neha Gupta</v>
      </c>
      <c r="P886" t="s">
        <v>115</v>
      </c>
      <c r="Q886" t="str">
        <f t="shared" si="238"/>
        <v>Home Office</v>
      </c>
      <c r="R886" t="s">
        <v>62</v>
      </c>
      <c r="S886" t="str">
        <f t="shared" si="239"/>
        <v>South</v>
      </c>
      <c r="T886" t="s">
        <v>229</v>
      </c>
      <c r="U886" t="str">
        <f t="shared" si="240"/>
        <v>Karnataka</v>
      </c>
      <c r="V886" t="s">
        <v>230</v>
      </c>
      <c r="W886" t="str">
        <f t="shared" si="241"/>
        <v>Bengaluru</v>
      </c>
      <c r="X886" t="s">
        <v>30</v>
      </c>
      <c r="Y886" t="str">
        <f t="shared" si="242"/>
        <v>Office Supplies</v>
      </c>
      <c r="Z886" t="s">
        <v>156</v>
      </c>
      <c r="AA886" t="str">
        <f t="shared" si="243"/>
        <v>Storage</v>
      </c>
      <c r="AB886" t="s">
        <v>4030</v>
      </c>
      <c r="AC886" t="s">
        <v>48</v>
      </c>
      <c r="AD886" t="str">
        <f t="shared" si="244"/>
        <v>Same Day</v>
      </c>
      <c r="AE886">
        <v>2</v>
      </c>
      <c r="AF886">
        <v>2098.54</v>
      </c>
      <c r="AG886">
        <v>0.15</v>
      </c>
      <c r="AH886">
        <v>0.15</v>
      </c>
      <c r="AI886" t="str">
        <f t="shared" si="245"/>
        <v>Valid</v>
      </c>
      <c r="AJ886">
        <v>3567.52</v>
      </c>
      <c r="AK886">
        <f t="shared" si="246"/>
        <v>3567.518</v>
      </c>
      <c r="AL886">
        <v>2411.8000000000002</v>
      </c>
      <c r="AM886">
        <v>1155.72</v>
      </c>
      <c r="AN886">
        <f t="shared" si="247"/>
        <v>1155.7179999999998</v>
      </c>
      <c r="AO886">
        <f t="shared" si="248"/>
        <v>-2411.8000000000002</v>
      </c>
      <c r="AP886" t="s">
        <v>34</v>
      </c>
      <c r="AQ886" t="str">
        <f t="shared" si="249"/>
        <v>Paid</v>
      </c>
      <c r="AR886" t="s">
        <v>35</v>
      </c>
      <c r="AS886" t="str">
        <f t="shared" si="250"/>
        <v>Completed</v>
      </c>
      <c r="AT886" t="str">
        <f t="shared" si="251"/>
        <v>Clean</v>
      </c>
    </row>
    <row r="887" spans="1:46">
      <c r="A887" t="s">
        <v>4031</v>
      </c>
      <c r="B887">
        <f>COUNTIF($D$2:D887,D887)</f>
        <v>1</v>
      </c>
      <c r="C887" t="str">
        <f>IF(COUNTIF($A:$A,A887)=1,
"Unique",
IF(COUNTIFS($A:$A,A887,$N:$N,N887,$AF:$AF,AF887,$AJ:$AJ,AJ887)&gt;1,
"Exact Duplicate",
"Conflicting Duplicate"))</f>
        <v>Unique</v>
      </c>
      <c r="D887" t="s">
        <v>4032</v>
      </c>
      <c r="E887" t="s">
        <v>4032</v>
      </c>
      <c r="F887" s="3">
        <v>45413</v>
      </c>
      <c r="G887" s="3">
        <v>45413</v>
      </c>
      <c r="H887" s="5" t="str">
        <f t="shared" si="234"/>
        <v>May</v>
      </c>
      <c r="I887" s="5">
        <f t="shared" si="235"/>
        <v>2024</v>
      </c>
      <c r="J887" t="str">
        <f>IF(F887="","Missing Date",
IF(ISNUMBER(F887),"Valid","Invalid Date"))</f>
        <v>Valid</v>
      </c>
      <c r="K887" t="str">
        <f t="shared" si="236"/>
        <v>Valid</v>
      </c>
      <c r="L887">
        <f>G887-F887</f>
        <v>0</v>
      </c>
      <c r="M887" t="s">
        <v>4033</v>
      </c>
      <c r="N887" t="s">
        <v>210</v>
      </c>
      <c r="O887" t="str">
        <f t="shared" si="237"/>
        <v>Diya Patel</v>
      </c>
      <c r="P887" t="s">
        <v>26</v>
      </c>
      <c r="Q887" t="str">
        <f t="shared" si="238"/>
        <v>Consumer</v>
      </c>
      <c r="R887" t="s">
        <v>27</v>
      </c>
      <c r="S887" t="str">
        <f t="shared" si="239"/>
        <v>North</v>
      </c>
      <c r="T887" t="s">
        <v>28</v>
      </c>
      <c r="U887" t="str">
        <f t="shared" si="240"/>
        <v>Rajasthan</v>
      </c>
      <c r="V887" t="s">
        <v>29</v>
      </c>
      <c r="W887" t="str">
        <f t="shared" si="241"/>
        <v>Jaipur</v>
      </c>
      <c r="X887" t="s">
        <v>45</v>
      </c>
      <c r="Y887" t="str">
        <f t="shared" si="242"/>
        <v>Furniture</v>
      </c>
      <c r="Z887" t="s">
        <v>46</v>
      </c>
      <c r="AA887" t="str">
        <f t="shared" si="243"/>
        <v>Tables</v>
      </c>
      <c r="AB887" t="s">
        <v>4034</v>
      </c>
      <c r="AC887" t="s">
        <v>67</v>
      </c>
      <c r="AD887" t="str">
        <f t="shared" si="244"/>
        <v>Standard Class</v>
      </c>
      <c r="AE887">
        <v>1</v>
      </c>
      <c r="AF887">
        <v>2167.08</v>
      </c>
      <c r="AG887">
        <v>0.25</v>
      </c>
      <c r="AH887">
        <v>0.25</v>
      </c>
      <c r="AI887" t="str">
        <f t="shared" si="245"/>
        <v>Valid</v>
      </c>
      <c r="AJ887">
        <v>1625.31</v>
      </c>
      <c r="AK887">
        <f t="shared" si="246"/>
        <v>1625.31</v>
      </c>
      <c r="AL887">
        <v>1157.8900000000001</v>
      </c>
      <c r="AM887">
        <v>467.42</v>
      </c>
      <c r="AN887">
        <f t="shared" si="247"/>
        <v>467.41999999999985</v>
      </c>
      <c r="AO887">
        <f t="shared" si="248"/>
        <v>-1157.8900000000001</v>
      </c>
      <c r="AP887" t="s">
        <v>34</v>
      </c>
      <c r="AQ887" t="str">
        <f t="shared" si="249"/>
        <v>Paid</v>
      </c>
      <c r="AR887" t="s">
        <v>35</v>
      </c>
      <c r="AS887" t="str">
        <f t="shared" si="250"/>
        <v>Completed</v>
      </c>
      <c r="AT887" t="str">
        <f t="shared" si="251"/>
        <v>Clean</v>
      </c>
    </row>
    <row r="888" spans="1:46">
      <c r="A888" t="s">
        <v>4035</v>
      </c>
      <c r="B888">
        <f>COUNTIF($D$2:D888,D888)</f>
        <v>1</v>
      </c>
      <c r="C888" t="str">
        <f>IF(COUNTIF($A:$A,A888)=1,
"Unique",
IF(COUNTIFS($A:$A,A888,$N:$N,N888,$AF:$AF,AF888,$AJ:$AJ,AJ888)&gt;1,
"Exact Duplicate",
"Conflicting Duplicate"))</f>
        <v>Unique</v>
      </c>
      <c r="D888" t="s">
        <v>4036</v>
      </c>
      <c r="E888" t="s">
        <v>4037</v>
      </c>
      <c r="F888" s="3">
        <v>45773</v>
      </c>
      <c r="G888" s="3">
        <v>45721</v>
      </c>
      <c r="H888" s="5" t="str">
        <f t="shared" si="234"/>
        <v>April</v>
      </c>
      <c r="I888" s="5">
        <f t="shared" si="235"/>
        <v>2025</v>
      </c>
      <c r="J888" t="str">
        <f>IF(F888="","Missing Date",
IF(ISNUMBER(F888),"Valid","Invalid Date"))</f>
        <v>Valid</v>
      </c>
      <c r="K888" t="str">
        <f t="shared" si="236"/>
        <v>Valid</v>
      </c>
      <c r="L888">
        <f>G888-F888</f>
        <v>-52</v>
      </c>
      <c r="M888" t="s">
        <v>4038</v>
      </c>
      <c r="N888" t="s">
        <v>61</v>
      </c>
      <c r="O888" t="str">
        <f t="shared" si="237"/>
        <v>Arjun Bose</v>
      </c>
      <c r="P888" t="s">
        <v>115</v>
      </c>
      <c r="Q888" t="str">
        <f t="shared" si="238"/>
        <v>Home Office</v>
      </c>
      <c r="R888" t="s">
        <v>62</v>
      </c>
      <c r="S888" t="str">
        <f t="shared" si="239"/>
        <v>South</v>
      </c>
      <c r="T888" t="s">
        <v>339</v>
      </c>
      <c r="U888" t="str">
        <f t="shared" si="240"/>
        <v>Tamil Nadu</v>
      </c>
      <c r="V888" t="s">
        <v>340</v>
      </c>
      <c r="W888" t="str">
        <f t="shared" si="241"/>
        <v>Chennai</v>
      </c>
      <c r="X888" t="s">
        <v>86</v>
      </c>
      <c r="Y888" t="str">
        <f t="shared" si="242"/>
        <v>Technology</v>
      </c>
      <c r="Z888" t="s">
        <v>87</v>
      </c>
      <c r="AA888" t="str">
        <f t="shared" si="243"/>
        <v>Accessories</v>
      </c>
      <c r="AB888" t="s">
        <v>4039</v>
      </c>
      <c r="AC888" t="s">
        <v>56</v>
      </c>
      <c r="AD888" t="str">
        <f t="shared" si="244"/>
        <v>First Class</v>
      </c>
      <c r="AE888">
        <v>7</v>
      </c>
      <c r="AF888">
        <v>3989.9</v>
      </c>
      <c r="AG888">
        <v>0.15</v>
      </c>
      <c r="AH888">
        <v>0.15</v>
      </c>
      <c r="AI888" t="str">
        <f t="shared" si="245"/>
        <v>Valid</v>
      </c>
      <c r="AJ888">
        <v>23739.9</v>
      </c>
      <c r="AK888">
        <f t="shared" si="246"/>
        <v>23739.904999999999</v>
      </c>
      <c r="AL888">
        <v>17716.52</v>
      </c>
      <c r="AM888">
        <v>6023.38</v>
      </c>
      <c r="AN888">
        <f t="shared" si="247"/>
        <v>6023.3849999999984</v>
      </c>
      <c r="AO888">
        <f t="shared" si="248"/>
        <v>-17716.52</v>
      </c>
      <c r="AP888" t="s">
        <v>34</v>
      </c>
      <c r="AQ888" t="str">
        <f t="shared" si="249"/>
        <v>Paid</v>
      </c>
      <c r="AR888" t="s">
        <v>78</v>
      </c>
      <c r="AS888" t="str">
        <f t="shared" si="250"/>
        <v>Cancelled</v>
      </c>
      <c r="AT888" t="str">
        <f t="shared" si="251"/>
        <v>Clean</v>
      </c>
    </row>
    <row r="889" spans="1:46">
      <c r="A889" t="s">
        <v>4040</v>
      </c>
      <c r="B889">
        <f>COUNTIF($D$2:D889,D889)</f>
        <v>3</v>
      </c>
      <c r="C889" t="str">
        <f>IF(COUNTIF($A:$A,A889)=1,
"Unique",
IF(COUNTIFS($A:$A,A889,$N:$N,N889,$AF:$AF,AF889,$AJ:$AJ,AJ889)&gt;1,
"Exact Duplicate",
"Conflicting Duplicate"))</f>
        <v>Unique</v>
      </c>
      <c r="D889" t="s">
        <v>3918</v>
      </c>
      <c r="E889" t="s">
        <v>684</v>
      </c>
      <c r="F889" s="3">
        <v>45632</v>
      </c>
      <c r="G889" s="3">
        <v>45461</v>
      </c>
      <c r="H889" s="5" t="str">
        <f t="shared" si="234"/>
        <v>December</v>
      </c>
      <c r="I889" s="5">
        <f t="shared" si="235"/>
        <v>2024</v>
      </c>
      <c r="J889" t="str">
        <f>IF(F889="","Missing Date",
IF(ISNUMBER(F889),"Valid","Invalid Date"))</f>
        <v>Valid</v>
      </c>
      <c r="K889" t="str">
        <f t="shared" si="236"/>
        <v>Valid</v>
      </c>
      <c r="L889">
        <f>G889-F889</f>
        <v>-171</v>
      </c>
      <c r="M889" t="s">
        <v>4041</v>
      </c>
      <c r="N889" t="s">
        <v>162</v>
      </c>
      <c r="O889" t="str">
        <f t="shared" si="237"/>
        <v>Aarav Sharma</v>
      </c>
      <c r="P889" t="s">
        <v>41</v>
      </c>
      <c r="Q889" t="str">
        <f t="shared" si="238"/>
        <v>Small Business</v>
      </c>
      <c r="R889" t="s">
        <v>62</v>
      </c>
      <c r="S889" t="str">
        <f t="shared" si="239"/>
        <v>South</v>
      </c>
      <c r="T889" t="s">
        <v>100</v>
      </c>
      <c r="U889" t="str">
        <f t="shared" si="240"/>
        <v>Andhra Pradesh</v>
      </c>
      <c r="V889" t="s">
        <v>101</v>
      </c>
      <c r="W889" t="str">
        <f t="shared" si="241"/>
        <v>Vijayawada</v>
      </c>
      <c r="X889" t="s">
        <v>30</v>
      </c>
      <c r="Y889" t="str">
        <f t="shared" si="242"/>
        <v>Office Supplies</v>
      </c>
      <c r="Z889" t="s">
        <v>54</v>
      </c>
      <c r="AA889" t="str">
        <f t="shared" si="243"/>
        <v>Art</v>
      </c>
      <c r="AB889" t="s">
        <v>4042</v>
      </c>
      <c r="AC889" t="s">
        <v>67</v>
      </c>
      <c r="AD889" t="str">
        <f t="shared" si="244"/>
        <v>Standard Class</v>
      </c>
      <c r="AE889">
        <v>4</v>
      </c>
      <c r="AF889">
        <v>4176.13</v>
      </c>
      <c r="AG889">
        <v>0</v>
      </c>
      <c r="AH889">
        <v>0</v>
      </c>
      <c r="AI889" t="str">
        <f t="shared" si="245"/>
        <v>Valid</v>
      </c>
      <c r="AJ889">
        <v>16704.52</v>
      </c>
      <c r="AK889">
        <f t="shared" si="246"/>
        <v>16704.52</v>
      </c>
      <c r="AL889">
        <v>10158.280000000001</v>
      </c>
      <c r="AM889">
        <v>6546.24</v>
      </c>
      <c r="AN889">
        <f t="shared" si="247"/>
        <v>6546.24</v>
      </c>
      <c r="AO889">
        <f t="shared" si="248"/>
        <v>-10158.280000000001</v>
      </c>
      <c r="AP889" t="s">
        <v>34</v>
      </c>
      <c r="AQ889" t="str">
        <f t="shared" si="249"/>
        <v>Paid</v>
      </c>
      <c r="AR889" t="s">
        <v>35</v>
      </c>
      <c r="AS889" t="str">
        <f t="shared" si="250"/>
        <v>Completed</v>
      </c>
      <c r="AT889" t="str">
        <f t="shared" si="251"/>
        <v>Clean</v>
      </c>
    </row>
    <row r="890" spans="1:46">
      <c r="A890" t="s">
        <v>4043</v>
      </c>
      <c r="B890">
        <f>COUNTIF($D$2:D890,D890)</f>
        <v>4</v>
      </c>
      <c r="C890" t="str">
        <f>IF(COUNTIF($A:$A,A890)=1,
"Unique",
IF(COUNTIFS($A:$A,A890,$N:$N,N890,$AF:$AF,AF890,$AJ:$AJ,AJ890)&gt;1,
"Exact Duplicate",
"Conflicting Duplicate"))</f>
        <v>Unique</v>
      </c>
      <c r="D890" t="s">
        <v>4044</v>
      </c>
      <c r="E890" t="s">
        <v>3578</v>
      </c>
      <c r="F890" s="3">
        <v>45816</v>
      </c>
      <c r="G890" s="3">
        <v>45846</v>
      </c>
      <c r="H890" s="5" t="str">
        <f t="shared" si="234"/>
        <v>June</v>
      </c>
      <c r="I890" s="5">
        <f t="shared" si="235"/>
        <v>2025</v>
      </c>
      <c r="J890" t="str">
        <f>IF(F890="","Missing Date",
IF(ISNUMBER(F890),"Valid","Invalid Date"))</f>
        <v>Valid</v>
      </c>
      <c r="K890" t="str">
        <f t="shared" si="236"/>
        <v>Valid</v>
      </c>
      <c r="L890">
        <f>G890-F890</f>
        <v>30</v>
      </c>
      <c r="M890" t="s">
        <v>4045</v>
      </c>
      <c r="N890" t="s">
        <v>148</v>
      </c>
      <c r="O890" t="str">
        <f t="shared" si="237"/>
        <v>Rahul Verma</v>
      </c>
      <c r="P890" t="s">
        <v>41</v>
      </c>
      <c r="Q890" t="str">
        <f t="shared" si="238"/>
        <v>Small Business</v>
      </c>
      <c r="R890" t="s">
        <v>73</v>
      </c>
      <c r="S890" t="str">
        <f t="shared" si="239"/>
        <v>West</v>
      </c>
      <c r="T890" t="s">
        <v>74</v>
      </c>
      <c r="U890" t="str">
        <f t="shared" si="240"/>
        <v>Maharashtra</v>
      </c>
      <c r="V890" t="s">
        <v>75</v>
      </c>
      <c r="W890" t="str">
        <f t="shared" si="241"/>
        <v>Mumbai</v>
      </c>
      <c r="X890" t="s">
        <v>30</v>
      </c>
      <c r="Y890" t="str">
        <f t="shared" si="242"/>
        <v>Office Supplies</v>
      </c>
      <c r="Z890" t="s">
        <v>54</v>
      </c>
      <c r="AA890" t="str">
        <f t="shared" si="243"/>
        <v>Art</v>
      </c>
      <c r="AB890" t="s">
        <v>4046</v>
      </c>
      <c r="AC890" t="s">
        <v>67</v>
      </c>
      <c r="AD890" t="str">
        <f t="shared" si="244"/>
        <v>Standard Class</v>
      </c>
      <c r="AE890">
        <v>4</v>
      </c>
      <c r="AF890">
        <v>3523.64</v>
      </c>
      <c r="AG890">
        <v>0.1</v>
      </c>
      <c r="AH890">
        <v>0.1</v>
      </c>
      <c r="AI890" t="str">
        <f t="shared" si="245"/>
        <v>Valid</v>
      </c>
      <c r="AJ890">
        <v>12685.1</v>
      </c>
      <c r="AK890">
        <f t="shared" si="246"/>
        <v>12685.103999999999</v>
      </c>
      <c r="AL890">
        <v>10779.56</v>
      </c>
      <c r="AM890">
        <v>1905.54</v>
      </c>
      <c r="AN890">
        <f t="shared" si="247"/>
        <v>1905.5439999999999</v>
      </c>
      <c r="AO890">
        <f t="shared" si="248"/>
        <v>-10779.56</v>
      </c>
      <c r="AP890" t="s">
        <v>124</v>
      </c>
      <c r="AQ890" t="str">
        <f t="shared" si="249"/>
        <v>Refunded</v>
      </c>
      <c r="AR890" t="s">
        <v>78</v>
      </c>
      <c r="AS890" t="str">
        <f t="shared" si="250"/>
        <v>Cancelled</v>
      </c>
      <c r="AT890" t="str">
        <f t="shared" si="251"/>
        <v>Clean</v>
      </c>
    </row>
    <row r="891" spans="1:46">
      <c r="A891" t="s">
        <v>4047</v>
      </c>
      <c r="B891">
        <f>COUNTIF($D$2:D891,D891)</f>
        <v>2</v>
      </c>
      <c r="C891" t="str">
        <f>IF(COUNTIF($A:$A,A891)=1,
"Unique",
IF(COUNTIFS($A:$A,A891,$N:$N,N891,$AF:$AF,AF891,$AJ:$AJ,AJ891)&gt;1,
"Exact Duplicate",
"Conflicting Duplicate"))</f>
        <v>Unique</v>
      </c>
      <c r="D891" t="s">
        <v>4048</v>
      </c>
      <c r="E891" t="s">
        <v>4049</v>
      </c>
      <c r="F891" s="2">
        <v>45933</v>
      </c>
      <c r="G891" s="3">
        <v>45727</v>
      </c>
      <c r="H891" s="5" t="str">
        <f t="shared" si="234"/>
        <v>October</v>
      </c>
      <c r="I891" s="5">
        <f t="shared" si="235"/>
        <v>2025</v>
      </c>
      <c r="J891" t="str">
        <f>IF(F891="","Missing Date",
IF(ISNUMBER(F891),"Valid","Invalid Date"))</f>
        <v>Valid</v>
      </c>
      <c r="K891" t="str">
        <f t="shared" si="236"/>
        <v>Valid</v>
      </c>
      <c r="L891">
        <f>G891-F891</f>
        <v>-206</v>
      </c>
      <c r="M891" t="s">
        <v>1349</v>
      </c>
      <c r="N891" t="s">
        <v>107</v>
      </c>
      <c r="O891" t="str">
        <f t="shared" si="237"/>
        <v>Aditi Sen</v>
      </c>
      <c r="P891" t="s">
        <v>115</v>
      </c>
      <c r="Q891" t="str">
        <f t="shared" si="238"/>
        <v>Home Office</v>
      </c>
      <c r="R891" t="s">
        <v>73</v>
      </c>
      <c r="S891" t="str">
        <f t="shared" si="239"/>
        <v>West</v>
      </c>
      <c r="T891" t="s">
        <v>84</v>
      </c>
      <c r="U891" t="str">
        <f t="shared" si="240"/>
        <v>Madhya Pradesh</v>
      </c>
      <c r="V891" t="s">
        <v>85</v>
      </c>
      <c r="W891" t="str">
        <f t="shared" si="241"/>
        <v>Indore</v>
      </c>
      <c r="X891" t="s">
        <v>30</v>
      </c>
      <c r="Y891" t="str">
        <f t="shared" si="242"/>
        <v>Office Supplies</v>
      </c>
      <c r="Z891" t="s">
        <v>156</v>
      </c>
      <c r="AA891" t="str">
        <f t="shared" si="243"/>
        <v>Storage</v>
      </c>
      <c r="AB891" t="s">
        <v>4050</v>
      </c>
      <c r="AC891" t="s">
        <v>56</v>
      </c>
      <c r="AD891" t="str">
        <f t="shared" si="244"/>
        <v>First Class</v>
      </c>
      <c r="AE891">
        <v>2</v>
      </c>
      <c r="AF891">
        <v>3922.08</v>
      </c>
      <c r="AG891">
        <v>0.25</v>
      </c>
      <c r="AH891">
        <v>0.25</v>
      </c>
      <c r="AI891" t="str">
        <f t="shared" si="245"/>
        <v>Valid</v>
      </c>
      <c r="AJ891">
        <v>5883.12</v>
      </c>
      <c r="AK891">
        <f t="shared" si="246"/>
        <v>5883.12</v>
      </c>
      <c r="AL891">
        <v>4647.91</v>
      </c>
      <c r="AM891">
        <v>1235.21</v>
      </c>
      <c r="AN891">
        <f t="shared" si="247"/>
        <v>1235.21</v>
      </c>
      <c r="AO891">
        <f t="shared" si="248"/>
        <v>-4647.91</v>
      </c>
      <c r="AP891" t="s">
        <v>34</v>
      </c>
      <c r="AQ891" t="str">
        <f t="shared" si="249"/>
        <v>Paid</v>
      </c>
      <c r="AR891" t="s">
        <v>125</v>
      </c>
      <c r="AS891" t="str">
        <f t="shared" si="250"/>
        <v>Returned</v>
      </c>
      <c r="AT891" t="str">
        <f t="shared" si="251"/>
        <v>Clean</v>
      </c>
    </row>
    <row r="892" spans="1:46">
      <c r="A892" t="s">
        <v>4051</v>
      </c>
      <c r="B892">
        <f>COUNTIF($D$2:D892,D892)</f>
        <v>2</v>
      </c>
      <c r="C892" t="str">
        <f>IF(COUNTIF($A:$A,A892)=1,
"Unique",
IF(COUNTIFS($A:$A,A892,$N:$N,N892,$AF:$AF,AF892,$AJ:$AJ,AJ892)&gt;1,
"Exact Duplicate",
"Conflicting Duplicate"))</f>
        <v>Unique</v>
      </c>
      <c r="D892" t="s">
        <v>160</v>
      </c>
      <c r="E892" t="s">
        <v>1140</v>
      </c>
      <c r="F892" s="3">
        <v>45427</v>
      </c>
      <c r="G892" s="3">
        <v>45433</v>
      </c>
      <c r="H892" s="5" t="str">
        <f t="shared" si="234"/>
        <v>May</v>
      </c>
      <c r="I892" s="5">
        <f t="shared" si="235"/>
        <v>2024</v>
      </c>
      <c r="J892" t="str">
        <f>IF(F892="","Missing Date",
IF(ISNUMBER(F892),"Valid","Invalid Date"))</f>
        <v>Valid</v>
      </c>
      <c r="K892" t="str">
        <f t="shared" si="236"/>
        <v>Valid</v>
      </c>
      <c r="L892">
        <f>G892-F892</f>
        <v>6</v>
      </c>
      <c r="M892" t="s">
        <v>4052</v>
      </c>
      <c r="N892" t="s">
        <v>25</v>
      </c>
      <c r="O892" t="str">
        <f t="shared" si="237"/>
        <v>Karan Malhotra</v>
      </c>
      <c r="P892" t="s">
        <v>26</v>
      </c>
      <c r="Q892" t="str">
        <f t="shared" si="238"/>
        <v>Consumer</v>
      </c>
      <c r="R892" t="s">
        <v>73</v>
      </c>
      <c r="S892" t="str">
        <f t="shared" si="239"/>
        <v>West</v>
      </c>
      <c r="T892" t="s">
        <v>249</v>
      </c>
      <c r="U892" t="str">
        <f t="shared" si="240"/>
        <v>Goa</v>
      </c>
      <c r="V892" t="s">
        <v>250</v>
      </c>
      <c r="W892" t="str">
        <f t="shared" si="241"/>
        <v>Panaji</v>
      </c>
      <c r="X892" t="s">
        <v>30</v>
      </c>
      <c r="Y892" t="str">
        <f t="shared" si="242"/>
        <v>Office Supplies</v>
      </c>
      <c r="Z892" t="s">
        <v>156</v>
      </c>
      <c r="AA892" t="str">
        <f t="shared" si="243"/>
        <v>Storage</v>
      </c>
      <c r="AB892" t="s">
        <v>4053</v>
      </c>
      <c r="AC892" t="s">
        <v>67</v>
      </c>
      <c r="AD892" t="str">
        <f t="shared" si="244"/>
        <v>Standard Class</v>
      </c>
      <c r="AE892">
        <v>6</v>
      </c>
      <c r="AF892">
        <v>2909.56</v>
      </c>
      <c r="AG892">
        <v>0.2</v>
      </c>
      <c r="AH892">
        <v>0.2</v>
      </c>
      <c r="AI892" t="str">
        <f t="shared" si="245"/>
        <v>Valid</v>
      </c>
      <c r="AJ892">
        <v>13965.89</v>
      </c>
      <c r="AK892">
        <f t="shared" si="246"/>
        <v>13965.888000000001</v>
      </c>
      <c r="AL892">
        <v>11646.12</v>
      </c>
      <c r="AM892">
        <v>2319.77</v>
      </c>
      <c r="AN892">
        <f t="shared" si="247"/>
        <v>2319.768</v>
      </c>
      <c r="AO892">
        <f t="shared" si="248"/>
        <v>-11646.12</v>
      </c>
      <c r="AP892" t="s">
        <v>34</v>
      </c>
      <c r="AQ892" t="str">
        <f t="shared" si="249"/>
        <v>Paid</v>
      </c>
      <c r="AR892" t="s">
        <v>35</v>
      </c>
      <c r="AS892" t="str">
        <f t="shared" si="250"/>
        <v>Completed</v>
      </c>
      <c r="AT892" t="str">
        <f t="shared" si="251"/>
        <v>Clean</v>
      </c>
    </row>
    <row r="893" spans="1:46">
      <c r="A893" t="s">
        <v>4054</v>
      </c>
      <c r="B893">
        <f>COUNTIF($D$2:D893,D893)</f>
        <v>1</v>
      </c>
      <c r="C893" t="str">
        <f>IF(COUNTIF($A:$A,A893)=1,
"Unique",
IF(COUNTIFS($A:$A,A893,$N:$N,N893,$AF:$AF,AF893,$AJ:$AJ,AJ893)&gt;1,
"Exact Duplicate",
"Conflicting Duplicate"))</f>
        <v>Unique</v>
      </c>
      <c r="D893" t="s">
        <v>3777</v>
      </c>
      <c r="E893" t="s">
        <v>2558</v>
      </c>
      <c r="F893" s="2">
        <v>45514</v>
      </c>
      <c r="G893" s="3">
        <v>45545</v>
      </c>
      <c r="H893" s="5" t="str">
        <f t="shared" si="234"/>
        <v>August</v>
      </c>
      <c r="I893" s="5">
        <f t="shared" si="235"/>
        <v>2024</v>
      </c>
      <c r="J893" t="str">
        <f>IF(F893="","Missing Date",
IF(ISNUMBER(F893),"Valid","Invalid Date"))</f>
        <v>Valid</v>
      </c>
      <c r="K893" t="str">
        <f t="shared" si="236"/>
        <v>Valid</v>
      </c>
      <c r="L893">
        <f>G893-F893</f>
        <v>31</v>
      </c>
      <c r="M893" t="s">
        <v>4055</v>
      </c>
      <c r="N893" t="s">
        <v>366</v>
      </c>
      <c r="O893" t="str">
        <f t="shared" si="237"/>
        <v>Kabir Singh</v>
      </c>
      <c r="P893" t="s">
        <v>108</v>
      </c>
      <c r="Q893" t="str">
        <f t="shared" si="238"/>
        <v>Corporate</v>
      </c>
      <c r="R893" t="s">
        <v>62</v>
      </c>
      <c r="S893" t="str">
        <f t="shared" si="239"/>
        <v>South</v>
      </c>
      <c r="T893" t="s">
        <v>339</v>
      </c>
      <c r="U893" t="str">
        <f t="shared" si="240"/>
        <v>Tamil Nadu</v>
      </c>
      <c r="V893" t="s">
        <v>340</v>
      </c>
      <c r="W893" t="str">
        <f t="shared" si="241"/>
        <v>Chennai</v>
      </c>
      <c r="X893" t="s">
        <v>86</v>
      </c>
      <c r="Y893" t="str">
        <f t="shared" si="242"/>
        <v>Technology</v>
      </c>
      <c r="Z893" t="s">
        <v>382</v>
      </c>
      <c r="AA893" t="str">
        <f t="shared" si="243"/>
        <v>Machines</v>
      </c>
      <c r="AB893" t="s">
        <v>4056</v>
      </c>
      <c r="AC893" t="s">
        <v>48</v>
      </c>
      <c r="AD893" t="str">
        <f t="shared" si="244"/>
        <v>Same Day</v>
      </c>
      <c r="AE893">
        <v>5</v>
      </c>
      <c r="AF893">
        <v>2407.9699999999998</v>
      </c>
      <c r="AG893">
        <v>0.1</v>
      </c>
      <c r="AH893">
        <v>0.1</v>
      </c>
      <c r="AI893" t="str">
        <f t="shared" si="245"/>
        <v>Valid</v>
      </c>
      <c r="AJ893">
        <v>10835.86</v>
      </c>
      <c r="AK893">
        <f t="shared" si="246"/>
        <v>10835.865</v>
      </c>
      <c r="AL893">
        <v>6419.92</v>
      </c>
      <c r="AM893">
        <v>4415.9399999999996</v>
      </c>
      <c r="AN893">
        <f t="shared" si="247"/>
        <v>4415.9449999999997</v>
      </c>
      <c r="AO893">
        <f t="shared" si="248"/>
        <v>-6419.92</v>
      </c>
      <c r="AP893" t="s">
        <v>200</v>
      </c>
      <c r="AQ893" t="str">
        <f t="shared" si="249"/>
        <v>Failed</v>
      </c>
      <c r="AR893" t="s">
        <v>78</v>
      </c>
      <c r="AS893" t="str">
        <f t="shared" si="250"/>
        <v>Cancelled</v>
      </c>
      <c r="AT893" t="str">
        <f t="shared" si="251"/>
        <v>Clean</v>
      </c>
    </row>
    <row r="894" spans="1:46">
      <c r="A894" t="s">
        <v>4057</v>
      </c>
      <c r="B894">
        <f>COUNTIF($D$2:D894,D894)</f>
        <v>1</v>
      </c>
      <c r="C894" t="str">
        <f>IF(COUNTIF($A:$A,A894)=1,
"Unique",
IF(COUNTIFS($A:$A,A894,$N:$N,N894,$AF:$AF,AF894,$AJ:$AJ,AJ894)&gt;1,
"Exact Duplicate",
"Conflicting Duplicate"))</f>
        <v>Unique</v>
      </c>
      <c r="D894" t="s">
        <v>4058</v>
      </c>
      <c r="E894" t="s">
        <v>3000</v>
      </c>
      <c r="F894" s="3">
        <v>45759</v>
      </c>
      <c r="G894" s="3">
        <v>45765</v>
      </c>
      <c r="H894" s="5" t="str">
        <f t="shared" si="234"/>
        <v>April</v>
      </c>
      <c r="I894" s="5">
        <f t="shared" si="235"/>
        <v>2025</v>
      </c>
      <c r="J894" t="str">
        <f>IF(F894="","Missing Date",
IF(ISNUMBER(F894),"Valid","Invalid Date"))</f>
        <v>Valid</v>
      </c>
      <c r="K894" t="str">
        <f t="shared" si="236"/>
        <v>Valid</v>
      </c>
      <c r="L894">
        <f>G894-F894</f>
        <v>6</v>
      </c>
      <c r="M894" t="s">
        <v>4059</v>
      </c>
      <c r="N894" t="s">
        <v>53</v>
      </c>
      <c r="O894" t="str">
        <f t="shared" si="237"/>
        <v>Isha Nair</v>
      </c>
      <c r="P894" t="s">
        <v>41</v>
      </c>
      <c r="Q894" t="str">
        <f t="shared" si="238"/>
        <v>Small Business</v>
      </c>
      <c r="R894" t="s">
        <v>42</v>
      </c>
      <c r="S894" t="str">
        <f t="shared" si="239"/>
        <v>East</v>
      </c>
      <c r="T894" t="s">
        <v>311</v>
      </c>
      <c r="U894" t="str">
        <f t="shared" si="240"/>
        <v>Jharkhand</v>
      </c>
      <c r="V894" t="s">
        <v>312</v>
      </c>
      <c r="W894" t="str">
        <f t="shared" si="241"/>
        <v>Ranchi</v>
      </c>
      <c r="X894" t="s">
        <v>86</v>
      </c>
      <c r="Y894" t="str">
        <f t="shared" si="242"/>
        <v>Technology</v>
      </c>
      <c r="Z894" t="s">
        <v>94</v>
      </c>
      <c r="AA894" t="str">
        <f t="shared" si="243"/>
        <v>Copiers</v>
      </c>
      <c r="AB894" t="s">
        <v>4060</v>
      </c>
      <c r="AC894" t="s">
        <v>48</v>
      </c>
      <c r="AD894" t="str">
        <f t="shared" si="244"/>
        <v>Same Day</v>
      </c>
      <c r="AE894">
        <v>1</v>
      </c>
      <c r="AF894">
        <v>726.89</v>
      </c>
      <c r="AG894">
        <v>0.2</v>
      </c>
      <c r="AH894">
        <v>0.2</v>
      </c>
      <c r="AI894" t="str">
        <f t="shared" si="245"/>
        <v>Valid</v>
      </c>
      <c r="AJ894">
        <v>581.51</v>
      </c>
      <c r="AK894">
        <f t="shared" si="246"/>
        <v>581.51200000000006</v>
      </c>
      <c r="AL894">
        <v>423.86</v>
      </c>
      <c r="AM894">
        <v>157.65</v>
      </c>
      <c r="AN894">
        <f t="shared" si="247"/>
        <v>157.65200000000004</v>
      </c>
      <c r="AO894">
        <f t="shared" si="248"/>
        <v>-423.86</v>
      </c>
      <c r="AP894" t="s">
        <v>34</v>
      </c>
      <c r="AQ894" t="str">
        <f t="shared" si="249"/>
        <v>Paid</v>
      </c>
      <c r="AR894" t="s">
        <v>35</v>
      </c>
      <c r="AS894" t="str">
        <f t="shared" si="250"/>
        <v>Completed</v>
      </c>
      <c r="AT894" t="str">
        <f t="shared" si="251"/>
        <v>Clean</v>
      </c>
    </row>
    <row r="895" spans="1:46">
      <c r="A895" t="s">
        <v>4061</v>
      </c>
      <c r="B895">
        <f>COUNTIF($D$2:D895,D895)</f>
        <v>3</v>
      </c>
      <c r="C895" t="str">
        <f>IF(COUNTIF($A:$A,A895)=1,
"Unique",
IF(COUNTIFS($A:$A,A895,$N:$N,N895,$AF:$AF,AF895,$AJ:$AJ,AJ895)&gt;1,
"Exact Duplicate",
"Conflicting Duplicate"))</f>
        <v>Unique</v>
      </c>
      <c r="D895" t="s">
        <v>4062</v>
      </c>
      <c r="E895" t="s">
        <v>4063</v>
      </c>
      <c r="F895" s="2">
        <v>45449</v>
      </c>
      <c r="G895" s="2">
        <v>45510</v>
      </c>
      <c r="H895" s="5" t="str">
        <f t="shared" si="234"/>
        <v>June</v>
      </c>
      <c r="I895" s="5">
        <f t="shared" si="235"/>
        <v>2024</v>
      </c>
      <c r="J895" t="str">
        <f>IF(F895="","Missing Date",
IF(ISNUMBER(F895),"Valid","Invalid Date"))</f>
        <v>Valid</v>
      </c>
      <c r="K895" t="str">
        <f t="shared" si="236"/>
        <v>Valid</v>
      </c>
      <c r="L895">
        <f>G895-F895</f>
        <v>61</v>
      </c>
      <c r="M895" t="s">
        <v>4064</v>
      </c>
      <c r="N895" t="s">
        <v>162</v>
      </c>
      <c r="O895" t="str">
        <f t="shared" si="237"/>
        <v>Aarav Sharma</v>
      </c>
      <c r="P895" t="s">
        <v>108</v>
      </c>
      <c r="Q895" t="str">
        <f t="shared" si="238"/>
        <v>Corporate</v>
      </c>
      <c r="R895" t="s">
        <v>62</v>
      </c>
      <c r="S895" t="str">
        <f t="shared" si="239"/>
        <v>South</v>
      </c>
      <c r="T895" t="s">
        <v>229</v>
      </c>
      <c r="U895" t="str">
        <f t="shared" si="240"/>
        <v>Karnataka</v>
      </c>
      <c r="V895" t="s">
        <v>230</v>
      </c>
      <c r="W895" t="str">
        <f t="shared" si="241"/>
        <v>Bengaluru</v>
      </c>
      <c r="X895" t="s">
        <v>45</v>
      </c>
      <c r="Y895" t="str">
        <f t="shared" si="242"/>
        <v>Furniture</v>
      </c>
      <c r="Z895" t="s">
        <v>46</v>
      </c>
      <c r="AA895" t="str">
        <f t="shared" si="243"/>
        <v>Tables</v>
      </c>
      <c r="AB895" t="s">
        <v>4065</v>
      </c>
      <c r="AC895" t="s">
        <v>33</v>
      </c>
      <c r="AD895" t="str">
        <f t="shared" si="244"/>
        <v>Second Class</v>
      </c>
      <c r="AE895">
        <v>3</v>
      </c>
      <c r="AF895">
        <v>395.49</v>
      </c>
      <c r="AG895">
        <v>0.05</v>
      </c>
      <c r="AH895">
        <v>0.05</v>
      </c>
      <c r="AI895" t="str">
        <f t="shared" si="245"/>
        <v>Valid</v>
      </c>
      <c r="AJ895">
        <v>1127.1500000000001</v>
      </c>
      <c r="AK895">
        <f t="shared" si="246"/>
        <v>1127.1465000000001</v>
      </c>
      <c r="AL895">
        <v>845.62</v>
      </c>
      <c r="AM895">
        <v>281.52999999999997</v>
      </c>
      <c r="AN895">
        <f t="shared" si="247"/>
        <v>281.52650000000006</v>
      </c>
      <c r="AO895">
        <f t="shared" si="248"/>
        <v>-845.62</v>
      </c>
      <c r="AP895" t="s">
        <v>34</v>
      </c>
      <c r="AQ895" t="str">
        <f t="shared" si="249"/>
        <v>Paid</v>
      </c>
      <c r="AR895" t="s">
        <v>125</v>
      </c>
      <c r="AS895" t="str">
        <f t="shared" si="250"/>
        <v>Returned</v>
      </c>
      <c r="AT895" t="str">
        <f t="shared" si="251"/>
        <v>Clean</v>
      </c>
    </row>
    <row r="896" spans="1:46">
      <c r="A896" t="s">
        <v>4066</v>
      </c>
      <c r="B896">
        <f>COUNTIF($D$2:D896,D896)</f>
        <v>2</v>
      </c>
      <c r="C896" t="str">
        <f>IF(COUNTIF($A:$A,A896)=1,
"Unique",
IF(COUNTIFS($A:$A,A896,$N:$N,N896,$AF:$AF,AF896,$AJ:$AJ,AJ896)&gt;1,
"Exact Duplicate",
"Conflicting Duplicate"))</f>
        <v>Unique</v>
      </c>
      <c r="D896" t="s">
        <v>1945</v>
      </c>
      <c r="E896" t="s">
        <v>4067</v>
      </c>
      <c r="F896" s="2">
        <v>45344</v>
      </c>
      <c r="G896" s="3">
        <v>45351</v>
      </c>
      <c r="H896" s="5" t="str">
        <f t="shared" si="234"/>
        <v>February</v>
      </c>
      <c r="I896" s="5">
        <f t="shared" si="235"/>
        <v>2024</v>
      </c>
      <c r="J896" t="str">
        <f>IF(F896="","Missing Date",
IF(ISNUMBER(F896),"Valid","Invalid Date"))</f>
        <v>Valid</v>
      </c>
      <c r="K896" t="str">
        <f t="shared" si="236"/>
        <v>Valid</v>
      </c>
      <c r="L896">
        <f>G896-F896</f>
        <v>7</v>
      </c>
      <c r="M896" t="s">
        <v>4068</v>
      </c>
      <c r="N896" t="s">
        <v>53</v>
      </c>
      <c r="O896" t="str">
        <f t="shared" si="237"/>
        <v>Isha Nair</v>
      </c>
      <c r="P896" t="s">
        <v>115</v>
      </c>
      <c r="Q896" t="str">
        <f t="shared" si="238"/>
        <v>Home Office</v>
      </c>
      <c r="R896" t="s">
        <v>62</v>
      </c>
      <c r="S896" t="str">
        <f t="shared" si="239"/>
        <v>South</v>
      </c>
      <c r="T896" t="s">
        <v>63</v>
      </c>
      <c r="U896" t="str">
        <f t="shared" si="240"/>
        <v>Telangana</v>
      </c>
      <c r="V896" t="s">
        <v>64</v>
      </c>
      <c r="W896" t="str">
        <f t="shared" si="241"/>
        <v>Hyderabad</v>
      </c>
      <c r="X896" t="s">
        <v>45</v>
      </c>
      <c r="Y896" t="str">
        <f t="shared" si="242"/>
        <v>Furniture</v>
      </c>
      <c r="Z896" t="s">
        <v>46</v>
      </c>
      <c r="AA896" t="str">
        <f t="shared" si="243"/>
        <v>Tables</v>
      </c>
      <c r="AB896" t="s">
        <v>4069</v>
      </c>
      <c r="AC896" t="s">
        <v>56</v>
      </c>
      <c r="AD896" t="str">
        <f t="shared" si="244"/>
        <v>First Class</v>
      </c>
      <c r="AE896">
        <v>6</v>
      </c>
      <c r="AF896">
        <v>4254.05</v>
      </c>
      <c r="AG896">
        <v>0</v>
      </c>
      <c r="AH896">
        <v>0</v>
      </c>
      <c r="AI896" t="str">
        <f t="shared" si="245"/>
        <v>Valid</v>
      </c>
      <c r="AJ896">
        <v>25524.3</v>
      </c>
      <c r="AK896">
        <f t="shared" si="246"/>
        <v>25524.300000000003</v>
      </c>
      <c r="AL896">
        <v>16711.93</v>
      </c>
      <c r="AM896">
        <v>8812.3700000000008</v>
      </c>
      <c r="AN896">
        <f t="shared" si="247"/>
        <v>8812.3700000000026</v>
      </c>
      <c r="AO896">
        <f t="shared" si="248"/>
        <v>-16711.93</v>
      </c>
      <c r="AP896" t="s">
        <v>34</v>
      </c>
      <c r="AQ896" t="str">
        <f t="shared" si="249"/>
        <v>Paid</v>
      </c>
      <c r="AR896" t="s">
        <v>35</v>
      </c>
      <c r="AS896" t="str">
        <f t="shared" si="250"/>
        <v>Completed</v>
      </c>
      <c r="AT896" t="str">
        <f t="shared" si="251"/>
        <v>Clean</v>
      </c>
    </row>
    <row r="897" spans="1:46">
      <c r="A897" t="s">
        <v>4070</v>
      </c>
      <c r="B897">
        <f>COUNTIF($D$2:D897,D897)</f>
        <v>3</v>
      </c>
      <c r="C897" t="str">
        <f>IF(COUNTIF($A:$A,A897)=1,
"Unique",
IF(COUNTIFS($A:$A,A897,$N:$N,N897,$AF:$AF,AF897,$AJ:$AJ,AJ897)&gt;1,
"Exact Duplicate",
"Conflicting Duplicate"))</f>
        <v>Unique</v>
      </c>
      <c r="D897" t="s">
        <v>4071</v>
      </c>
      <c r="E897" t="s">
        <v>105</v>
      </c>
      <c r="F897" s="2">
        <v>45423</v>
      </c>
      <c r="G897" s="3">
        <v>45606</v>
      </c>
      <c r="H897" s="5" t="str">
        <f t="shared" si="234"/>
        <v>May</v>
      </c>
      <c r="I897" s="5">
        <f t="shared" si="235"/>
        <v>2024</v>
      </c>
      <c r="J897" t="str">
        <f>IF(F897="","Missing Date",
IF(ISNUMBER(F897),"Valid","Invalid Date"))</f>
        <v>Valid</v>
      </c>
      <c r="K897" t="str">
        <f t="shared" si="236"/>
        <v>Valid</v>
      </c>
      <c r="L897">
        <f>G897-F897</f>
        <v>183</v>
      </c>
      <c r="M897" t="s">
        <v>4072</v>
      </c>
      <c r="N897" t="s">
        <v>61</v>
      </c>
      <c r="O897" t="str">
        <f t="shared" si="237"/>
        <v>Arjun Bose</v>
      </c>
      <c r="P897" t="s">
        <v>26</v>
      </c>
      <c r="Q897" t="str">
        <f t="shared" si="238"/>
        <v>Consumer</v>
      </c>
      <c r="R897" t="s">
        <v>62</v>
      </c>
      <c r="S897" t="str">
        <f t="shared" si="239"/>
        <v>South</v>
      </c>
      <c r="T897" t="s">
        <v>242</v>
      </c>
      <c r="U897" t="str">
        <f t="shared" si="240"/>
        <v>Kerala</v>
      </c>
      <c r="V897" t="s">
        <v>243</v>
      </c>
      <c r="W897" t="str">
        <f t="shared" si="241"/>
        <v>Kochi</v>
      </c>
      <c r="X897" t="s">
        <v>45</v>
      </c>
      <c r="Y897" t="str">
        <f t="shared" si="242"/>
        <v>Furniture</v>
      </c>
      <c r="Z897" t="s">
        <v>76</v>
      </c>
      <c r="AA897" t="str">
        <f t="shared" si="243"/>
        <v>Chairs</v>
      </c>
      <c r="AB897" t="s">
        <v>4073</v>
      </c>
      <c r="AC897" t="s">
        <v>48</v>
      </c>
      <c r="AD897" t="str">
        <f t="shared" si="244"/>
        <v>Same Day</v>
      </c>
      <c r="AE897">
        <v>4</v>
      </c>
      <c r="AF897">
        <v>711.18</v>
      </c>
      <c r="AG897">
        <v>0.15</v>
      </c>
      <c r="AH897">
        <v>0.15</v>
      </c>
      <c r="AI897" t="str">
        <f t="shared" si="245"/>
        <v>Valid</v>
      </c>
      <c r="AJ897">
        <v>2418.0100000000002</v>
      </c>
      <c r="AK897">
        <f t="shared" si="246"/>
        <v>2418.0119999999997</v>
      </c>
      <c r="AL897">
        <v>1441.89</v>
      </c>
      <c r="AM897">
        <v>976.12</v>
      </c>
      <c r="AN897">
        <f t="shared" si="247"/>
        <v>976.12199999999962</v>
      </c>
      <c r="AO897">
        <f t="shared" si="248"/>
        <v>-1441.89</v>
      </c>
      <c r="AP897" t="s">
        <v>137</v>
      </c>
      <c r="AQ897" t="str">
        <f t="shared" si="249"/>
        <v>Pending</v>
      </c>
      <c r="AR897" t="s">
        <v>125</v>
      </c>
      <c r="AS897" t="str">
        <f t="shared" si="250"/>
        <v>Returned</v>
      </c>
      <c r="AT897" t="str">
        <f t="shared" si="251"/>
        <v>Clean</v>
      </c>
    </row>
    <row r="898" spans="1:46">
      <c r="A898" t="s">
        <v>4074</v>
      </c>
      <c r="B898">
        <f>COUNTIF($D$2:D898,D898)</f>
        <v>1</v>
      </c>
      <c r="C898" t="str">
        <f>IF(COUNTIF($A:$A,A898)=1,
"Unique",
IF(COUNTIFS($A:$A,A898,$N:$N,N898,$AF:$AF,AF898,$AJ:$AJ,AJ898)&gt;1,
"Exact Duplicate",
"Conflicting Duplicate"))</f>
        <v>Unique</v>
      </c>
      <c r="D898" t="s">
        <v>4075</v>
      </c>
      <c r="E898" t="s">
        <v>2358</v>
      </c>
      <c r="F898" s="3">
        <v>45650</v>
      </c>
      <c r="G898" s="3">
        <v>45651</v>
      </c>
      <c r="H898" s="5" t="str">
        <f t="shared" si="234"/>
        <v>December</v>
      </c>
      <c r="I898" s="5">
        <f t="shared" si="235"/>
        <v>2024</v>
      </c>
      <c r="J898" t="str">
        <f>IF(F898="","Missing Date",
IF(ISNUMBER(F898),"Valid","Invalid Date"))</f>
        <v>Valid</v>
      </c>
      <c r="K898" t="str">
        <f t="shared" si="236"/>
        <v>Valid</v>
      </c>
      <c r="L898">
        <f>G898-F898</f>
        <v>1</v>
      </c>
      <c r="M898" t="s">
        <v>4076</v>
      </c>
      <c r="N898" t="s">
        <v>72</v>
      </c>
      <c r="O898" t="str">
        <f t="shared" si="237"/>
        <v>Ananya Rao</v>
      </c>
      <c r="P898" t="s">
        <v>41</v>
      </c>
      <c r="Q898" t="str">
        <f t="shared" si="238"/>
        <v>Small Business</v>
      </c>
      <c r="R898" t="s">
        <v>62</v>
      </c>
      <c r="S898" t="str">
        <f t="shared" si="239"/>
        <v>South</v>
      </c>
      <c r="T898" t="s">
        <v>339</v>
      </c>
      <c r="U898" t="str">
        <f t="shared" si="240"/>
        <v>Tamil Nadu</v>
      </c>
      <c r="V898" t="s">
        <v>340</v>
      </c>
      <c r="W898" t="str">
        <f t="shared" si="241"/>
        <v>Chennai</v>
      </c>
      <c r="X898" t="s">
        <v>86</v>
      </c>
      <c r="Y898" t="str">
        <f t="shared" si="242"/>
        <v>Technology</v>
      </c>
      <c r="Z898" t="s">
        <v>94</v>
      </c>
      <c r="AA898" t="str">
        <f t="shared" si="243"/>
        <v>Copiers</v>
      </c>
      <c r="AB898" t="s">
        <v>4077</v>
      </c>
      <c r="AC898" t="s">
        <v>33</v>
      </c>
      <c r="AD898" t="str">
        <f t="shared" si="244"/>
        <v>Second Class</v>
      </c>
      <c r="AE898">
        <v>1</v>
      </c>
      <c r="AF898">
        <v>3693.03</v>
      </c>
      <c r="AG898">
        <v>0.05</v>
      </c>
      <c r="AH898">
        <v>0.05</v>
      </c>
      <c r="AI898" t="str">
        <f t="shared" si="245"/>
        <v>Valid</v>
      </c>
      <c r="AJ898">
        <v>3508.38</v>
      </c>
      <c r="AK898">
        <f t="shared" si="246"/>
        <v>3508.3784999999998</v>
      </c>
      <c r="AL898">
        <v>2828.06</v>
      </c>
      <c r="AM898">
        <v>680.32</v>
      </c>
      <c r="AN898">
        <f t="shared" si="247"/>
        <v>680.31849999999986</v>
      </c>
      <c r="AO898">
        <f t="shared" si="248"/>
        <v>-2828.06</v>
      </c>
      <c r="AP898" t="s">
        <v>200</v>
      </c>
      <c r="AQ898" t="str">
        <f t="shared" si="249"/>
        <v>Failed</v>
      </c>
      <c r="AR898" t="s">
        <v>125</v>
      </c>
      <c r="AS898" t="str">
        <f t="shared" si="250"/>
        <v>Returned</v>
      </c>
      <c r="AT898" t="str">
        <f t="shared" si="251"/>
        <v>Clean</v>
      </c>
    </row>
    <row r="899" spans="1:46">
      <c r="A899" t="s">
        <v>4078</v>
      </c>
      <c r="B899">
        <f>COUNTIF($D$2:D899,D899)</f>
        <v>2</v>
      </c>
      <c r="C899" t="str">
        <f>IF(COUNTIF($A:$A,A899)=1,
"Unique",
IF(COUNTIFS($A:$A,A899,$N:$N,N899,$AF:$AF,AF899,$AJ:$AJ,AJ899)&gt;1,
"Exact Duplicate",
"Conflicting Duplicate"))</f>
        <v>Unique</v>
      </c>
      <c r="D899" t="s">
        <v>1181</v>
      </c>
      <c r="E899" t="s">
        <v>4079</v>
      </c>
      <c r="F899" s="3">
        <v>45776</v>
      </c>
      <c r="G899" s="2">
        <v>45721</v>
      </c>
      <c r="H899" s="5" t="str">
        <f t="shared" ref="H899:H933" si="252">TEXT(DATE(2024,MONTH(F899),1),"MMMM")</f>
        <v>April</v>
      </c>
      <c r="I899" s="5">
        <f t="shared" ref="I899:I933" si="253">YEAR(F899)</f>
        <v>2025</v>
      </c>
      <c r="J899" t="str">
        <f>IF(F899="","Missing Date",
IF(ISNUMBER(F899),"Valid","Invalid Date"))</f>
        <v>Valid</v>
      </c>
      <c r="K899" t="str">
        <f t="shared" ref="K899:K933" si="254">IF(G899="","Missing Date",
IF(ISNUMBER(G899),"Valid","Invalid Date"))</f>
        <v>Valid</v>
      </c>
      <c r="L899">
        <f>G899-F899</f>
        <v>-55</v>
      </c>
      <c r="M899" t="s">
        <v>3200</v>
      </c>
      <c r="N899" t="s">
        <v>180</v>
      </c>
      <c r="O899" t="str">
        <f t="shared" ref="O899:O933" si="255">TRIM(PROPER(CLEAN(N899)))</f>
        <v>Rohan Mehta</v>
      </c>
      <c r="P899" t="s">
        <v>108</v>
      </c>
      <c r="Q899" t="str">
        <f t="shared" ref="Q899:Q933" si="256">TRIM(PROPER(CLEAN(P899)))</f>
        <v>Corporate</v>
      </c>
      <c r="R899" t="s">
        <v>27</v>
      </c>
      <c r="S899" t="str">
        <f t="shared" ref="S899:S933" si="257">TRIM(PROPER(CLEAN(R899)))</f>
        <v>North</v>
      </c>
      <c r="T899" t="s">
        <v>323</v>
      </c>
      <c r="U899" t="str">
        <f t="shared" ref="U899:U933" si="258">TRIM(PROPER(CLEAN(T899)))</f>
        <v>Haryana</v>
      </c>
      <c r="V899" t="s">
        <v>324</v>
      </c>
      <c r="W899" t="str">
        <f t="shared" ref="W899:W933" si="259">TRIM(PROPER(CLEAN(V899)))</f>
        <v>Gurugram</v>
      </c>
      <c r="X899" t="s">
        <v>30</v>
      </c>
      <c r="Y899" t="str">
        <f t="shared" ref="Y899:Y933" si="260">TRIM(PROPER(CLEAN(X899)))</f>
        <v>Office Supplies</v>
      </c>
      <c r="Z899" t="s">
        <v>31</v>
      </c>
      <c r="AA899" t="str">
        <f t="shared" ref="AA899:AA933" si="261">TRIM(PROPER(CLEAN(Z899)))</f>
        <v>Paper</v>
      </c>
      <c r="AB899" t="s">
        <v>4080</v>
      </c>
      <c r="AC899" t="s">
        <v>56</v>
      </c>
      <c r="AD899" t="str">
        <f t="shared" ref="AD899:AD933" si="262">TRIM(PROPER(CLEAN(AC899)))</f>
        <v>First Class</v>
      </c>
      <c r="AE899">
        <v>4</v>
      </c>
      <c r="AF899">
        <v>1786.65</v>
      </c>
      <c r="AG899">
        <v>0.05</v>
      </c>
      <c r="AH899">
        <v>0.05</v>
      </c>
      <c r="AI899" t="str">
        <f t="shared" ref="AI899:AI933" si="263">IF(AG899="","Missing Discount",IF(AG899&lt;0,"Invalid - Negative Discount",IF(AG899&gt;1,"Invalid - Above Range","Valid")))</f>
        <v>Valid</v>
      </c>
      <c r="AJ899">
        <v>6789.27</v>
      </c>
      <c r="AK899">
        <f t="shared" ref="AK899:AK933" si="264">AE899*AF899*(1-AH899)</f>
        <v>6789.27</v>
      </c>
      <c r="AL899">
        <v>5626.43</v>
      </c>
      <c r="AM899">
        <v>1162.8399999999999</v>
      </c>
      <c r="AN899">
        <f t="shared" ref="AN899:AN933" si="265">AK899-AL899</f>
        <v>1162.8400000000001</v>
      </c>
      <c r="AO899">
        <f t="shared" ref="AO899:AO933" si="266">AN899-AK899</f>
        <v>-5626.43</v>
      </c>
      <c r="AP899" t="s">
        <v>34</v>
      </c>
      <c r="AQ899" t="str">
        <f t="shared" ref="AQ899:AQ933" si="267">TRIM(PROPER(CLEAN(AP899)))</f>
        <v>Paid</v>
      </c>
      <c r="AR899" t="s">
        <v>35</v>
      </c>
      <c r="AS899" t="str">
        <f t="shared" ref="AS899:AS933" si="268">TRIM(PROPER(CLEAN(AR899)))</f>
        <v>Completed</v>
      </c>
      <c r="AT899" t="str">
        <f t="shared" ref="AT899:AT933" si="269">IF(OR(AH899="Unknown",AJ899="Unknown",AM899="Unknown",A899="Unknown"),"Needs Review","Clean")</f>
        <v>Clean</v>
      </c>
    </row>
    <row r="900" spans="1:46">
      <c r="A900" t="s">
        <v>4081</v>
      </c>
      <c r="B900">
        <f>COUNTIF($D$2:D900,D900)</f>
        <v>1</v>
      </c>
      <c r="C900" t="str">
        <f>IF(COUNTIF($A:$A,A900)=1,
"Unique",
IF(COUNTIFS($A:$A,A900,$N:$N,N900,$AF:$AF,AF900,$AJ:$AJ,AJ900)&gt;1,
"Exact Duplicate",
"Conflicting Duplicate"))</f>
        <v>Unique</v>
      </c>
      <c r="D900" t="s">
        <v>3644</v>
      </c>
      <c r="E900" t="s">
        <v>50</v>
      </c>
      <c r="F900" s="3">
        <v>45328</v>
      </c>
      <c r="G900" s="3">
        <v>45451</v>
      </c>
      <c r="H900" s="5" t="str">
        <f t="shared" si="252"/>
        <v>February</v>
      </c>
      <c r="I900" s="5">
        <f t="shared" si="253"/>
        <v>2024</v>
      </c>
      <c r="J900" t="str">
        <f>IF(F900="","Missing Date",
IF(ISNUMBER(F900),"Valid","Invalid Date"))</f>
        <v>Valid</v>
      </c>
      <c r="K900" t="str">
        <f t="shared" si="254"/>
        <v>Valid</v>
      </c>
      <c r="L900">
        <f>G900-F900</f>
        <v>123</v>
      </c>
      <c r="M900" t="s">
        <v>4082</v>
      </c>
      <c r="N900" t="s">
        <v>83</v>
      </c>
      <c r="O900" t="str">
        <f t="shared" si="255"/>
        <v>Vikram Iyer</v>
      </c>
      <c r="P900" t="s">
        <v>26</v>
      </c>
      <c r="Q900" t="str">
        <f t="shared" si="256"/>
        <v>Consumer</v>
      </c>
      <c r="R900" t="s">
        <v>27</v>
      </c>
      <c r="S900" t="str">
        <f t="shared" si="257"/>
        <v>North</v>
      </c>
      <c r="T900" t="s">
        <v>506</v>
      </c>
      <c r="U900" t="str">
        <f t="shared" si="258"/>
        <v>Delhi</v>
      </c>
      <c r="V900" t="s">
        <v>507</v>
      </c>
      <c r="W900" t="str">
        <f t="shared" si="259"/>
        <v>New Delhi</v>
      </c>
      <c r="X900" t="s">
        <v>45</v>
      </c>
      <c r="Y900" t="str">
        <f t="shared" si="260"/>
        <v>Furniture</v>
      </c>
      <c r="Z900" t="s">
        <v>46</v>
      </c>
      <c r="AA900" t="str">
        <f t="shared" si="261"/>
        <v>Tables</v>
      </c>
      <c r="AB900" t="s">
        <v>4083</v>
      </c>
      <c r="AC900" t="s">
        <v>56</v>
      </c>
      <c r="AD900" t="str">
        <f t="shared" si="262"/>
        <v>First Class</v>
      </c>
      <c r="AE900">
        <v>4</v>
      </c>
      <c r="AF900">
        <v>1536.7</v>
      </c>
      <c r="AG900">
        <v>0.2</v>
      </c>
      <c r="AH900">
        <v>0.2</v>
      </c>
      <c r="AI900" t="str">
        <f t="shared" si="263"/>
        <v>Valid</v>
      </c>
      <c r="AJ900">
        <v>4917.4399999999996</v>
      </c>
      <c r="AK900">
        <f t="shared" si="264"/>
        <v>4917.4400000000005</v>
      </c>
      <c r="AL900">
        <v>3846.77</v>
      </c>
      <c r="AM900">
        <v>1070.67</v>
      </c>
      <c r="AN900">
        <f t="shared" si="265"/>
        <v>1070.6700000000005</v>
      </c>
      <c r="AO900">
        <f t="shared" si="266"/>
        <v>-3846.77</v>
      </c>
      <c r="AP900" t="s">
        <v>34</v>
      </c>
      <c r="AQ900" t="str">
        <f t="shared" si="267"/>
        <v>Paid</v>
      </c>
      <c r="AR900" t="s">
        <v>35</v>
      </c>
      <c r="AS900" t="str">
        <f t="shared" si="268"/>
        <v>Completed</v>
      </c>
      <c r="AT900" t="str">
        <f t="shared" si="269"/>
        <v>Clean</v>
      </c>
    </row>
    <row r="901" spans="1:46">
      <c r="A901" t="s">
        <v>4084</v>
      </c>
      <c r="B901">
        <f>COUNTIF($D$2:D901,D901)</f>
        <v>3</v>
      </c>
      <c r="C901" t="str">
        <f>IF(COUNTIF($A:$A,A901)=1,
"Unique",
IF(COUNTIFS($A:$A,A901,$N:$N,N901,$AF:$AF,AF901,$AJ:$AJ,AJ901)&gt;1,
"Exact Duplicate",
"Conflicting Duplicate"))</f>
        <v>Unique</v>
      </c>
      <c r="D901" t="s">
        <v>1682</v>
      </c>
      <c r="E901" t="s">
        <v>4085</v>
      </c>
      <c r="F901" s="2">
        <v>45804</v>
      </c>
      <c r="G901" s="3">
        <v>45811</v>
      </c>
      <c r="H901" s="5" t="str">
        <f t="shared" si="252"/>
        <v>May</v>
      </c>
      <c r="I901" s="5">
        <f t="shared" si="253"/>
        <v>2025</v>
      </c>
      <c r="J901" t="str">
        <f>IF(F901="","Missing Date",
IF(ISNUMBER(F901),"Valid","Invalid Date"))</f>
        <v>Valid</v>
      </c>
      <c r="K901" t="str">
        <f t="shared" si="254"/>
        <v>Valid</v>
      </c>
      <c r="L901">
        <f>G901-F901</f>
        <v>7</v>
      </c>
      <c r="M901" t="s">
        <v>4086</v>
      </c>
      <c r="N901" t="s">
        <v>25</v>
      </c>
      <c r="O901" t="str">
        <f t="shared" si="255"/>
        <v>Karan Malhotra</v>
      </c>
      <c r="P901" t="s">
        <v>26</v>
      </c>
      <c r="Q901" t="str">
        <f t="shared" si="256"/>
        <v>Consumer</v>
      </c>
      <c r="R901" t="s">
        <v>27</v>
      </c>
      <c r="S901" t="str">
        <f t="shared" si="257"/>
        <v>North</v>
      </c>
      <c r="T901" t="s">
        <v>154</v>
      </c>
      <c r="U901" t="str">
        <f t="shared" si="258"/>
        <v>Punjab</v>
      </c>
      <c r="V901" t="s">
        <v>155</v>
      </c>
      <c r="W901" t="str">
        <f t="shared" si="259"/>
        <v>Ludhiana</v>
      </c>
      <c r="X901" t="s">
        <v>45</v>
      </c>
      <c r="Y901" t="str">
        <f t="shared" si="260"/>
        <v>Furniture</v>
      </c>
      <c r="Z901" t="s">
        <v>76</v>
      </c>
      <c r="AA901" t="str">
        <f t="shared" si="261"/>
        <v>Chairs</v>
      </c>
      <c r="AB901" t="s">
        <v>4087</v>
      </c>
      <c r="AC901" t="s">
        <v>56</v>
      </c>
      <c r="AD901" t="str">
        <f t="shared" si="262"/>
        <v>First Class</v>
      </c>
      <c r="AE901">
        <v>5</v>
      </c>
      <c r="AF901">
        <v>881.08</v>
      </c>
      <c r="AG901">
        <v>0.25</v>
      </c>
      <c r="AH901">
        <v>0.25</v>
      </c>
      <c r="AI901" t="str">
        <f t="shared" si="263"/>
        <v>Valid</v>
      </c>
      <c r="AJ901">
        <v>3304.05</v>
      </c>
      <c r="AK901">
        <f t="shared" si="264"/>
        <v>3304.05</v>
      </c>
      <c r="AL901">
        <v>2279.41</v>
      </c>
      <c r="AM901">
        <v>1024.6400000000001</v>
      </c>
      <c r="AN901">
        <f t="shared" si="265"/>
        <v>1024.6400000000003</v>
      </c>
      <c r="AO901">
        <f t="shared" si="266"/>
        <v>-2279.41</v>
      </c>
      <c r="AP901" t="s">
        <v>200</v>
      </c>
      <c r="AQ901" t="str">
        <f t="shared" si="267"/>
        <v>Failed</v>
      </c>
      <c r="AR901" t="s">
        <v>78</v>
      </c>
      <c r="AS901" t="str">
        <f t="shared" si="268"/>
        <v>Cancelled</v>
      </c>
      <c r="AT901" t="str">
        <f t="shared" si="269"/>
        <v>Clean</v>
      </c>
    </row>
    <row r="902" spans="1:46">
      <c r="A902" t="s">
        <v>2441</v>
      </c>
      <c r="B902">
        <f>COUNTIF($D$2:D902,D902)</f>
        <v>6</v>
      </c>
      <c r="C902" t="str">
        <f>IF(COUNTIF($A:$A,A902)=1,
"Unique",
IF(COUNTIFS($A:$A,A902,$N:$N,N902,$AF:$AF,AF902,$AJ:$AJ,AJ902)&gt;1,
"Exact Duplicate",
"Conflicting Duplicate"))</f>
        <v>Exact Duplicate</v>
      </c>
      <c r="D902" t="s">
        <v>2442</v>
      </c>
      <c r="E902" t="s">
        <v>2443</v>
      </c>
      <c r="F902" s="3">
        <v>45383</v>
      </c>
      <c r="G902" s="3">
        <v>45539</v>
      </c>
      <c r="H902" s="5" t="str">
        <f t="shared" si="252"/>
        <v>April</v>
      </c>
      <c r="I902" s="5">
        <f t="shared" si="253"/>
        <v>2024</v>
      </c>
      <c r="J902" t="str">
        <f>IF(F902="","Missing Date",
IF(ISNUMBER(F902),"Valid","Invalid Date"))</f>
        <v>Valid</v>
      </c>
      <c r="K902" t="str">
        <f t="shared" si="254"/>
        <v>Valid</v>
      </c>
      <c r="L902">
        <f>G902-F902</f>
        <v>156</v>
      </c>
      <c r="M902" t="s">
        <v>2444</v>
      </c>
      <c r="N902" t="s">
        <v>142</v>
      </c>
      <c r="O902" t="str">
        <f t="shared" si="255"/>
        <v>Priya Menon</v>
      </c>
      <c r="P902" t="s">
        <v>41</v>
      </c>
      <c r="Q902" t="str">
        <f t="shared" si="256"/>
        <v>Small Business</v>
      </c>
      <c r="R902" t="s">
        <v>42</v>
      </c>
      <c r="S902" t="str">
        <f t="shared" si="257"/>
        <v>East</v>
      </c>
      <c r="T902" t="s">
        <v>43</v>
      </c>
      <c r="U902" t="str">
        <f t="shared" si="258"/>
        <v>Odisha</v>
      </c>
      <c r="V902" t="s">
        <v>44</v>
      </c>
      <c r="W902" t="str">
        <f t="shared" si="259"/>
        <v>Bhubaneswar</v>
      </c>
      <c r="X902" t="s">
        <v>86</v>
      </c>
      <c r="Y902" t="str">
        <f t="shared" si="260"/>
        <v>Technology</v>
      </c>
      <c r="Z902" t="s">
        <v>94</v>
      </c>
      <c r="AA902" t="str">
        <f t="shared" si="261"/>
        <v>Copiers</v>
      </c>
      <c r="AB902" t="s">
        <v>2445</v>
      </c>
      <c r="AC902" t="s">
        <v>33</v>
      </c>
      <c r="AD902" t="str">
        <f t="shared" si="262"/>
        <v>Second Class</v>
      </c>
      <c r="AE902">
        <v>6</v>
      </c>
      <c r="AF902">
        <v>826.93</v>
      </c>
      <c r="AG902">
        <v>0.1</v>
      </c>
      <c r="AH902">
        <v>0.1</v>
      </c>
      <c r="AI902" t="str">
        <f t="shared" si="263"/>
        <v>Valid</v>
      </c>
      <c r="AJ902">
        <v>4465.42</v>
      </c>
      <c r="AK902">
        <f t="shared" si="264"/>
        <v>4465.4220000000005</v>
      </c>
      <c r="AL902">
        <v>3377.1</v>
      </c>
      <c r="AM902">
        <v>1088.32</v>
      </c>
      <c r="AN902">
        <f t="shared" si="265"/>
        <v>1088.3220000000006</v>
      </c>
      <c r="AO902">
        <f t="shared" si="266"/>
        <v>-3377.1</v>
      </c>
      <c r="AP902" t="s">
        <v>34</v>
      </c>
      <c r="AQ902" t="str">
        <f t="shared" si="267"/>
        <v>Paid</v>
      </c>
      <c r="AR902" t="s">
        <v>35</v>
      </c>
      <c r="AS902" t="str">
        <f t="shared" si="268"/>
        <v>Completed</v>
      </c>
      <c r="AT902" t="str">
        <f t="shared" si="269"/>
        <v>Clean</v>
      </c>
    </row>
    <row r="903" spans="1:46">
      <c r="A903" t="s">
        <v>2856</v>
      </c>
      <c r="B903">
        <f>COUNTIF($D$2:D903,D903)</f>
        <v>2</v>
      </c>
      <c r="C903" t="str">
        <f>IF(COUNTIF($A:$A,A903)=1,
"Unique",
IF(COUNTIFS($A:$A,A903,$N:$N,N903,$AF:$AF,AF903,$AJ:$AJ,AJ903)&gt;1,
"Exact Duplicate",
"Conflicting Duplicate"))</f>
        <v>Exact Duplicate</v>
      </c>
      <c r="D903" t="s">
        <v>2439</v>
      </c>
      <c r="E903" t="s">
        <v>2857</v>
      </c>
      <c r="F903" s="3">
        <v>45521</v>
      </c>
      <c r="G903" s="3">
        <v>45528</v>
      </c>
      <c r="H903" s="5" t="str">
        <f t="shared" si="252"/>
        <v>August</v>
      </c>
      <c r="I903" s="5">
        <f t="shared" si="253"/>
        <v>2024</v>
      </c>
      <c r="J903" t="str">
        <f>IF(F903="","Missing Date",
IF(ISNUMBER(F903),"Valid","Invalid Date"))</f>
        <v>Valid</v>
      </c>
      <c r="K903" t="str">
        <f t="shared" si="254"/>
        <v>Valid</v>
      </c>
      <c r="L903">
        <f>G903-F903</f>
        <v>7</v>
      </c>
      <c r="M903" t="s">
        <v>2858</v>
      </c>
      <c r="N903" t="s">
        <v>72</v>
      </c>
      <c r="O903" t="str">
        <f t="shared" si="255"/>
        <v>Ananya Rao</v>
      </c>
      <c r="P903" t="s">
        <v>108</v>
      </c>
      <c r="Q903" t="str">
        <f t="shared" si="256"/>
        <v>Corporate</v>
      </c>
      <c r="R903" t="s">
        <v>42</v>
      </c>
      <c r="S903" t="str">
        <f t="shared" si="257"/>
        <v>East</v>
      </c>
      <c r="T903" t="s">
        <v>121</v>
      </c>
      <c r="U903" t="str">
        <f t="shared" si="258"/>
        <v>West Bengal</v>
      </c>
      <c r="V903" t="s">
        <v>122</v>
      </c>
      <c r="W903" t="str">
        <f t="shared" si="259"/>
        <v>Kolkata</v>
      </c>
      <c r="X903" t="s">
        <v>86</v>
      </c>
      <c r="Y903" t="str">
        <f t="shared" si="260"/>
        <v>Technology</v>
      </c>
      <c r="Z903" t="s">
        <v>94</v>
      </c>
      <c r="AA903" t="str">
        <f t="shared" si="261"/>
        <v>Copiers</v>
      </c>
      <c r="AB903" t="s">
        <v>2859</v>
      </c>
      <c r="AC903" t="s">
        <v>48</v>
      </c>
      <c r="AD903" t="str">
        <f t="shared" si="262"/>
        <v>Same Day</v>
      </c>
      <c r="AE903">
        <v>3</v>
      </c>
      <c r="AF903">
        <v>1490.69</v>
      </c>
      <c r="AG903">
        <v>0.25</v>
      </c>
      <c r="AH903">
        <v>0.25</v>
      </c>
      <c r="AI903" t="str">
        <f t="shared" si="263"/>
        <v>Valid</v>
      </c>
      <c r="AJ903">
        <v>3354.05</v>
      </c>
      <c r="AK903">
        <f t="shared" si="264"/>
        <v>3354.0524999999998</v>
      </c>
      <c r="AL903">
        <v>2672.67</v>
      </c>
      <c r="AM903">
        <v>681.38</v>
      </c>
      <c r="AN903">
        <f t="shared" si="265"/>
        <v>681.38249999999971</v>
      </c>
      <c r="AO903">
        <f t="shared" si="266"/>
        <v>-2672.67</v>
      </c>
      <c r="AP903" t="s">
        <v>34</v>
      </c>
      <c r="AQ903" t="str">
        <f t="shared" si="267"/>
        <v>Paid</v>
      </c>
      <c r="AR903" t="s">
        <v>35</v>
      </c>
      <c r="AS903" t="str">
        <f t="shared" si="268"/>
        <v>Completed</v>
      </c>
      <c r="AT903" t="str">
        <f t="shared" si="269"/>
        <v>Clean</v>
      </c>
    </row>
    <row r="904" spans="1:46">
      <c r="A904" t="s">
        <v>3258</v>
      </c>
      <c r="B904">
        <f>COUNTIF($D$2:D904,D904)</f>
        <v>3</v>
      </c>
      <c r="C904" t="str">
        <f>IF(COUNTIF($A:$A,A904)=1,
"Unique",
IF(COUNTIFS($A:$A,A904,$N:$N,N904,$AF:$AF,AF904,$AJ:$AJ,AJ904)&gt;1,
"Exact Duplicate",
"Conflicting Duplicate"))</f>
        <v>Exact Duplicate</v>
      </c>
      <c r="D904" t="s">
        <v>1730</v>
      </c>
      <c r="E904" t="s">
        <v>3079</v>
      </c>
      <c r="F904" s="3">
        <v>45665</v>
      </c>
      <c r="G904" s="3">
        <v>45908</v>
      </c>
      <c r="H904" s="5" t="str">
        <f t="shared" si="252"/>
        <v>January</v>
      </c>
      <c r="I904" s="5">
        <f t="shared" si="253"/>
        <v>2025</v>
      </c>
      <c r="J904" t="str">
        <f>IF(F904="","Missing Date",
IF(ISNUMBER(F904),"Valid","Invalid Date"))</f>
        <v>Valid</v>
      </c>
      <c r="K904" t="str">
        <f t="shared" si="254"/>
        <v>Valid</v>
      </c>
      <c r="L904">
        <f>G904-F904</f>
        <v>243</v>
      </c>
      <c r="M904" t="s">
        <v>1738</v>
      </c>
      <c r="N904" t="s">
        <v>53</v>
      </c>
      <c r="O904" t="str">
        <f t="shared" si="255"/>
        <v>Isha Nair</v>
      </c>
      <c r="P904" t="s">
        <v>26</v>
      </c>
      <c r="Q904" t="str">
        <f t="shared" si="256"/>
        <v>Consumer</v>
      </c>
      <c r="R904" t="s">
        <v>62</v>
      </c>
      <c r="S904" t="str">
        <f t="shared" si="257"/>
        <v>South</v>
      </c>
      <c r="T904" t="s">
        <v>100</v>
      </c>
      <c r="U904" t="str">
        <f t="shared" si="258"/>
        <v>Andhra Pradesh</v>
      </c>
      <c r="V904" t="s">
        <v>101</v>
      </c>
      <c r="W904" t="str">
        <f t="shared" si="259"/>
        <v>Vijayawada</v>
      </c>
      <c r="X904" t="s">
        <v>30</v>
      </c>
      <c r="Y904" t="str">
        <f t="shared" si="260"/>
        <v>Office Supplies</v>
      </c>
      <c r="Z904" t="s">
        <v>156</v>
      </c>
      <c r="AA904" t="str">
        <f t="shared" si="261"/>
        <v>Storage</v>
      </c>
      <c r="AB904" t="s">
        <v>3259</v>
      </c>
      <c r="AC904" t="s">
        <v>56</v>
      </c>
      <c r="AD904" t="str">
        <f t="shared" si="262"/>
        <v>First Class</v>
      </c>
      <c r="AE904">
        <v>5</v>
      </c>
      <c r="AF904">
        <v>2736.24</v>
      </c>
      <c r="AG904">
        <v>0.15</v>
      </c>
      <c r="AH904">
        <v>0.15</v>
      </c>
      <c r="AI904" t="str">
        <f t="shared" si="263"/>
        <v>Valid</v>
      </c>
      <c r="AJ904">
        <v>11629.02</v>
      </c>
      <c r="AK904">
        <f t="shared" si="264"/>
        <v>11629.019999999999</v>
      </c>
      <c r="AL904">
        <v>9627.2099999999991</v>
      </c>
      <c r="AM904">
        <v>2001.81</v>
      </c>
      <c r="AN904">
        <f t="shared" si="265"/>
        <v>2001.8099999999995</v>
      </c>
      <c r="AO904">
        <f t="shared" si="266"/>
        <v>-9627.2099999999991</v>
      </c>
      <c r="AP904" t="s">
        <v>34</v>
      </c>
      <c r="AQ904" t="str">
        <f t="shared" si="267"/>
        <v>Paid</v>
      </c>
      <c r="AR904" t="s">
        <v>35</v>
      </c>
      <c r="AS904" t="str">
        <f t="shared" si="268"/>
        <v>Completed</v>
      </c>
      <c r="AT904" t="str">
        <f t="shared" si="269"/>
        <v>Clean</v>
      </c>
    </row>
    <row r="905" spans="1:46">
      <c r="A905" t="s">
        <v>3296</v>
      </c>
      <c r="B905">
        <f>COUNTIF($D$2:D905,D905)</f>
        <v>2</v>
      </c>
      <c r="C905" t="str">
        <f>IF(COUNTIF($A:$A,A905)=1,
"Unique",
IF(COUNTIFS($A:$A,A905,$N:$N,N905,$AF:$AF,AF905,$AJ:$AJ,AJ905)&gt;1,
"Exact Duplicate",
"Conflicting Duplicate"))</f>
        <v>Exact Duplicate</v>
      </c>
      <c r="D905" t="s">
        <v>1558</v>
      </c>
      <c r="E905" t="s">
        <v>3297</v>
      </c>
      <c r="F905" s="3">
        <v>45364</v>
      </c>
      <c r="G905" s="3">
        <v>45371</v>
      </c>
      <c r="H905" s="5" t="str">
        <f t="shared" si="252"/>
        <v>March</v>
      </c>
      <c r="I905" s="5">
        <f t="shared" si="253"/>
        <v>2024</v>
      </c>
      <c r="J905" t="str">
        <f>IF(F905="","Missing Date",
IF(ISNUMBER(F905),"Valid","Invalid Date"))</f>
        <v>Valid</v>
      </c>
      <c r="K905" t="str">
        <f t="shared" si="254"/>
        <v>Valid</v>
      </c>
      <c r="L905">
        <f>G905-F905</f>
        <v>7</v>
      </c>
      <c r="M905" t="s">
        <v>3298</v>
      </c>
      <c r="N905" t="s">
        <v>142</v>
      </c>
      <c r="O905" t="str">
        <f t="shared" si="255"/>
        <v>Priya Menon</v>
      </c>
      <c r="P905" t="s">
        <v>115</v>
      </c>
      <c r="Q905" t="str">
        <f t="shared" si="256"/>
        <v>Home Office</v>
      </c>
      <c r="R905" t="s">
        <v>62</v>
      </c>
      <c r="S905" t="str">
        <f t="shared" si="257"/>
        <v>South</v>
      </c>
      <c r="T905" t="s">
        <v>339</v>
      </c>
      <c r="U905" t="str">
        <f t="shared" si="258"/>
        <v>Tamil Nadu</v>
      </c>
      <c r="V905" t="s">
        <v>340</v>
      </c>
      <c r="W905" t="str">
        <f t="shared" si="259"/>
        <v>Chennai</v>
      </c>
      <c r="X905" t="s">
        <v>45</v>
      </c>
      <c r="Y905" t="str">
        <f t="shared" si="260"/>
        <v>Furniture</v>
      </c>
      <c r="Z905" t="s">
        <v>204</v>
      </c>
      <c r="AA905" t="str">
        <f t="shared" si="261"/>
        <v>Bookcases</v>
      </c>
      <c r="AB905" t="s">
        <v>3299</v>
      </c>
      <c r="AC905" t="s">
        <v>4104</v>
      </c>
      <c r="AD905" t="str">
        <f t="shared" si="262"/>
        <v>Unknown</v>
      </c>
      <c r="AE905">
        <v>1</v>
      </c>
      <c r="AF905">
        <v>2825.63</v>
      </c>
      <c r="AG905">
        <v>0.15</v>
      </c>
      <c r="AH905">
        <v>0.15</v>
      </c>
      <c r="AI905" t="str">
        <f t="shared" si="263"/>
        <v>Valid</v>
      </c>
      <c r="AJ905">
        <v>2401.79</v>
      </c>
      <c r="AK905">
        <f t="shared" si="264"/>
        <v>2401.7855</v>
      </c>
      <c r="AL905">
        <v>1820.34</v>
      </c>
      <c r="AM905">
        <v>581.45000000000005</v>
      </c>
      <c r="AN905">
        <f t="shared" si="265"/>
        <v>581.44550000000004</v>
      </c>
      <c r="AO905">
        <f t="shared" si="266"/>
        <v>-1820.34</v>
      </c>
      <c r="AP905" t="s">
        <v>34</v>
      </c>
      <c r="AQ905" t="str">
        <f t="shared" si="267"/>
        <v>Paid</v>
      </c>
      <c r="AR905" t="s">
        <v>35</v>
      </c>
      <c r="AS905" t="str">
        <f t="shared" si="268"/>
        <v>Completed</v>
      </c>
      <c r="AT905" t="str">
        <f t="shared" si="269"/>
        <v>Clean</v>
      </c>
    </row>
    <row r="906" spans="1:46">
      <c r="A906" t="s">
        <v>1427</v>
      </c>
      <c r="B906">
        <f>COUNTIF($D$2:D906,D906)</f>
        <v>7</v>
      </c>
      <c r="C906" t="str">
        <f>IF(COUNTIF($A:$A,A906)=1,
"Unique",
IF(COUNTIFS($A:$A,A906,$N:$N,N906,$AF:$AF,AF906,$AJ:$AJ,AJ906)&gt;1,
"Exact Duplicate",
"Conflicting Duplicate"))</f>
        <v>Exact Duplicate</v>
      </c>
      <c r="D906" t="s">
        <v>1058</v>
      </c>
      <c r="E906" t="s">
        <v>1428</v>
      </c>
      <c r="F906" s="3">
        <v>45313</v>
      </c>
      <c r="G906" s="3">
        <v>45314</v>
      </c>
      <c r="H906" s="5" t="str">
        <f t="shared" si="252"/>
        <v>January</v>
      </c>
      <c r="I906" s="5">
        <f t="shared" si="253"/>
        <v>2024</v>
      </c>
      <c r="J906" t="str">
        <f>IF(F906="","Missing Date",
IF(ISNUMBER(F906),"Valid","Invalid Date"))</f>
        <v>Valid</v>
      </c>
      <c r="K906" t="str">
        <f t="shared" si="254"/>
        <v>Valid</v>
      </c>
      <c r="L906">
        <f>G906-F906</f>
        <v>1</v>
      </c>
      <c r="M906" t="s">
        <v>1429</v>
      </c>
      <c r="N906" t="s">
        <v>162</v>
      </c>
      <c r="O906" t="str">
        <f t="shared" si="255"/>
        <v>Aarav Sharma</v>
      </c>
      <c r="P906" t="s">
        <v>41</v>
      </c>
      <c r="Q906" t="str">
        <f t="shared" si="256"/>
        <v>Small Business</v>
      </c>
      <c r="R906" t="s">
        <v>4104</v>
      </c>
      <c r="S906" t="s">
        <v>4104</v>
      </c>
      <c r="T906" t="s">
        <v>216</v>
      </c>
      <c r="U906" t="str">
        <f t="shared" si="258"/>
        <v>Assam</v>
      </c>
      <c r="V906" t="s">
        <v>217</v>
      </c>
      <c r="W906" t="str">
        <f t="shared" si="259"/>
        <v>Guwahati</v>
      </c>
      <c r="X906" t="s">
        <v>45</v>
      </c>
      <c r="Y906" t="str">
        <f t="shared" si="260"/>
        <v>Furniture</v>
      </c>
      <c r="Z906" t="s">
        <v>76</v>
      </c>
      <c r="AA906" t="str">
        <f t="shared" si="261"/>
        <v>Chairs</v>
      </c>
      <c r="AB906" t="s">
        <v>1430</v>
      </c>
      <c r="AC906" t="s">
        <v>33</v>
      </c>
      <c r="AD906" t="str">
        <f t="shared" si="262"/>
        <v>Second Class</v>
      </c>
      <c r="AE906">
        <v>6</v>
      </c>
      <c r="AF906">
        <v>3391.53</v>
      </c>
      <c r="AG906">
        <v>-0.14000000000000001</v>
      </c>
      <c r="AH906">
        <v>-0.14000000000000001</v>
      </c>
      <c r="AI906" t="str">
        <f t="shared" si="263"/>
        <v>Invalid - Negative Discount</v>
      </c>
      <c r="AJ906">
        <v>15261.89</v>
      </c>
      <c r="AK906">
        <f t="shared" si="264"/>
        <v>23198.065200000005</v>
      </c>
      <c r="AL906">
        <v>8413.5300000000007</v>
      </c>
      <c r="AM906">
        <v>6848.36</v>
      </c>
      <c r="AN906">
        <f t="shared" si="265"/>
        <v>14784.535200000004</v>
      </c>
      <c r="AO906">
        <f t="shared" si="266"/>
        <v>-8413.5300000000007</v>
      </c>
      <c r="AP906" t="s">
        <v>34</v>
      </c>
      <c r="AQ906" t="str">
        <f t="shared" si="267"/>
        <v>Paid</v>
      </c>
      <c r="AR906" t="s">
        <v>35</v>
      </c>
      <c r="AS906" t="str">
        <f t="shared" si="268"/>
        <v>Completed</v>
      </c>
      <c r="AT906" t="str">
        <f t="shared" si="269"/>
        <v>Clean</v>
      </c>
    </row>
    <row r="907" spans="1:46">
      <c r="A907" t="s">
        <v>2994</v>
      </c>
      <c r="B907">
        <f>COUNTIF($D$2:D907,D907)</f>
        <v>3</v>
      </c>
      <c r="C907" t="str">
        <f>IF(COUNTIF($A:$A,A907)=1,
"Unique",
IF(COUNTIFS($A:$A,A907,$N:$N,N907,$AF:$AF,AF907,$AJ:$AJ,AJ907)&gt;1,
"Exact Duplicate",
"Conflicting Duplicate"))</f>
        <v>Exact Duplicate</v>
      </c>
      <c r="D907" t="s">
        <v>2995</v>
      </c>
      <c r="E907" t="s">
        <v>2996</v>
      </c>
      <c r="F907" s="3">
        <v>45762</v>
      </c>
      <c r="G907" s="3">
        <v>45763</v>
      </c>
      <c r="H907" s="5" t="str">
        <f t="shared" si="252"/>
        <v>April</v>
      </c>
      <c r="I907" s="5">
        <f t="shared" si="253"/>
        <v>2025</v>
      </c>
      <c r="J907" t="str">
        <f>IF(F907="","Missing Date",
IF(ISNUMBER(F907),"Valid","Invalid Date"))</f>
        <v>Valid</v>
      </c>
      <c r="K907" t="str">
        <f t="shared" si="254"/>
        <v>Valid</v>
      </c>
      <c r="L907">
        <f>G907-F907</f>
        <v>1</v>
      </c>
      <c r="M907" t="s">
        <v>2997</v>
      </c>
      <c r="N907" t="s">
        <v>168</v>
      </c>
      <c r="O907" t="str">
        <f t="shared" si="255"/>
        <v>Sneha Kapoor</v>
      </c>
      <c r="P907" t="s">
        <v>41</v>
      </c>
      <c r="Q907" t="str">
        <f t="shared" si="256"/>
        <v>Small Business</v>
      </c>
      <c r="R907" t="s">
        <v>62</v>
      </c>
      <c r="S907" t="str">
        <f t="shared" si="257"/>
        <v>South</v>
      </c>
      <c r="T907" t="s">
        <v>229</v>
      </c>
      <c r="U907" t="str">
        <f t="shared" si="258"/>
        <v>Karnataka</v>
      </c>
      <c r="V907" t="s">
        <v>230</v>
      </c>
      <c r="W907" t="str">
        <f t="shared" si="259"/>
        <v>Bengaluru</v>
      </c>
      <c r="X907" t="s">
        <v>45</v>
      </c>
      <c r="Y907" t="str">
        <f t="shared" si="260"/>
        <v>Furniture</v>
      </c>
      <c r="Z907" t="s">
        <v>65</v>
      </c>
      <c r="AA907" t="str">
        <f t="shared" si="261"/>
        <v>Furnishings</v>
      </c>
      <c r="AB907" t="s">
        <v>2998</v>
      </c>
      <c r="AC907" t="s">
        <v>56</v>
      </c>
      <c r="AD907" t="str">
        <f t="shared" si="262"/>
        <v>First Class</v>
      </c>
      <c r="AE907">
        <v>5</v>
      </c>
      <c r="AF907">
        <v>2850.53</v>
      </c>
      <c r="AG907">
        <v>0</v>
      </c>
      <c r="AH907">
        <v>0</v>
      </c>
      <c r="AI907" t="str">
        <f t="shared" si="263"/>
        <v>Valid</v>
      </c>
      <c r="AJ907">
        <v>14252.65</v>
      </c>
      <c r="AK907">
        <f t="shared" si="264"/>
        <v>14252.650000000001</v>
      </c>
      <c r="AL907">
        <v>11558.31</v>
      </c>
      <c r="AM907">
        <v>2694.34</v>
      </c>
      <c r="AN907">
        <f t="shared" si="265"/>
        <v>2694.340000000002</v>
      </c>
      <c r="AO907">
        <f t="shared" si="266"/>
        <v>-11558.31</v>
      </c>
      <c r="AP907" t="s">
        <v>34</v>
      </c>
      <c r="AQ907" t="str">
        <f t="shared" si="267"/>
        <v>Paid</v>
      </c>
      <c r="AR907" t="s">
        <v>35</v>
      </c>
      <c r="AS907" t="str">
        <f t="shared" si="268"/>
        <v>Completed</v>
      </c>
      <c r="AT907" t="str">
        <f t="shared" si="269"/>
        <v>Clean</v>
      </c>
    </row>
    <row r="908" spans="1:46">
      <c r="A908" t="s">
        <v>3393</v>
      </c>
      <c r="B908">
        <f>COUNTIF($D$2:D908,D908)</f>
        <v>2</v>
      </c>
      <c r="C908" t="str">
        <f>IF(COUNTIF($A:$A,A908)=1,
"Unique",
IF(COUNTIFS($A:$A,A908,$N:$N,N908,$AF:$AF,AF908,$AJ:$AJ,AJ908)&gt;1,
"Exact Duplicate",
"Conflicting Duplicate"))</f>
        <v>Exact Duplicate</v>
      </c>
      <c r="D908" t="s">
        <v>3394</v>
      </c>
      <c r="E908" t="s">
        <v>3395</v>
      </c>
      <c r="F908" s="3">
        <v>45794</v>
      </c>
      <c r="G908" s="2">
        <v>45802</v>
      </c>
      <c r="H908" s="5" t="str">
        <f t="shared" si="252"/>
        <v>May</v>
      </c>
      <c r="I908" s="5">
        <f t="shared" si="253"/>
        <v>2025</v>
      </c>
      <c r="J908" t="str">
        <f>IF(F908="","Missing Date",
IF(ISNUMBER(F908),"Valid","Invalid Date"))</f>
        <v>Valid</v>
      </c>
      <c r="K908" t="str">
        <f t="shared" si="254"/>
        <v>Valid</v>
      </c>
      <c r="L908">
        <f>G908-F908</f>
        <v>8</v>
      </c>
      <c r="M908" t="s">
        <v>3396</v>
      </c>
      <c r="N908" t="s">
        <v>72</v>
      </c>
      <c r="O908" t="str">
        <f t="shared" si="255"/>
        <v>Ananya Rao</v>
      </c>
      <c r="P908" t="s">
        <v>108</v>
      </c>
      <c r="Q908" t="str">
        <f t="shared" si="256"/>
        <v>Corporate</v>
      </c>
      <c r="R908" t="s">
        <v>62</v>
      </c>
      <c r="S908" t="str">
        <f t="shared" si="257"/>
        <v>South</v>
      </c>
      <c r="T908" t="s">
        <v>339</v>
      </c>
      <c r="U908" t="str">
        <f t="shared" si="258"/>
        <v>Tamil Nadu</v>
      </c>
      <c r="V908" t="s">
        <v>340</v>
      </c>
      <c r="W908" t="str">
        <f t="shared" si="259"/>
        <v>Chennai</v>
      </c>
      <c r="X908" t="s">
        <v>86</v>
      </c>
      <c r="Y908" t="str">
        <f t="shared" si="260"/>
        <v>Technology</v>
      </c>
      <c r="Z908" t="s">
        <v>382</v>
      </c>
      <c r="AA908" t="str">
        <f t="shared" si="261"/>
        <v>Machines</v>
      </c>
      <c r="AB908" t="s">
        <v>3397</v>
      </c>
      <c r="AC908" t="s">
        <v>48</v>
      </c>
      <c r="AD908" t="str">
        <f t="shared" si="262"/>
        <v>Same Day</v>
      </c>
      <c r="AE908">
        <v>6</v>
      </c>
      <c r="AF908">
        <v>1810.63</v>
      </c>
      <c r="AG908">
        <v>0.15</v>
      </c>
      <c r="AH908">
        <v>0.15</v>
      </c>
      <c r="AI908" t="str">
        <f t="shared" si="263"/>
        <v>Valid</v>
      </c>
      <c r="AJ908">
        <v>9234.2099999999991</v>
      </c>
      <c r="AK908">
        <f t="shared" si="264"/>
        <v>9234.2129999999997</v>
      </c>
      <c r="AL908">
        <v>5516.52</v>
      </c>
      <c r="AM908">
        <v>3717.69</v>
      </c>
      <c r="AN908">
        <f t="shared" si="265"/>
        <v>3717.6929999999993</v>
      </c>
      <c r="AO908">
        <f t="shared" si="266"/>
        <v>-5516.52</v>
      </c>
      <c r="AP908" t="s">
        <v>34</v>
      </c>
      <c r="AQ908" t="str">
        <f t="shared" si="267"/>
        <v>Paid</v>
      </c>
      <c r="AR908" t="s">
        <v>35</v>
      </c>
      <c r="AS908" t="str">
        <f t="shared" si="268"/>
        <v>Completed</v>
      </c>
      <c r="AT908" t="str">
        <f t="shared" si="269"/>
        <v>Clean</v>
      </c>
    </row>
    <row r="909" spans="1:46">
      <c r="A909" t="s">
        <v>755</v>
      </c>
      <c r="B909">
        <f>COUNTIF($D$2:D909,D909)</f>
        <v>3</v>
      </c>
      <c r="C909" t="str">
        <f>IF(COUNTIF($A:$A,A909)=1,
"Unique",
IF(COUNTIFS($A:$A,A909,$N:$N,N909,$AF:$AF,AF909,$AJ:$AJ,AJ909)&gt;1,
"Exact Duplicate",
"Conflicting Duplicate"))</f>
        <v>Exact Duplicate</v>
      </c>
      <c r="D909" t="s">
        <v>756</v>
      </c>
      <c r="E909" t="s">
        <v>757</v>
      </c>
      <c r="F909" s="3">
        <v>45639</v>
      </c>
      <c r="G909" s="3">
        <v>45644</v>
      </c>
      <c r="H909" s="5" t="str">
        <f t="shared" si="252"/>
        <v>December</v>
      </c>
      <c r="I909" s="5">
        <f t="shared" si="253"/>
        <v>2024</v>
      </c>
      <c r="J909" t="str">
        <f>IF(F909="","Missing Date",
IF(ISNUMBER(F909),"Valid","Invalid Date"))</f>
        <v>Valid</v>
      </c>
      <c r="K909" t="str">
        <f t="shared" si="254"/>
        <v>Valid</v>
      </c>
      <c r="L909">
        <f>G909-F909</f>
        <v>5</v>
      </c>
      <c r="M909" t="s">
        <v>758</v>
      </c>
      <c r="N909" t="s">
        <v>25</v>
      </c>
      <c r="O909" t="str">
        <f t="shared" si="255"/>
        <v>Karan Malhotra</v>
      </c>
      <c r="P909" t="s">
        <v>26</v>
      </c>
      <c r="Q909" t="str">
        <f t="shared" si="256"/>
        <v>Consumer</v>
      </c>
      <c r="R909" t="s">
        <v>73</v>
      </c>
      <c r="S909" t="str">
        <f t="shared" si="257"/>
        <v>West</v>
      </c>
      <c r="T909" t="s">
        <v>249</v>
      </c>
      <c r="U909" t="str">
        <f t="shared" si="258"/>
        <v>Goa</v>
      </c>
      <c r="V909" t="s">
        <v>250</v>
      </c>
      <c r="W909" t="str">
        <f t="shared" si="259"/>
        <v>Panaji</v>
      </c>
      <c r="X909" t="s">
        <v>86</v>
      </c>
      <c r="Y909" t="str">
        <f t="shared" si="260"/>
        <v>Technology</v>
      </c>
      <c r="Z909" t="s">
        <v>223</v>
      </c>
      <c r="AA909" t="str">
        <f t="shared" si="261"/>
        <v>Phones</v>
      </c>
      <c r="AB909" t="s">
        <v>759</v>
      </c>
      <c r="AC909" t="s">
        <v>33</v>
      </c>
      <c r="AD909" t="str">
        <f t="shared" si="262"/>
        <v>Second Class</v>
      </c>
      <c r="AE909">
        <v>8</v>
      </c>
      <c r="AF909">
        <v>3372.15</v>
      </c>
      <c r="AG909">
        <v>0.15</v>
      </c>
      <c r="AH909">
        <v>0.15</v>
      </c>
      <c r="AI909" t="str">
        <f t="shared" si="263"/>
        <v>Valid</v>
      </c>
      <c r="AJ909">
        <v>22930.62</v>
      </c>
      <c r="AK909">
        <f t="shared" si="264"/>
        <v>22930.62</v>
      </c>
      <c r="AL909">
        <v>16875.55</v>
      </c>
      <c r="AM909">
        <v>6055.07</v>
      </c>
      <c r="AN909">
        <f t="shared" si="265"/>
        <v>6055.07</v>
      </c>
      <c r="AO909">
        <f t="shared" si="266"/>
        <v>-16875.55</v>
      </c>
      <c r="AP909" t="s">
        <v>34</v>
      </c>
      <c r="AQ909" t="str">
        <f t="shared" si="267"/>
        <v>Paid</v>
      </c>
      <c r="AR909" t="s">
        <v>35</v>
      </c>
      <c r="AS909" t="str">
        <f t="shared" si="268"/>
        <v>Completed</v>
      </c>
      <c r="AT909" t="str">
        <f t="shared" si="269"/>
        <v>Clean</v>
      </c>
    </row>
    <row r="910" spans="1:46">
      <c r="A910" t="s">
        <v>3355</v>
      </c>
      <c r="B910">
        <f>COUNTIF($D$2:D910,D910)</f>
        <v>4</v>
      </c>
      <c r="C910" t="str">
        <f>IF(COUNTIF($A:$A,A910)=1,
"Unique",
IF(COUNTIFS($A:$A,A910,$N:$N,N910,$AF:$AF,AF910,$AJ:$AJ,AJ910)&gt;1,
"Exact Duplicate",
"Conflicting Duplicate"))</f>
        <v>Exact Duplicate</v>
      </c>
      <c r="D910" t="s">
        <v>1724</v>
      </c>
      <c r="E910" t="s">
        <v>1725</v>
      </c>
      <c r="F910" s="2">
        <v>45878</v>
      </c>
      <c r="G910" s="3">
        <v>45909</v>
      </c>
      <c r="H910" s="5" t="str">
        <f t="shared" si="252"/>
        <v>August</v>
      </c>
      <c r="I910" s="5">
        <f t="shared" si="253"/>
        <v>2025</v>
      </c>
      <c r="J910" t="str">
        <f>IF(F910="","Missing Date",
IF(ISNUMBER(F910),"Valid","Invalid Date"))</f>
        <v>Valid</v>
      </c>
      <c r="K910" t="str">
        <f t="shared" si="254"/>
        <v>Valid</v>
      </c>
      <c r="L910">
        <f>G910-F910</f>
        <v>31</v>
      </c>
      <c r="M910" t="s">
        <v>185</v>
      </c>
      <c r="N910" t="s">
        <v>366</v>
      </c>
      <c r="O910" t="str">
        <f t="shared" si="255"/>
        <v>Kabir Singh</v>
      </c>
      <c r="P910" t="s">
        <v>108</v>
      </c>
      <c r="Q910" t="str">
        <f t="shared" si="256"/>
        <v>Corporate</v>
      </c>
      <c r="R910" t="s">
        <v>73</v>
      </c>
      <c r="S910" t="str">
        <f t="shared" si="257"/>
        <v>West</v>
      </c>
      <c r="T910" t="s">
        <v>235</v>
      </c>
      <c r="U910" t="str">
        <f t="shared" si="258"/>
        <v>Gujarat</v>
      </c>
      <c r="V910" t="s">
        <v>236</v>
      </c>
      <c r="W910" t="str">
        <f t="shared" si="259"/>
        <v>Ahmedabad</v>
      </c>
      <c r="X910" t="s">
        <v>30</v>
      </c>
      <c r="Y910" t="str">
        <f t="shared" si="260"/>
        <v>Office Supplies</v>
      </c>
      <c r="Z910" t="s">
        <v>54</v>
      </c>
      <c r="AA910" t="str">
        <f t="shared" si="261"/>
        <v>Art</v>
      </c>
      <c r="AB910" t="s">
        <v>3356</v>
      </c>
      <c r="AC910" t="s">
        <v>48</v>
      </c>
      <c r="AD910" t="str">
        <f t="shared" si="262"/>
        <v>Same Day</v>
      </c>
      <c r="AE910">
        <v>2</v>
      </c>
      <c r="AF910">
        <v>2372.41</v>
      </c>
      <c r="AG910">
        <v>0.2</v>
      </c>
      <c r="AH910">
        <v>0.2</v>
      </c>
      <c r="AI910" t="str">
        <f t="shared" si="263"/>
        <v>Valid</v>
      </c>
      <c r="AJ910">
        <v>3795.86</v>
      </c>
      <c r="AK910">
        <f t="shared" si="264"/>
        <v>3795.8559999999998</v>
      </c>
      <c r="AL910">
        <v>2264.92</v>
      </c>
      <c r="AM910">
        <v>1530.94</v>
      </c>
      <c r="AN910">
        <f t="shared" si="265"/>
        <v>1530.9359999999997</v>
      </c>
      <c r="AO910">
        <f t="shared" si="266"/>
        <v>-2264.92</v>
      </c>
      <c r="AP910" t="s">
        <v>34</v>
      </c>
      <c r="AQ910" t="str">
        <f t="shared" si="267"/>
        <v>Paid</v>
      </c>
      <c r="AR910" t="s">
        <v>35</v>
      </c>
      <c r="AS910" t="str">
        <f t="shared" si="268"/>
        <v>Completed</v>
      </c>
      <c r="AT910" t="str">
        <f t="shared" si="269"/>
        <v>Clean</v>
      </c>
    </row>
    <row r="911" spans="1:46">
      <c r="A911" t="s">
        <v>1976</v>
      </c>
      <c r="B911">
        <f>COUNTIF($D$2:D911,D911)</f>
        <v>2</v>
      </c>
      <c r="C911" t="str">
        <f>IF(COUNTIF($A:$A,A911)=1,
"Unique",
IF(COUNTIFS($A:$A,A911,$N:$N,N911,$AF:$AF,AF911,$AJ:$AJ,AJ911)&gt;1,
"Exact Duplicate",
"Conflicting Duplicate"))</f>
        <v>Exact Duplicate</v>
      </c>
      <c r="D911" t="s">
        <v>1977</v>
      </c>
      <c r="E911" t="s">
        <v>1978</v>
      </c>
      <c r="F911" s="3">
        <v>45771</v>
      </c>
      <c r="G911" s="3">
        <v>45776</v>
      </c>
      <c r="H911" s="5" t="str">
        <f t="shared" si="252"/>
        <v>April</v>
      </c>
      <c r="I911" s="5">
        <f t="shared" si="253"/>
        <v>2025</v>
      </c>
      <c r="J911" t="str">
        <f>IF(F911="","Missing Date",
IF(ISNUMBER(F911),"Valid","Invalid Date"))</f>
        <v>Valid</v>
      </c>
      <c r="K911" t="str">
        <f t="shared" si="254"/>
        <v>Valid</v>
      </c>
      <c r="L911">
        <f>G911-F911</f>
        <v>5</v>
      </c>
      <c r="M911" t="s">
        <v>1979</v>
      </c>
      <c r="N911" t="s">
        <v>210</v>
      </c>
      <c r="O911" t="str">
        <f t="shared" si="255"/>
        <v>Diya Patel</v>
      </c>
      <c r="P911" t="s">
        <v>41</v>
      </c>
      <c r="Q911" t="str">
        <f t="shared" si="256"/>
        <v>Small Business</v>
      </c>
      <c r="R911" t="s">
        <v>62</v>
      </c>
      <c r="S911" t="str">
        <f t="shared" si="257"/>
        <v>South</v>
      </c>
      <c r="T911" t="s">
        <v>100</v>
      </c>
      <c r="U911" t="str">
        <f t="shared" si="258"/>
        <v>Andhra Pradesh</v>
      </c>
      <c r="V911" t="s">
        <v>101</v>
      </c>
      <c r="W911" t="str">
        <f t="shared" si="259"/>
        <v>Vijayawada</v>
      </c>
      <c r="X911" t="s">
        <v>30</v>
      </c>
      <c r="Y911" t="str">
        <f t="shared" si="260"/>
        <v>Office Supplies</v>
      </c>
      <c r="Z911" t="s">
        <v>31</v>
      </c>
      <c r="AA911" t="str">
        <f t="shared" si="261"/>
        <v>Paper</v>
      </c>
      <c r="AB911" t="s">
        <v>1980</v>
      </c>
      <c r="AC911" t="s">
        <v>48</v>
      </c>
      <c r="AD911" t="str">
        <f t="shared" si="262"/>
        <v>Same Day</v>
      </c>
      <c r="AE911">
        <v>1</v>
      </c>
      <c r="AF911">
        <v>4358.5</v>
      </c>
      <c r="AG911">
        <v>0.25</v>
      </c>
      <c r="AH911">
        <v>0.25</v>
      </c>
      <c r="AI911" t="str">
        <f t="shared" si="263"/>
        <v>Valid</v>
      </c>
      <c r="AJ911">
        <v>3268.88</v>
      </c>
      <c r="AK911">
        <f t="shared" si="264"/>
        <v>3268.875</v>
      </c>
      <c r="AL911">
        <v>1993.74</v>
      </c>
      <c r="AM911">
        <v>1275.1400000000001</v>
      </c>
      <c r="AN911">
        <f t="shared" si="265"/>
        <v>1275.135</v>
      </c>
      <c r="AO911">
        <f t="shared" si="266"/>
        <v>-1993.74</v>
      </c>
      <c r="AP911" t="s">
        <v>34</v>
      </c>
      <c r="AQ911" t="str">
        <f t="shared" si="267"/>
        <v>Paid</v>
      </c>
      <c r="AR911" t="s">
        <v>35</v>
      </c>
      <c r="AS911" t="str">
        <f t="shared" si="268"/>
        <v>Completed</v>
      </c>
      <c r="AT911" t="str">
        <f t="shared" si="269"/>
        <v>Clean</v>
      </c>
    </row>
    <row r="912" spans="1:46">
      <c r="A912" t="s">
        <v>708</v>
      </c>
      <c r="B912">
        <f>COUNTIF($D$2:D912,D912)</f>
        <v>2</v>
      </c>
      <c r="C912" t="str">
        <f>IF(COUNTIF($A:$A,A912)=1,
"Unique",
IF(COUNTIFS($A:$A,A912,$N:$N,N912,$AF:$AF,AF912,$AJ:$AJ,AJ912)&gt;1,
"Exact Duplicate",
"Conflicting Duplicate"))</f>
        <v>Exact Duplicate</v>
      </c>
      <c r="D912" t="s">
        <v>709</v>
      </c>
      <c r="E912" t="s">
        <v>710</v>
      </c>
      <c r="F912" s="3">
        <v>45436</v>
      </c>
      <c r="G912" s="2">
        <v>45437</v>
      </c>
      <c r="H912" s="5" t="str">
        <f t="shared" si="252"/>
        <v>May</v>
      </c>
      <c r="I912" s="5">
        <f t="shared" si="253"/>
        <v>2024</v>
      </c>
      <c r="J912" t="str">
        <f>IF(F912="","Missing Date",
IF(ISNUMBER(F912),"Valid","Invalid Date"))</f>
        <v>Valid</v>
      </c>
      <c r="K912" t="str">
        <f t="shared" si="254"/>
        <v>Valid</v>
      </c>
      <c r="L912">
        <f>G912-F912</f>
        <v>1</v>
      </c>
      <c r="M912" t="s">
        <v>711</v>
      </c>
      <c r="N912" t="s">
        <v>168</v>
      </c>
      <c r="O912" t="str">
        <f t="shared" si="255"/>
        <v>Sneha Kapoor</v>
      </c>
      <c r="P912" t="s">
        <v>41</v>
      </c>
      <c r="Q912" t="str">
        <f t="shared" si="256"/>
        <v>Small Business</v>
      </c>
      <c r="R912" t="s">
        <v>712</v>
      </c>
      <c r="S912" t="str">
        <f t="shared" si="257"/>
        <v>North</v>
      </c>
      <c r="T912" t="s">
        <v>154</v>
      </c>
      <c r="U912" t="str">
        <f t="shared" si="258"/>
        <v>Punjab</v>
      </c>
      <c r="V912" t="s">
        <v>155</v>
      </c>
      <c r="W912" t="str">
        <f t="shared" si="259"/>
        <v>Ludhiana</v>
      </c>
      <c r="X912" t="s">
        <v>86</v>
      </c>
      <c r="Y912" t="str">
        <f t="shared" si="260"/>
        <v>Technology</v>
      </c>
      <c r="Z912" t="s">
        <v>94</v>
      </c>
      <c r="AA912" t="str">
        <f t="shared" si="261"/>
        <v>Copiers</v>
      </c>
      <c r="AB912" t="s">
        <v>713</v>
      </c>
      <c r="AC912" t="s">
        <v>48</v>
      </c>
      <c r="AD912" t="str">
        <f t="shared" si="262"/>
        <v>Same Day</v>
      </c>
      <c r="AE912">
        <v>1</v>
      </c>
      <c r="AF912">
        <v>634.13</v>
      </c>
      <c r="AG912">
        <v>0</v>
      </c>
      <c r="AH912">
        <v>0</v>
      </c>
      <c r="AI912" t="str">
        <f t="shared" si="263"/>
        <v>Valid</v>
      </c>
      <c r="AJ912">
        <v>634.13</v>
      </c>
      <c r="AK912">
        <f t="shared" si="264"/>
        <v>634.13</v>
      </c>
      <c r="AL912">
        <v>453.35</v>
      </c>
      <c r="AM912">
        <v>180.78</v>
      </c>
      <c r="AN912">
        <f t="shared" si="265"/>
        <v>180.77999999999997</v>
      </c>
      <c r="AO912">
        <f t="shared" si="266"/>
        <v>-453.35</v>
      </c>
      <c r="AP912" t="s">
        <v>124</v>
      </c>
      <c r="AQ912" t="str">
        <f t="shared" si="267"/>
        <v>Refunded</v>
      </c>
      <c r="AR912" t="s">
        <v>78</v>
      </c>
      <c r="AS912" t="str">
        <f t="shared" si="268"/>
        <v>Cancelled</v>
      </c>
      <c r="AT912" t="str">
        <f t="shared" si="269"/>
        <v>Clean</v>
      </c>
    </row>
    <row r="913" spans="1:46">
      <c r="A913" t="s">
        <v>1310</v>
      </c>
      <c r="B913">
        <f>COUNTIF($D$2:D913,D913)</f>
        <v>2</v>
      </c>
      <c r="C913" t="str">
        <f>IF(COUNTIF($A:$A,A913)=1,
"Unique",
IF(COUNTIFS($A:$A,A913,$N:$N,N913,$AF:$AF,AF913,$AJ:$AJ,AJ913)&gt;1,
"Exact Duplicate",
"Conflicting Duplicate"))</f>
        <v>Exact Duplicate</v>
      </c>
      <c r="D913" t="s">
        <v>1311</v>
      </c>
      <c r="E913" t="s">
        <v>1312</v>
      </c>
      <c r="F913" s="3">
        <v>45343</v>
      </c>
      <c r="G913" s="3">
        <v>45349</v>
      </c>
      <c r="H913" s="5" t="str">
        <f t="shared" si="252"/>
        <v>February</v>
      </c>
      <c r="I913" s="5">
        <f t="shared" si="253"/>
        <v>2024</v>
      </c>
      <c r="J913" t="str">
        <f>IF(F913="","Missing Date",
IF(ISNUMBER(F913),"Valid","Invalid Date"))</f>
        <v>Valid</v>
      </c>
      <c r="K913" t="str">
        <f t="shared" si="254"/>
        <v>Valid</v>
      </c>
      <c r="L913">
        <f>G913-F913</f>
        <v>6</v>
      </c>
      <c r="M913" t="s">
        <v>1313</v>
      </c>
      <c r="N913" t="s">
        <v>61</v>
      </c>
      <c r="O913" t="str">
        <f t="shared" si="255"/>
        <v>Arjun Bose</v>
      </c>
      <c r="P913" t="s">
        <v>41</v>
      </c>
      <c r="Q913" t="str">
        <f t="shared" si="256"/>
        <v>Small Business</v>
      </c>
      <c r="R913" t="s">
        <v>42</v>
      </c>
      <c r="S913" t="str">
        <f t="shared" si="257"/>
        <v>East</v>
      </c>
      <c r="T913" t="s">
        <v>121</v>
      </c>
      <c r="U913" t="str">
        <f t="shared" si="258"/>
        <v>West Bengal</v>
      </c>
      <c r="V913" t="s">
        <v>122</v>
      </c>
      <c r="W913" t="str">
        <f t="shared" si="259"/>
        <v>Kolkata</v>
      </c>
      <c r="X913" t="s">
        <v>45</v>
      </c>
      <c r="Y913" t="str">
        <f t="shared" si="260"/>
        <v>Furniture</v>
      </c>
      <c r="Z913" t="s">
        <v>65</v>
      </c>
      <c r="AA913" t="str">
        <f t="shared" si="261"/>
        <v>Furnishings</v>
      </c>
      <c r="AB913" t="s">
        <v>1314</v>
      </c>
      <c r="AC913" t="s">
        <v>67</v>
      </c>
      <c r="AD913" t="str">
        <f t="shared" si="262"/>
        <v>Standard Class</v>
      </c>
      <c r="AE913">
        <v>5</v>
      </c>
      <c r="AF913">
        <v>3373.86</v>
      </c>
      <c r="AG913">
        <v>0.15</v>
      </c>
      <c r="AH913">
        <v>0.15</v>
      </c>
      <c r="AI913" t="str">
        <f t="shared" si="263"/>
        <v>Valid</v>
      </c>
      <c r="AJ913">
        <v>14338.9</v>
      </c>
      <c r="AK913">
        <f t="shared" si="264"/>
        <v>14338.904999999999</v>
      </c>
      <c r="AL913">
        <v>11897.65</v>
      </c>
      <c r="AM913">
        <v>2441.25</v>
      </c>
      <c r="AN913">
        <f t="shared" si="265"/>
        <v>2441.2549999999992</v>
      </c>
      <c r="AO913">
        <f t="shared" si="266"/>
        <v>-11897.65</v>
      </c>
      <c r="AP913" t="s">
        <v>137</v>
      </c>
      <c r="AQ913" t="str">
        <f t="shared" si="267"/>
        <v>Pending</v>
      </c>
      <c r="AR913" t="s">
        <v>125</v>
      </c>
      <c r="AS913" t="str">
        <f t="shared" si="268"/>
        <v>Returned</v>
      </c>
      <c r="AT913" t="str">
        <f t="shared" si="269"/>
        <v>Clean</v>
      </c>
    </row>
    <row r="914" spans="1:46">
      <c r="A914" t="s">
        <v>1879</v>
      </c>
      <c r="B914">
        <f>COUNTIF($D$2:D914,D914)</f>
        <v>3</v>
      </c>
      <c r="C914" t="str">
        <f>IF(COUNTIF($A:$A,A914)=1,
"Unique",
IF(COUNTIFS($A:$A,A914,$N:$N,N914,$AF:$AF,AF914,$AJ:$AJ,AJ914)&gt;1,
"Exact Duplicate",
"Conflicting Duplicate"))</f>
        <v>Exact Duplicate</v>
      </c>
      <c r="D914" t="s">
        <v>1521</v>
      </c>
      <c r="E914" t="s">
        <v>1880</v>
      </c>
      <c r="F914" s="2">
        <v>45801</v>
      </c>
      <c r="G914" s="3">
        <v>45807</v>
      </c>
      <c r="H914" s="5" t="str">
        <f t="shared" si="252"/>
        <v>May</v>
      </c>
      <c r="I914" s="5">
        <f t="shared" si="253"/>
        <v>2025</v>
      </c>
      <c r="J914" t="str">
        <f>IF(F914="","Missing Date",
IF(ISNUMBER(F914),"Valid","Invalid Date"))</f>
        <v>Valid</v>
      </c>
      <c r="K914" t="str">
        <f t="shared" si="254"/>
        <v>Valid</v>
      </c>
      <c r="L914">
        <f>G914-F914</f>
        <v>6</v>
      </c>
      <c r="M914" t="s">
        <v>1881</v>
      </c>
      <c r="N914" t="s">
        <v>366</v>
      </c>
      <c r="O914" t="str">
        <f t="shared" si="255"/>
        <v>Kabir Singh</v>
      </c>
      <c r="P914" t="s">
        <v>41</v>
      </c>
      <c r="Q914" t="str">
        <f t="shared" si="256"/>
        <v>Small Business</v>
      </c>
      <c r="R914" t="s">
        <v>42</v>
      </c>
      <c r="S914" t="str">
        <f t="shared" si="257"/>
        <v>East</v>
      </c>
      <c r="T914" t="s">
        <v>43</v>
      </c>
      <c r="U914" t="str">
        <f t="shared" si="258"/>
        <v>Odisha</v>
      </c>
      <c r="V914" t="s">
        <v>44</v>
      </c>
      <c r="W914" t="str">
        <f t="shared" si="259"/>
        <v>Bhubaneswar</v>
      </c>
      <c r="X914" t="s">
        <v>30</v>
      </c>
      <c r="Y914" t="str">
        <f t="shared" si="260"/>
        <v>Office Supplies</v>
      </c>
      <c r="Z914" t="s">
        <v>1882</v>
      </c>
      <c r="AA914" t="str">
        <f t="shared" si="261"/>
        <v>Storage</v>
      </c>
      <c r="AB914" t="s">
        <v>1883</v>
      </c>
      <c r="AC914" t="s">
        <v>48</v>
      </c>
      <c r="AD914" t="str">
        <f t="shared" si="262"/>
        <v>Same Day</v>
      </c>
      <c r="AE914">
        <v>1</v>
      </c>
      <c r="AF914">
        <v>2564.7399999999998</v>
      </c>
      <c r="AG914">
        <v>0</v>
      </c>
      <c r="AH914">
        <v>0</v>
      </c>
      <c r="AI914" t="str">
        <f t="shared" si="263"/>
        <v>Valid</v>
      </c>
      <c r="AJ914">
        <v>2564.7399999999998</v>
      </c>
      <c r="AK914">
        <f t="shared" si="264"/>
        <v>2564.7399999999998</v>
      </c>
      <c r="AL914">
        <v>1754.58</v>
      </c>
      <c r="AM914">
        <v>810.16</v>
      </c>
      <c r="AN914">
        <f t="shared" si="265"/>
        <v>810.15999999999985</v>
      </c>
      <c r="AO914">
        <f t="shared" si="266"/>
        <v>-1754.58</v>
      </c>
      <c r="AP914" t="s">
        <v>34</v>
      </c>
      <c r="AQ914" t="str">
        <f t="shared" si="267"/>
        <v>Paid</v>
      </c>
      <c r="AR914" t="s">
        <v>35</v>
      </c>
      <c r="AS914" t="str">
        <f t="shared" si="268"/>
        <v>Completed</v>
      </c>
      <c r="AT914" t="str">
        <f t="shared" si="269"/>
        <v>Clean</v>
      </c>
    </row>
    <row r="915" spans="1:46">
      <c r="A915" t="s">
        <v>1443</v>
      </c>
      <c r="B915">
        <f>COUNTIF($D$2:D915,D915)</f>
        <v>2</v>
      </c>
      <c r="C915" t="str">
        <f>IF(COUNTIF($A:$A,A915)=1,
"Unique",
IF(COUNTIFS($A:$A,A915,$N:$N,N915,$AF:$AF,AF915,$AJ:$AJ,AJ915)&gt;1,
"Exact Duplicate",
"Conflicting Duplicate"))</f>
        <v>Exact Duplicate</v>
      </c>
      <c r="D915" t="s">
        <v>1444</v>
      </c>
      <c r="E915" t="s">
        <v>1445</v>
      </c>
      <c r="F915" s="3">
        <v>45649</v>
      </c>
      <c r="G915" s="3">
        <v>45652</v>
      </c>
      <c r="H915" s="5" t="str">
        <f t="shared" si="252"/>
        <v>December</v>
      </c>
      <c r="I915" s="5">
        <f t="shared" si="253"/>
        <v>2024</v>
      </c>
      <c r="J915" t="str">
        <f>IF(F915="","Missing Date",
IF(ISNUMBER(F915),"Valid","Invalid Date"))</f>
        <v>Valid</v>
      </c>
      <c r="K915" t="str">
        <f t="shared" si="254"/>
        <v>Valid</v>
      </c>
      <c r="L915">
        <f>G915-F915</f>
        <v>3</v>
      </c>
      <c r="M915" t="s">
        <v>1446</v>
      </c>
      <c r="N915" t="s">
        <v>107</v>
      </c>
      <c r="O915" t="str">
        <f t="shared" si="255"/>
        <v>Aditi Sen</v>
      </c>
      <c r="P915" t="s">
        <v>26</v>
      </c>
      <c r="Q915" t="str">
        <f t="shared" si="256"/>
        <v>Consumer</v>
      </c>
      <c r="R915" t="s">
        <v>62</v>
      </c>
      <c r="S915" t="str">
        <f t="shared" si="257"/>
        <v>South</v>
      </c>
      <c r="T915" t="s">
        <v>229</v>
      </c>
      <c r="U915" t="str">
        <f t="shared" si="258"/>
        <v>Karnataka</v>
      </c>
      <c r="V915" t="s">
        <v>230</v>
      </c>
      <c r="W915" t="str">
        <f t="shared" si="259"/>
        <v>Bengaluru</v>
      </c>
      <c r="X915" t="s">
        <v>86</v>
      </c>
      <c r="Y915" t="str">
        <f t="shared" si="260"/>
        <v>Technology</v>
      </c>
      <c r="Z915" t="s">
        <v>94</v>
      </c>
      <c r="AA915" t="str">
        <f t="shared" si="261"/>
        <v>Copiers</v>
      </c>
      <c r="AB915" t="s">
        <v>1447</v>
      </c>
      <c r="AC915" t="s">
        <v>67</v>
      </c>
      <c r="AD915" t="str">
        <f t="shared" si="262"/>
        <v>Standard Class</v>
      </c>
      <c r="AE915">
        <v>9</v>
      </c>
      <c r="AF915">
        <v>993.67</v>
      </c>
      <c r="AG915">
        <v>0</v>
      </c>
      <c r="AH915">
        <v>0</v>
      </c>
      <c r="AI915" t="str">
        <f t="shared" si="263"/>
        <v>Valid</v>
      </c>
      <c r="AJ915">
        <v>8943.0300000000007</v>
      </c>
      <c r="AK915">
        <f t="shared" si="264"/>
        <v>8943.0299999999988</v>
      </c>
      <c r="AL915">
        <v>5165.38</v>
      </c>
      <c r="AM915">
        <v>3777.65</v>
      </c>
      <c r="AN915">
        <f t="shared" si="265"/>
        <v>3777.6499999999987</v>
      </c>
      <c r="AO915">
        <f t="shared" si="266"/>
        <v>-5165.38</v>
      </c>
      <c r="AP915" t="s">
        <v>34</v>
      </c>
      <c r="AQ915" t="str">
        <f t="shared" si="267"/>
        <v>Paid</v>
      </c>
      <c r="AR915" t="s">
        <v>35</v>
      </c>
      <c r="AS915" t="str">
        <f t="shared" si="268"/>
        <v>Completed</v>
      </c>
      <c r="AT915" t="str">
        <f t="shared" si="269"/>
        <v>Clean</v>
      </c>
    </row>
    <row r="916" spans="1:46">
      <c r="A916" t="s">
        <v>3330</v>
      </c>
      <c r="B916">
        <f>COUNTIF($D$2:D916,D916)</f>
        <v>5</v>
      </c>
      <c r="C916" t="str">
        <f>IF(COUNTIF($A:$A,A916)=1,
"Unique",
IF(COUNTIFS($A:$A,A916,$N:$N,N916,$AF:$AF,AF916,$AJ:$AJ,AJ916)&gt;1,
"Exact Duplicate",
"Conflicting Duplicate"))</f>
        <v>Exact Duplicate</v>
      </c>
      <c r="D916" t="s">
        <v>2129</v>
      </c>
      <c r="E916" t="s">
        <v>3331</v>
      </c>
      <c r="F916" s="2">
        <v>45567</v>
      </c>
      <c r="G916" s="2">
        <v>45340</v>
      </c>
      <c r="H916" s="5" t="str">
        <f t="shared" si="252"/>
        <v>October</v>
      </c>
      <c r="I916" s="5">
        <f t="shared" si="253"/>
        <v>2024</v>
      </c>
      <c r="J916" t="str">
        <f>IF(F916="","Missing Date",
IF(ISNUMBER(F916),"Valid","Invalid Date"))</f>
        <v>Valid</v>
      </c>
      <c r="K916" t="str">
        <f t="shared" si="254"/>
        <v>Valid</v>
      </c>
      <c r="L916">
        <f>G916-F916</f>
        <v>-227</v>
      </c>
      <c r="M916" t="s">
        <v>3332</v>
      </c>
      <c r="N916" t="s">
        <v>53</v>
      </c>
      <c r="O916" t="str">
        <f t="shared" si="255"/>
        <v>Isha Nair</v>
      </c>
      <c r="P916" t="s">
        <v>115</v>
      </c>
      <c r="Q916" t="str">
        <f t="shared" si="256"/>
        <v>Home Office</v>
      </c>
      <c r="R916" t="s">
        <v>73</v>
      </c>
      <c r="S916" t="str">
        <f t="shared" si="257"/>
        <v>West</v>
      </c>
      <c r="T916" t="s">
        <v>84</v>
      </c>
      <c r="U916" t="str">
        <f t="shared" si="258"/>
        <v>Madhya Pradesh</v>
      </c>
      <c r="V916" t="s">
        <v>85</v>
      </c>
      <c r="W916" t="str">
        <f t="shared" si="259"/>
        <v>Indore</v>
      </c>
      <c r="X916" t="s">
        <v>45</v>
      </c>
      <c r="Y916" t="str">
        <f t="shared" si="260"/>
        <v>Furniture</v>
      </c>
      <c r="Z916" t="s">
        <v>76</v>
      </c>
      <c r="AA916" t="str">
        <f t="shared" si="261"/>
        <v>Chairs</v>
      </c>
      <c r="AB916" t="s">
        <v>3333</v>
      </c>
      <c r="AC916" t="s">
        <v>56</v>
      </c>
      <c r="AD916" t="str">
        <f t="shared" si="262"/>
        <v>First Class</v>
      </c>
      <c r="AE916">
        <v>7</v>
      </c>
      <c r="AF916">
        <v>1382.86</v>
      </c>
      <c r="AG916">
        <v>0</v>
      </c>
      <c r="AH916">
        <v>0</v>
      </c>
      <c r="AI916" t="str">
        <f t="shared" si="263"/>
        <v>Valid</v>
      </c>
      <c r="AJ916">
        <v>9680.02</v>
      </c>
      <c r="AK916">
        <f t="shared" si="264"/>
        <v>9680.0199999999986</v>
      </c>
      <c r="AL916">
        <v>6876.66</v>
      </c>
      <c r="AM916">
        <v>2803.36</v>
      </c>
      <c r="AN916">
        <f t="shared" si="265"/>
        <v>2803.3599999999988</v>
      </c>
      <c r="AO916">
        <f t="shared" si="266"/>
        <v>-6876.66</v>
      </c>
      <c r="AP916" t="s">
        <v>34</v>
      </c>
      <c r="AQ916" t="str">
        <f t="shared" si="267"/>
        <v>Paid</v>
      </c>
      <c r="AR916" t="s">
        <v>35</v>
      </c>
      <c r="AS916" t="str">
        <f t="shared" si="268"/>
        <v>Completed</v>
      </c>
      <c r="AT916" t="str">
        <f t="shared" si="269"/>
        <v>Clean</v>
      </c>
    </row>
    <row r="917" spans="1:46">
      <c r="A917" t="s">
        <v>2648</v>
      </c>
      <c r="B917">
        <f>COUNTIF($D$2:D917,D917)</f>
        <v>2</v>
      </c>
      <c r="C917" t="str">
        <f>IF(COUNTIF($A:$A,A917)=1,
"Unique",
IF(COUNTIFS($A:$A,A917,$N:$N,N917,$AF:$AF,AF917,$AJ:$AJ,AJ917)&gt;1,
"Exact Duplicate",
"Conflicting Duplicate"))</f>
        <v>Exact Duplicate</v>
      </c>
      <c r="D917" t="s">
        <v>2649</v>
      </c>
      <c r="E917" t="s">
        <v>2650</v>
      </c>
      <c r="F917" s="3">
        <v>45941</v>
      </c>
      <c r="G917" s="2">
        <v>45943</v>
      </c>
      <c r="H917" s="5" t="str">
        <f t="shared" si="252"/>
        <v>October</v>
      </c>
      <c r="I917" s="5">
        <f t="shared" si="253"/>
        <v>2025</v>
      </c>
      <c r="J917" t="str">
        <f>IF(F917="","Missing Date",
IF(ISNUMBER(F917),"Valid","Invalid Date"))</f>
        <v>Valid</v>
      </c>
      <c r="K917" t="str">
        <f t="shared" si="254"/>
        <v>Valid</v>
      </c>
      <c r="L917">
        <f>G917-F917</f>
        <v>2</v>
      </c>
      <c r="M917" t="s">
        <v>2651</v>
      </c>
      <c r="N917" t="s">
        <v>40</v>
      </c>
      <c r="O917" t="str">
        <f t="shared" si="255"/>
        <v>Mira Das</v>
      </c>
      <c r="P917" t="s">
        <v>108</v>
      </c>
      <c r="Q917" t="str">
        <f t="shared" si="256"/>
        <v>Corporate</v>
      </c>
      <c r="R917" t="s">
        <v>62</v>
      </c>
      <c r="S917" t="str">
        <f t="shared" si="257"/>
        <v>South</v>
      </c>
      <c r="T917" t="s">
        <v>63</v>
      </c>
      <c r="U917" t="str">
        <f t="shared" si="258"/>
        <v>Telangana</v>
      </c>
      <c r="V917" t="s">
        <v>64</v>
      </c>
      <c r="W917" t="str">
        <f t="shared" si="259"/>
        <v>Hyderabad</v>
      </c>
      <c r="X917" t="s">
        <v>30</v>
      </c>
      <c r="Y917" t="str">
        <f t="shared" si="260"/>
        <v>Office Supplies</v>
      </c>
      <c r="Z917" t="s">
        <v>54</v>
      </c>
      <c r="AA917" t="str">
        <f t="shared" si="261"/>
        <v>Art</v>
      </c>
      <c r="AB917" t="s">
        <v>2652</v>
      </c>
      <c r="AC917" t="s">
        <v>33</v>
      </c>
      <c r="AD917" t="str">
        <f t="shared" si="262"/>
        <v>Second Class</v>
      </c>
      <c r="AE917">
        <v>3</v>
      </c>
      <c r="AF917">
        <v>3804.27</v>
      </c>
      <c r="AG917">
        <v>0.1</v>
      </c>
      <c r="AH917">
        <v>0.1</v>
      </c>
      <c r="AI917" t="str">
        <f t="shared" si="263"/>
        <v>Valid</v>
      </c>
      <c r="AJ917">
        <v>10271.530000000001</v>
      </c>
      <c r="AK917">
        <f t="shared" si="264"/>
        <v>10271.529</v>
      </c>
      <c r="AL917">
        <v>8272.24</v>
      </c>
      <c r="AM917">
        <v>1999.29</v>
      </c>
      <c r="AN917">
        <f t="shared" si="265"/>
        <v>1999.2890000000007</v>
      </c>
      <c r="AO917">
        <f t="shared" si="266"/>
        <v>-8272.24</v>
      </c>
      <c r="AP917" t="s">
        <v>34</v>
      </c>
      <c r="AQ917" t="str">
        <f t="shared" si="267"/>
        <v>Paid</v>
      </c>
      <c r="AR917" t="s">
        <v>35</v>
      </c>
      <c r="AS917" t="str">
        <f t="shared" si="268"/>
        <v>Completed</v>
      </c>
      <c r="AT917" t="str">
        <f t="shared" si="269"/>
        <v>Clean</v>
      </c>
    </row>
    <row r="918" spans="1:46">
      <c r="A918" t="s">
        <v>3890</v>
      </c>
      <c r="B918">
        <f>COUNTIF($D$2:D918,D918)</f>
        <v>2</v>
      </c>
      <c r="C918" t="str">
        <f>IF(COUNTIF($A:$A,A918)=1,
"Unique",
IF(COUNTIFS($A:$A,A918,$N:$N,N918,$AF:$AF,AF918,$AJ:$AJ,AJ918)&gt;1,
"Exact Duplicate",
"Conflicting Duplicate"))</f>
        <v>Exact Duplicate</v>
      </c>
      <c r="D918" t="s">
        <v>3891</v>
      </c>
      <c r="E918" t="s">
        <v>1071</v>
      </c>
      <c r="F918" s="3">
        <v>45446</v>
      </c>
      <c r="G918" s="3">
        <v>45629</v>
      </c>
      <c r="H918" s="5" t="str">
        <f t="shared" si="252"/>
        <v>June</v>
      </c>
      <c r="I918" s="5">
        <f t="shared" si="253"/>
        <v>2024</v>
      </c>
      <c r="J918" t="str">
        <f>IF(F918="","Missing Date",
IF(ISNUMBER(F918),"Valid","Invalid Date"))</f>
        <v>Valid</v>
      </c>
      <c r="K918" t="str">
        <f t="shared" si="254"/>
        <v>Valid</v>
      </c>
      <c r="L918">
        <f>G918-F918</f>
        <v>183</v>
      </c>
      <c r="M918" t="s">
        <v>3892</v>
      </c>
      <c r="N918" t="s">
        <v>53</v>
      </c>
      <c r="O918" t="str">
        <f t="shared" si="255"/>
        <v>Isha Nair</v>
      </c>
      <c r="P918" t="s">
        <v>115</v>
      </c>
      <c r="Q918" t="str">
        <f t="shared" si="256"/>
        <v>Home Office</v>
      </c>
      <c r="R918" t="s">
        <v>73</v>
      </c>
      <c r="S918" t="str">
        <f t="shared" si="257"/>
        <v>West</v>
      </c>
      <c r="T918" t="s">
        <v>235</v>
      </c>
      <c r="U918" t="str">
        <f t="shared" si="258"/>
        <v>Gujarat</v>
      </c>
      <c r="V918" t="s">
        <v>236</v>
      </c>
      <c r="W918" t="str">
        <f t="shared" si="259"/>
        <v>Ahmedabad</v>
      </c>
      <c r="X918" t="s">
        <v>45</v>
      </c>
      <c r="Y918" t="str">
        <f t="shared" si="260"/>
        <v>Furniture</v>
      </c>
      <c r="Z918" t="s">
        <v>204</v>
      </c>
      <c r="AA918" t="str">
        <f t="shared" si="261"/>
        <v>Bookcases</v>
      </c>
      <c r="AB918" t="s">
        <v>3893</v>
      </c>
      <c r="AC918" t="s">
        <v>67</v>
      </c>
      <c r="AD918" t="str">
        <f t="shared" si="262"/>
        <v>Standard Class</v>
      </c>
      <c r="AE918">
        <v>3</v>
      </c>
      <c r="AF918">
        <v>679.63</v>
      </c>
      <c r="AG918">
        <v>0.2</v>
      </c>
      <c r="AH918">
        <v>0.2</v>
      </c>
      <c r="AI918" t="str">
        <f t="shared" si="263"/>
        <v>Valid</v>
      </c>
      <c r="AJ918">
        <v>1631.11</v>
      </c>
      <c r="AK918">
        <f t="shared" si="264"/>
        <v>1631.1120000000001</v>
      </c>
      <c r="AL918">
        <v>898.73</v>
      </c>
      <c r="AM918">
        <v>396.58</v>
      </c>
      <c r="AN918">
        <f t="shared" si="265"/>
        <v>732.38200000000006</v>
      </c>
      <c r="AO918">
        <f t="shared" si="266"/>
        <v>-898.73</v>
      </c>
      <c r="AP918" t="s">
        <v>34</v>
      </c>
      <c r="AQ918" t="str">
        <f t="shared" si="267"/>
        <v>Paid</v>
      </c>
      <c r="AR918" t="s">
        <v>35</v>
      </c>
      <c r="AS918" t="str">
        <f t="shared" si="268"/>
        <v>Completed</v>
      </c>
      <c r="AT918" t="str">
        <f t="shared" si="269"/>
        <v>Clean</v>
      </c>
    </row>
    <row r="919" spans="1:46">
      <c r="A919" t="s">
        <v>728</v>
      </c>
      <c r="B919">
        <f>COUNTIF($D$2:D919,D919)</f>
        <v>2</v>
      </c>
      <c r="C919" t="str">
        <f>IF(COUNTIF($A:$A,A919)=1,
"Unique",
IF(COUNTIFS($A:$A,A919,$N:$N,N919,$AF:$AF,AF919,$AJ:$AJ,AJ919)&gt;1,
"Exact Duplicate",
"Conflicting Duplicate"))</f>
        <v>Exact Duplicate</v>
      </c>
      <c r="D919" t="s">
        <v>191</v>
      </c>
      <c r="E919" t="s">
        <v>729</v>
      </c>
      <c r="F919" s="3">
        <v>45687</v>
      </c>
      <c r="G919" s="3">
        <v>45683</v>
      </c>
      <c r="H919" s="5" t="str">
        <f t="shared" si="252"/>
        <v>January</v>
      </c>
      <c r="I919" s="5">
        <f t="shared" si="253"/>
        <v>2025</v>
      </c>
      <c r="J919" t="str">
        <f>IF(F919="","Missing Date",
IF(ISNUMBER(F919),"Valid","Invalid Date"))</f>
        <v>Valid</v>
      </c>
      <c r="K919" t="str">
        <f t="shared" si="254"/>
        <v>Valid</v>
      </c>
      <c r="L919">
        <f>G919-F919</f>
        <v>-4</v>
      </c>
      <c r="M919" t="s">
        <v>730</v>
      </c>
      <c r="N919" t="s">
        <v>142</v>
      </c>
      <c r="O919" t="str">
        <f t="shared" si="255"/>
        <v>Priya Menon</v>
      </c>
      <c r="P919" t="s">
        <v>108</v>
      </c>
      <c r="Q919" t="str">
        <f t="shared" si="256"/>
        <v>Corporate</v>
      </c>
      <c r="R919" t="s">
        <v>73</v>
      </c>
      <c r="S919" t="str">
        <f t="shared" si="257"/>
        <v>West</v>
      </c>
      <c r="T919" t="s">
        <v>84</v>
      </c>
      <c r="U919" t="str">
        <f t="shared" si="258"/>
        <v>Madhya Pradesh</v>
      </c>
      <c r="V919" t="s">
        <v>85</v>
      </c>
      <c r="W919" t="str">
        <f t="shared" si="259"/>
        <v>Indore</v>
      </c>
      <c r="X919" t="s">
        <v>30</v>
      </c>
      <c r="Y919" t="str">
        <f t="shared" si="260"/>
        <v>Office Supplies</v>
      </c>
      <c r="Z919" t="s">
        <v>156</v>
      </c>
      <c r="AA919" t="str">
        <f t="shared" si="261"/>
        <v>Storage</v>
      </c>
      <c r="AB919" t="s">
        <v>731</v>
      </c>
      <c r="AC919" t="s">
        <v>33</v>
      </c>
      <c r="AD919" t="str">
        <f t="shared" si="262"/>
        <v>Second Class</v>
      </c>
      <c r="AE919">
        <v>2</v>
      </c>
      <c r="AF919">
        <v>3039.3</v>
      </c>
      <c r="AG919">
        <v>0.05</v>
      </c>
      <c r="AH919">
        <v>0.05</v>
      </c>
      <c r="AI919" t="str">
        <f t="shared" si="263"/>
        <v>Valid</v>
      </c>
      <c r="AJ919">
        <v>5774.67</v>
      </c>
      <c r="AK919">
        <f t="shared" si="264"/>
        <v>5774.67</v>
      </c>
      <c r="AL919">
        <v>3518.36</v>
      </c>
      <c r="AM919">
        <v>2256.31</v>
      </c>
      <c r="AN919">
        <f t="shared" si="265"/>
        <v>2256.31</v>
      </c>
      <c r="AO919">
        <f t="shared" si="266"/>
        <v>-3518.36</v>
      </c>
      <c r="AP919" t="s">
        <v>34</v>
      </c>
      <c r="AQ919" t="str">
        <f t="shared" si="267"/>
        <v>Paid</v>
      </c>
      <c r="AR919" t="s">
        <v>35</v>
      </c>
      <c r="AS919" t="str">
        <f t="shared" si="268"/>
        <v>Completed</v>
      </c>
      <c r="AT919" t="str">
        <f t="shared" si="269"/>
        <v>Clean</v>
      </c>
    </row>
    <row r="920" spans="1:46">
      <c r="A920" t="s">
        <v>3184</v>
      </c>
      <c r="B920">
        <f>COUNTIF($D$2:D920,D920)</f>
        <v>2</v>
      </c>
      <c r="C920" t="str">
        <f>IF(COUNTIF($A:$A,A920)=1,
"Unique",
IF(COUNTIFS($A:$A,A920,$N:$N,N920,$AF:$AF,AF920,$AJ:$AJ,AJ920)&gt;1,
"Exact Duplicate",
"Conflicting Duplicate"))</f>
        <v>Exact Duplicate</v>
      </c>
      <c r="D920" t="s">
        <v>3185</v>
      </c>
      <c r="E920" t="s">
        <v>3186</v>
      </c>
      <c r="F920" s="3">
        <v>45911</v>
      </c>
      <c r="G920" s="3">
        <v>45918</v>
      </c>
      <c r="H920" s="5" t="str">
        <f t="shared" si="252"/>
        <v>September</v>
      </c>
      <c r="I920" s="5">
        <f t="shared" si="253"/>
        <v>2025</v>
      </c>
      <c r="J920" t="str">
        <f>IF(F920="","Missing Date",
IF(ISNUMBER(F920),"Valid","Invalid Date"))</f>
        <v>Valid</v>
      </c>
      <c r="K920" t="str">
        <f t="shared" si="254"/>
        <v>Valid</v>
      </c>
      <c r="L920">
        <f>G920-F920</f>
        <v>7</v>
      </c>
      <c r="M920" t="s">
        <v>3187</v>
      </c>
      <c r="N920" t="s">
        <v>148</v>
      </c>
      <c r="O920" t="str">
        <f t="shared" si="255"/>
        <v>Rahul Verma</v>
      </c>
      <c r="P920" t="s">
        <v>41</v>
      </c>
      <c r="Q920" t="str">
        <f t="shared" si="256"/>
        <v>Small Business</v>
      </c>
      <c r="R920" t="s">
        <v>27</v>
      </c>
      <c r="S920" t="str">
        <f t="shared" si="257"/>
        <v>North</v>
      </c>
      <c r="T920" t="s">
        <v>506</v>
      </c>
      <c r="U920" t="str">
        <f t="shared" si="258"/>
        <v>Delhi</v>
      </c>
      <c r="V920" t="s">
        <v>507</v>
      </c>
      <c r="W920" t="str">
        <f t="shared" si="259"/>
        <v>New Delhi</v>
      </c>
      <c r="X920" t="s">
        <v>86</v>
      </c>
      <c r="Y920" t="str">
        <f t="shared" si="260"/>
        <v>Technology</v>
      </c>
      <c r="Z920" t="s">
        <v>223</v>
      </c>
      <c r="AA920" t="str">
        <f t="shared" si="261"/>
        <v>Phones</v>
      </c>
      <c r="AB920" t="s">
        <v>3188</v>
      </c>
      <c r="AC920" t="s">
        <v>48</v>
      </c>
      <c r="AD920" t="str">
        <f t="shared" si="262"/>
        <v>Same Day</v>
      </c>
      <c r="AE920">
        <v>7</v>
      </c>
      <c r="AF920">
        <v>3411.21</v>
      </c>
      <c r="AG920">
        <v>0.15</v>
      </c>
      <c r="AH920">
        <v>0.15</v>
      </c>
      <c r="AI920" t="str">
        <f t="shared" si="263"/>
        <v>Valid</v>
      </c>
      <c r="AJ920">
        <v>20296.7</v>
      </c>
      <c r="AK920">
        <f t="shared" si="264"/>
        <v>20296.699499999999</v>
      </c>
      <c r="AL920">
        <v>14920.87</v>
      </c>
      <c r="AM920">
        <v>5375.83</v>
      </c>
      <c r="AN920">
        <f t="shared" si="265"/>
        <v>5375.829499999998</v>
      </c>
      <c r="AO920">
        <f t="shared" si="266"/>
        <v>-14920.87</v>
      </c>
      <c r="AP920" t="s">
        <v>34</v>
      </c>
      <c r="AQ920" t="str">
        <f t="shared" si="267"/>
        <v>Paid</v>
      </c>
      <c r="AR920" t="s">
        <v>35</v>
      </c>
      <c r="AS920" t="str">
        <f t="shared" si="268"/>
        <v>Completed</v>
      </c>
      <c r="AT920" t="str">
        <f t="shared" si="269"/>
        <v>Clean</v>
      </c>
    </row>
    <row r="921" spans="1:46">
      <c r="A921" t="s">
        <v>89</v>
      </c>
      <c r="B921">
        <f>COUNTIF($D$2:D921,D921)</f>
        <v>3</v>
      </c>
      <c r="C921" t="str">
        <f>IF(COUNTIF($A:$A,A921)=1,
"Unique",
IF(COUNTIFS($A:$A,A921,$N:$N,N921,$AF:$AF,AF921,$AJ:$AJ,AJ921)&gt;1,
"Exact Duplicate",
"Conflicting Duplicate"))</f>
        <v>Exact Duplicate</v>
      </c>
      <c r="D921" t="s">
        <v>90</v>
      </c>
      <c r="E921" t="s">
        <v>91</v>
      </c>
      <c r="F921" s="3">
        <v>45757</v>
      </c>
      <c r="G921" s="3">
        <v>45763</v>
      </c>
      <c r="H921" s="5" t="str">
        <f t="shared" si="252"/>
        <v>April</v>
      </c>
      <c r="I921" s="5">
        <f t="shared" si="253"/>
        <v>2025</v>
      </c>
      <c r="J921" t="str">
        <f>IF(F921="","Missing Date",
IF(ISNUMBER(F921),"Valid","Invalid Date"))</f>
        <v>Valid</v>
      </c>
      <c r="K921" t="str">
        <f t="shared" si="254"/>
        <v>Valid</v>
      </c>
      <c r="L921">
        <f>G921-F921</f>
        <v>6</v>
      </c>
      <c r="M921" t="s">
        <v>92</v>
      </c>
      <c r="N921" t="s">
        <v>93</v>
      </c>
      <c r="O921" t="str">
        <f t="shared" si="255"/>
        <v>Neha Gupta</v>
      </c>
      <c r="P921" t="s">
        <v>26</v>
      </c>
      <c r="Q921" t="str">
        <f t="shared" si="256"/>
        <v>Consumer</v>
      </c>
      <c r="R921" t="s">
        <v>42</v>
      </c>
      <c r="S921" t="str">
        <f t="shared" si="257"/>
        <v>East</v>
      </c>
      <c r="T921" t="s">
        <v>43</v>
      </c>
      <c r="U921" t="str">
        <f t="shared" si="258"/>
        <v>Odisha</v>
      </c>
      <c r="V921" t="s">
        <v>44</v>
      </c>
      <c r="W921" t="str">
        <f t="shared" si="259"/>
        <v>Bhubaneswar</v>
      </c>
      <c r="X921" t="s">
        <v>86</v>
      </c>
      <c r="Y921" t="str">
        <f t="shared" si="260"/>
        <v>Technology</v>
      </c>
      <c r="Z921" t="s">
        <v>94</v>
      </c>
      <c r="AA921" t="str">
        <f t="shared" si="261"/>
        <v>Copiers</v>
      </c>
      <c r="AB921" t="s">
        <v>95</v>
      </c>
      <c r="AC921" t="s">
        <v>67</v>
      </c>
      <c r="AD921" t="str">
        <f t="shared" si="262"/>
        <v>Standard Class</v>
      </c>
      <c r="AE921">
        <v>4</v>
      </c>
      <c r="AF921">
        <v>1719.87</v>
      </c>
      <c r="AG921">
        <v>0.15</v>
      </c>
      <c r="AH921">
        <v>0.15</v>
      </c>
      <c r="AI921" t="str">
        <f t="shared" si="263"/>
        <v>Valid</v>
      </c>
      <c r="AJ921">
        <v>5847.56</v>
      </c>
      <c r="AK921">
        <f t="shared" si="264"/>
        <v>5847.5579999999991</v>
      </c>
      <c r="AL921">
        <v>4727.25</v>
      </c>
      <c r="AM921">
        <v>1120.31</v>
      </c>
      <c r="AN921">
        <f t="shared" si="265"/>
        <v>1120.3079999999991</v>
      </c>
      <c r="AO921">
        <f t="shared" si="266"/>
        <v>-4727.25</v>
      </c>
      <c r="AP921" t="s">
        <v>34</v>
      </c>
      <c r="AQ921" t="str">
        <f t="shared" si="267"/>
        <v>Paid</v>
      </c>
      <c r="AR921" t="s">
        <v>35</v>
      </c>
      <c r="AS921" t="str">
        <f t="shared" si="268"/>
        <v>Completed</v>
      </c>
      <c r="AT921" t="str">
        <f t="shared" si="269"/>
        <v>Clean</v>
      </c>
    </row>
    <row r="922" spans="1:46">
      <c r="A922" t="s">
        <v>1677</v>
      </c>
      <c r="B922">
        <f>COUNTIF($D$2:D922,D922)</f>
        <v>2</v>
      </c>
      <c r="C922" t="str">
        <f>IF(COUNTIF($A:$A,A922)=1,
"Unique",
IF(COUNTIFS($A:$A,A922,$N:$N,N922,$AF:$AF,AF922,$AJ:$AJ,AJ922)&gt;1,
"Exact Duplicate",
"Conflicting Duplicate"))</f>
        <v>Conflicting Duplicate</v>
      </c>
      <c r="D922" t="s">
        <v>705</v>
      </c>
      <c r="E922" t="s">
        <v>1678</v>
      </c>
      <c r="F922" s="3">
        <v>45394</v>
      </c>
      <c r="G922" s="3">
        <v>45455</v>
      </c>
      <c r="H922" s="5" t="str">
        <f t="shared" si="252"/>
        <v>April</v>
      </c>
      <c r="I922" s="5">
        <f t="shared" si="253"/>
        <v>2024</v>
      </c>
      <c r="J922" t="str">
        <f>IF(F922="","Missing Date",
IF(ISNUMBER(F922),"Valid","Invalid Date"))</f>
        <v>Valid</v>
      </c>
      <c r="K922" t="str">
        <f t="shared" si="254"/>
        <v>Valid</v>
      </c>
      <c r="L922">
        <f>G922-F922</f>
        <v>61</v>
      </c>
      <c r="M922" t="s">
        <v>1679</v>
      </c>
      <c r="N922" t="s">
        <v>168</v>
      </c>
      <c r="O922" t="str">
        <f t="shared" si="255"/>
        <v>Sneha Kapoor</v>
      </c>
      <c r="P922" t="s">
        <v>115</v>
      </c>
      <c r="Q922" t="str">
        <f t="shared" si="256"/>
        <v>Home Office</v>
      </c>
      <c r="R922" t="s">
        <v>42</v>
      </c>
      <c r="S922" t="str">
        <f t="shared" si="257"/>
        <v>East</v>
      </c>
      <c r="T922" t="s">
        <v>43</v>
      </c>
      <c r="U922" t="str">
        <f t="shared" si="258"/>
        <v>Odisha</v>
      </c>
      <c r="V922" t="s">
        <v>44</v>
      </c>
      <c r="W922" t="str">
        <f t="shared" si="259"/>
        <v>Bhubaneswar</v>
      </c>
      <c r="X922" t="s">
        <v>30</v>
      </c>
      <c r="Y922" t="str">
        <f t="shared" si="260"/>
        <v>Office Supplies</v>
      </c>
      <c r="Z922" t="s">
        <v>198</v>
      </c>
      <c r="AA922" t="str">
        <f t="shared" si="261"/>
        <v>Binders</v>
      </c>
      <c r="AB922" t="s">
        <v>1680</v>
      </c>
      <c r="AC922" t="s">
        <v>33</v>
      </c>
      <c r="AD922" t="str">
        <f t="shared" si="262"/>
        <v>Second Class</v>
      </c>
      <c r="AE922">
        <v>4</v>
      </c>
      <c r="AF922">
        <v>2685.66</v>
      </c>
      <c r="AG922">
        <v>0</v>
      </c>
      <c r="AH922">
        <v>0</v>
      </c>
      <c r="AI922" t="str">
        <f t="shared" si="263"/>
        <v>Valid</v>
      </c>
      <c r="AJ922">
        <v>10989.89</v>
      </c>
      <c r="AK922">
        <f t="shared" si="264"/>
        <v>10742.64</v>
      </c>
      <c r="AL922">
        <v>6477.37</v>
      </c>
      <c r="AM922">
        <v>4265.2700000000004</v>
      </c>
      <c r="AN922">
        <f t="shared" si="265"/>
        <v>4265.2699999999995</v>
      </c>
      <c r="AO922">
        <f t="shared" si="266"/>
        <v>-6477.37</v>
      </c>
      <c r="AP922" t="s">
        <v>34</v>
      </c>
      <c r="AQ922" t="str">
        <f t="shared" si="267"/>
        <v>Paid</v>
      </c>
      <c r="AR922" t="s">
        <v>35</v>
      </c>
      <c r="AS922" t="str">
        <f t="shared" si="268"/>
        <v>Completed</v>
      </c>
      <c r="AT922" t="str">
        <f t="shared" si="269"/>
        <v>Clean</v>
      </c>
    </row>
    <row r="923" spans="1:46">
      <c r="A923" t="s">
        <v>549</v>
      </c>
      <c r="B923">
        <f>COUNTIF($D$2:D923,D923)</f>
        <v>2</v>
      </c>
      <c r="C923" t="str">
        <f>IF(COUNTIF($A:$A,A923)=1,
"Unique",
IF(COUNTIFS($A:$A,A923,$N:$N,N923,$AF:$AF,AF923,$AJ:$AJ,AJ923)&gt;1,
"Exact Duplicate",
"Conflicting Duplicate"))</f>
        <v>Conflicting Duplicate</v>
      </c>
      <c r="D923" t="s">
        <v>550</v>
      </c>
      <c r="E923" t="s">
        <v>69</v>
      </c>
      <c r="F923" s="3">
        <v>45893</v>
      </c>
      <c r="G923" s="2">
        <v>45898</v>
      </c>
      <c r="H923" s="5" t="str">
        <f t="shared" si="252"/>
        <v>August</v>
      </c>
      <c r="I923" s="5">
        <f t="shared" si="253"/>
        <v>2025</v>
      </c>
      <c r="J923" t="str">
        <f>IF(F923="","Missing Date",
IF(ISNUMBER(F923),"Valid","Invalid Date"))</f>
        <v>Valid</v>
      </c>
      <c r="K923" t="str">
        <f t="shared" si="254"/>
        <v>Valid</v>
      </c>
      <c r="L923">
        <f>G923-F923</f>
        <v>5</v>
      </c>
      <c r="M923" t="s">
        <v>551</v>
      </c>
      <c r="N923" t="s">
        <v>162</v>
      </c>
      <c r="O923" t="str">
        <f t="shared" si="255"/>
        <v>Aarav Sharma</v>
      </c>
      <c r="P923" t="s">
        <v>41</v>
      </c>
      <c r="Q923" t="str">
        <f t="shared" si="256"/>
        <v>Small Business</v>
      </c>
      <c r="R923" t="s">
        <v>42</v>
      </c>
      <c r="S923" t="str">
        <f t="shared" si="257"/>
        <v>East</v>
      </c>
      <c r="T923" t="s">
        <v>186</v>
      </c>
      <c r="U923" t="str">
        <f t="shared" si="258"/>
        <v>Bihar</v>
      </c>
      <c r="V923" t="s">
        <v>187</v>
      </c>
      <c r="W923" t="str">
        <f t="shared" si="259"/>
        <v>Patna</v>
      </c>
      <c r="X923" t="s">
        <v>86</v>
      </c>
      <c r="Y923" t="str">
        <f t="shared" si="260"/>
        <v>Technology</v>
      </c>
      <c r="Z923" t="s">
        <v>94</v>
      </c>
      <c r="AA923" t="str">
        <f t="shared" si="261"/>
        <v>Copiers</v>
      </c>
      <c r="AB923" t="s">
        <v>552</v>
      </c>
      <c r="AC923" t="s">
        <v>56</v>
      </c>
      <c r="AD923" t="str">
        <f t="shared" si="262"/>
        <v>First Class</v>
      </c>
      <c r="AE923">
        <v>3</v>
      </c>
      <c r="AF923">
        <v>3703.96</v>
      </c>
      <c r="AG923">
        <v>0.15</v>
      </c>
      <c r="AH923">
        <v>0.15</v>
      </c>
      <c r="AI923" t="str">
        <f t="shared" si="263"/>
        <v>Valid</v>
      </c>
      <c r="AJ923">
        <v>9549.44</v>
      </c>
      <c r="AK923">
        <f t="shared" si="264"/>
        <v>9445.098</v>
      </c>
      <c r="AL923">
        <v>5586.28</v>
      </c>
      <c r="AM923">
        <v>3858.82</v>
      </c>
      <c r="AN923">
        <f t="shared" si="265"/>
        <v>3858.8180000000002</v>
      </c>
      <c r="AO923">
        <f t="shared" si="266"/>
        <v>-5586.28</v>
      </c>
      <c r="AP923" t="s">
        <v>34</v>
      </c>
      <c r="AQ923" t="str">
        <f t="shared" si="267"/>
        <v>Paid</v>
      </c>
      <c r="AR923" t="s">
        <v>125</v>
      </c>
      <c r="AS923" t="str">
        <f t="shared" si="268"/>
        <v>Returned</v>
      </c>
      <c r="AT923" t="str">
        <f t="shared" si="269"/>
        <v>Clean</v>
      </c>
    </row>
    <row r="924" spans="1:46">
      <c r="A924" t="s">
        <v>1861</v>
      </c>
      <c r="B924">
        <f>COUNTIF($D$2:D924,D924)</f>
        <v>3</v>
      </c>
      <c r="C924" t="str">
        <f>IF(COUNTIF($A:$A,A924)=1,
"Unique",
IF(COUNTIFS($A:$A,A924,$N:$N,N924,$AF:$AF,AF924,$AJ:$AJ,AJ924)&gt;1,
"Exact Duplicate",
"Conflicting Duplicate"))</f>
        <v>Conflicting Duplicate</v>
      </c>
      <c r="D924" t="s">
        <v>1862</v>
      </c>
      <c r="E924" t="s">
        <v>1862</v>
      </c>
      <c r="F924" s="3">
        <v>45760</v>
      </c>
      <c r="G924" s="3">
        <v>45760</v>
      </c>
      <c r="H924" s="5" t="str">
        <f t="shared" si="252"/>
        <v>April</v>
      </c>
      <c r="I924" s="5">
        <f t="shared" si="253"/>
        <v>2025</v>
      </c>
      <c r="J924" t="str">
        <f>IF(F924="","Missing Date",
IF(ISNUMBER(F924),"Valid","Invalid Date"))</f>
        <v>Valid</v>
      </c>
      <c r="K924" t="str">
        <f t="shared" si="254"/>
        <v>Valid</v>
      </c>
      <c r="L924">
        <f>G924-F924</f>
        <v>0</v>
      </c>
      <c r="M924" t="s">
        <v>1863</v>
      </c>
      <c r="N924" t="s">
        <v>168</v>
      </c>
      <c r="O924" t="str">
        <f t="shared" si="255"/>
        <v>Sneha Kapoor</v>
      </c>
      <c r="P924" t="s">
        <v>41</v>
      </c>
      <c r="Q924" t="str">
        <f t="shared" si="256"/>
        <v>Small Business</v>
      </c>
      <c r="R924" t="s">
        <v>27</v>
      </c>
      <c r="S924" t="str">
        <f t="shared" si="257"/>
        <v>North</v>
      </c>
      <c r="T924" t="s">
        <v>174</v>
      </c>
      <c r="U924" t="str">
        <f t="shared" si="258"/>
        <v>Uttar Pradesh</v>
      </c>
      <c r="V924" t="s">
        <v>175</v>
      </c>
      <c r="W924" t="str">
        <f t="shared" si="259"/>
        <v>Noida</v>
      </c>
      <c r="X924" t="s">
        <v>30</v>
      </c>
      <c r="Y924" t="str">
        <f t="shared" si="260"/>
        <v>Office Supplies</v>
      </c>
      <c r="Z924" t="s">
        <v>156</v>
      </c>
      <c r="AA924" t="str">
        <f t="shared" si="261"/>
        <v>Storage</v>
      </c>
      <c r="AB924" t="s">
        <v>1864</v>
      </c>
      <c r="AC924" t="s">
        <v>33</v>
      </c>
      <c r="AD924" t="str">
        <f t="shared" si="262"/>
        <v>Second Class</v>
      </c>
      <c r="AE924">
        <v>9</v>
      </c>
      <c r="AF924">
        <v>1118.68</v>
      </c>
      <c r="AG924">
        <v>0</v>
      </c>
      <c r="AH924">
        <v>0</v>
      </c>
      <c r="AI924" t="str">
        <f t="shared" si="263"/>
        <v>Valid</v>
      </c>
      <c r="AJ924">
        <v>10348.43</v>
      </c>
      <c r="AK924">
        <f t="shared" si="264"/>
        <v>10068.120000000001</v>
      </c>
      <c r="AL924">
        <v>8595.3700000000008</v>
      </c>
      <c r="AM924">
        <v>1472.75</v>
      </c>
      <c r="AN924">
        <f t="shared" si="265"/>
        <v>1472.75</v>
      </c>
      <c r="AO924">
        <f t="shared" si="266"/>
        <v>-8595.3700000000008</v>
      </c>
      <c r="AP924" t="s">
        <v>34</v>
      </c>
      <c r="AQ924" t="str">
        <f t="shared" si="267"/>
        <v>Paid</v>
      </c>
      <c r="AR924" t="s">
        <v>125</v>
      </c>
      <c r="AS924" t="str">
        <f t="shared" si="268"/>
        <v>Returned</v>
      </c>
      <c r="AT924" t="str">
        <f t="shared" si="269"/>
        <v>Clean</v>
      </c>
    </row>
    <row r="925" spans="1:46">
      <c r="A925" t="s">
        <v>1189</v>
      </c>
      <c r="B925">
        <f>COUNTIF($D$2:D925,D925)</f>
        <v>3</v>
      </c>
      <c r="C925" t="str">
        <f>IF(COUNTIF($A:$A,A925)=1,
"Unique",
IF(COUNTIFS($A:$A,A925,$N:$N,N925,$AF:$AF,AF925,$AJ:$AJ,AJ925)&gt;1,
"Exact Duplicate",
"Conflicting Duplicate"))</f>
        <v>Conflicting Duplicate</v>
      </c>
      <c r="D925" t="s">
        <v>1190</v>
      </c>
      <c r="E925" t="s">
        <v>1191</v>
      </c>
      <c r="F925" s="3">
        <v>45932</v>
      </c>
      <c r="G925" s="2">
        <v>45879</v>
      </c>
      <c r="H925" s="5" t="str">
        <f t="shared" si="252"/>
        <v>October</v>
      </c>
      <c r="I925" s="5">
        <f t="shared" si="253"/>
        <v>2025</v>
      </c>
      <c r="J925" t="str">
        <f>IF(F925="","Missing Date",
IF(ISNUMBER(F925),"Valid","Invalid Date"))</f>
        <v>Valid</v>
      </c>
      <c r="K925" t="str">
        <f t="shared" si="254"/>
        <v>Valid</v>
      </c>
      <c r="L925">
        <f>G925-F925</f>
        <v>-53</v>
      </c>
      <c r="M925" t="s">
        <v>1192</v>
      </c>
      <c r="N925" t="s">
        <v>53</v>
      </c>
      <c r="O925" t="str">
        <f t="shared" si="255"/>
        <v>Isha Nair</v>
      </c>
      <c r="P925" t="s">
        <v>41</v>
      </c>
      <c r="Q925" t="str">
        <f t="shared" si="256"/>
        <v>Small Business</v>
      </c>
      <c r="R925" t="s">
        <v>27</v>
      </c>
      <c r="S925" t="str">
        <f t="shared" si="257"/>
        <v>North</v>
      </c>
      <c r="T925" t="s">
        <v>154</v>
      </c>
      <c r="U925" t="str">
        <f t="shared" si="258"/>
        <v>Punjab</v>
      </c>
      <c r="V925" t="s">
        <v>155</v>
      </c>
      <c r="W925" t="str">
        <f t="shared" si="259"/>
        <v>Ludhiana</v>
      </c>
      <c r="X925" t="s">
        <v>45</v>
      </c>
      <c r="Y925" t="str">
        <f t="shared" si="260"/>
        <v>Furniture</v>
      </c>
      <c r="Z925" t="s">
        <v>65</v>
      </c>
      <c r="AA925" t="str">
        <f t="shared" si="261"/>
        <v>Furnishings</v>
      </c>
      <c r="AB925" t="s">
        <v>1193</v>
      </c>
      <c r="AC925" t="s">
        <v>67</v>
      </c>
      <c r="AD925" t="str">
        <f t="shared" si="262"/>
        <v>Standard Class</v>
      </c>
      <c r="AE925">
        <v>4</v>
      </c>
      <c r="AF925">
        <v>3944.64</v>
      </c>
      <c r="AG925">
        <v>0.25</v>
      </c>
      <c r="AH925">
        <v>0.25</v>
      </c>
      <c r="AI925" t="str">
        <f t="shared" si="263"/>
        <v>Valid</v>
      </c>
      <c r="AJ925">
        <v>12116.89</v>
      </c>
      <c r="AK925">
        <f t="shared" si="264"/>
        <v>11833.92</v>
      </c>
      <c r="AL925">
        <v>6682.92</v>
      </c>
      <c r="AM925">
        <v>5151</v>
      </c>
      <c r="AN925">
        <f t="shared" si="265"/>
        <v>5151</v>
      </c>
      <c r="AO925">
        <f t="shared" si="266"/>
        <v>-6682.92</v>
      </c>
      <c r="AP925" t="s">
        <v>34</v>
      </c>
      <c r="AQ925" t="str">
        <f t="shared" si="267"/>
        <v>Paid</v>
      </c>
      <c r="AR925" t="s">
        <v>125</v>
      </c>
      <c r="AS925" t="str">
        <f t="shared" si="268"/>
        <v>Returned</v>
      </c>
      <c r="AT925" t="str">
        <f t="shared" si="269"/>
        <v>Clean</v>
      </c>
    </row>
    <row r="926" spans="1:46">
      <c r="A926" t="s">
        <v>1602</v>
      </c>
      <c r="B926">
        <f>COUNTIF($D$2:D926,D926)</f>
        <v>3</v>
      </c>
      <c r="C926" t="str">
        <f>IF(COUNTIF($A:$A,A926)=1,
"Unique",
IF(COUNTIFS($A:$A,A926,$N:$N,N926,$AF:$AF,AF926,$AJ:$AJ,AJ926)&gt;1,
"Exact Duplicate",
"Conflicting Duplicate"))</f>
        <v>Conflicting Duplicate</v>
      </c>
      <c r="D926" t="s">
        <v>1104</v>
      </c>
      <c r="E926" t="s">
        <v>118</v>
      </c>
      <c r="F926" s="3">
        <v>45795</v>
      </c>
      <c r="G926" s="2">
        <v>45797</v>
      </c>
      <c r="H926" s="5" t="str">
        <f t="shared" si="252"/>
        <v>May</v>
      </c>
      <c r="I926" s="5">
        <f t="shared" si="253"/>
        <v>2025</v>
      </c>
      <c r="J926" t="str">
        <f>IF(F926="","Missing Date",
IF(ISNUMBER(F926),"Valid","Invalid Date"))</f>
        <v>Valid</v>
      </c>
      <c r="K926" t="str">
        <f t="shared" si="254"/>
        <v>Valid</v>
      </c>
      <c r="L926">
        <f>G926-F926</f>
        <v>2</v>
      </c>
      <c r="M926" t="s">
        <v>1603</v>
      </c>
      <c r="N926" t="s">
        <v>53</v>
      </c>
      <c r="O926" t="str">
        <f t="shared" si="255"/>
        <v>Isha Nair</v>
      </c>
      <c r="P926" t="s">
        <v>108</v>
      </c>
      <c r="Q926" t="str">
        <f t="shared" si="256"/>
        <v>Corporate</v>
      </c>
      <c r="R926" t="s">
        <v>73</v>
      </c>
      <c r="S926" t="str">
        <f t="shared" si="257"/>
        <v>West</v>
      </c>
      <c r="T926" t="s">
        <v>84</v>
      </c>
      <c r="U926" t="str">
        <f t="shared" si="258"/>
        <v>Madhya Pradesh</v>
      </c>
      <c r="V926" t="s">
        <v>85</v>
      </c>
      <c r="W926" t="str">
        <f t="shared" si="259"/>
        <v>Indore</v>
      </c>
      <c r="X926" t="s">
        <v>30</v>
      </c>
      <c r="Y926" t="str">
        <f t="shared" si="260"/>
        <v>Office Supplies</v>
      </c>
      <c r="Z926" t="s">
        <v>109</v>
      </c>
      <c r="AA926" t="str">
        <f t="shared" si="261"/>
        <v>Labels</v>
      </c>
      <c r="AB926" t="s">
        <v>1604</v>
      </c>
      <c r="AC926" t="s">
        <v>67</v>
      </c>
      <c r="AD926" t="str">
        <f t="shared" si="262"/>
        <v>Standard Class</v>
      </c>
      <c r="AE926">
        <v>9</v>
      </c>
      <c r="AF926">
        <v>847.76</v>
      </c>
      <c r="AG926">
        <v>0.15</v>
      </c>
      <c r="AH926">
        <v>0.15</v>
      </c>
      <c r="AI926" t="str">
        <f t="shared" si="263"/>
        <v>Valid</v>
      </c>
      <c r="AJ926">
        <v>6589.37</v>
      </c>
      <c r="AK926">
        <f t="shared" si="264"/>
        <v>6485.3639999999996</v>
      </c>
      <c r="AL926">
        <v>5376.17</v>
      </c>
      <c r="AM926">
        <v>1109.19</v>
      </c>
      <c r="AN926">
        <f t="shared" si="265"/>
        <v>1109.1939999999995</v>
      </c>
      <c r="AO926">
        <f t="shared" si="266"/>
        <v>-5376.17</v>
      </c>
      <c r="AP926" t="s">
        <v>200</v>
      </c>
      <c r="AQ926" t="str">
        <f t="shared" si="267"/>
        <v>Failed</v>
      </c>
      <c r="AR926" t="s">
        <v>35</v>
      </c>
      <c r="AS926" t="str">
        <f t="shared" si="268"/>
        <v>Completed</v>
      </c>
      <c r="AT926" t="str">
        <f t="shared" si="269"/>
        <v>Clean</v>
      </c>
    </row>
    <row r="927" spans="1:46">
      <c r="A927" t="s">
        <v>934</v>
      </c>
      <c r="B927">
        <f>COUNTIF($D$2:D927,D927)</f>
        <v>4</v>
      </c>
      <c r="C927" t="str">
        <f>IF(COUNTIF($A:$A,A927)=1,
"Unique",
IF(COUNTIFS($A:$A,A927,$N:$N,N927,$AF:$AF,AF927,$AJ:$AJ,AJ927)&gt;1,
"Exact Duplicate",
"Conflicting Duplicate"))</f>
        <v>Conflicting Duplicate</v>
      </c>
      <c r="D927" t="s">
        <v>112</v>
      </c>
      <c r="E927" t="s">
        <v>935</v>
      </c>
      <c r="F927" s="3">
        <v>45847</v>
      </c>
      <c r="G927" s="3">
        <v>45915</v>
      </c>
      <c r="H927" s="5" t="str">
        <f t="shared" si="252"/>
        <v>July</v>
      </c>
      <c r="I927" s="5">
        <f t="shared" si="253"/>
        <v>2025</v>
      </c>
      <c r="J927" t="str">
        <f>IF(F927="","Missing Date",
IF(ISNUMBER(F927),"Valid","Invalid Date"))</f>
        <v>Valid</v>
      </c>
      <c r="K927" t="str">
        <f t="shared" si="254"/>
        <v>Valid</v>
      </c>
      <c r="L927">
        <f>G927-F927</f>
        <v>68</v>
      </c>
      <c r="M927" t="s">
        <v>936</v>
      </c>
      <c r="N927" t="s">
        <v>180</v>
      </c>
      <c r="O927" t="str">
        <f t="shared" si="255"/>
        <v>Rohan Mehta</v>
      </c>
      <c r="P927" t="s">
        <v>108</v>
      </c>
      <c r="Q927" t="str">
        <f t="shared" si="256"/>
        <v>Corporate</v>
      </c>
      <c r="R927" t="s">
        <v>42</v>
      </c>
      <c r="S927" t="str">
        <f t="shared" si="257"/>
        <v>East</v>
      </c>
      <c r="T927" t="s">
        <v>186</v>
      </c>
      <c r="U927" t="str">
        <f t="shared" si="258"/>
        <v>Bihar</v>
      </c>
      <c r="V927" t="s">
        <v>187</v>
      </c>
      <c r="W927" t="str">
        <f t="shared" si="259"/>
        <v>Patna</v>
      </c>
      <c r="X927" t="s">
        <v>86</v>
      </c>
      <c r="Y927" t="str">
        <f t="shared" si="260"/>
        <v>Technology</v>
      </c>
      <c r="Z927" t="s">
        <v>94</v>
      </c>
      <c r="AA927" t="str">
        <f t="shared" si="261"/>
        <v>Copiers</v>
      </c>
      <c r="AB927" t="s">
        <v>937</v>
      </c>
      <c r="AC927" t="s">
        <v>67</v>
      </c>
      <c r="AD927" t="str">
        <f t="shared" si="262"/>
        <v>Standard Class</v>
      </c>
      <c r="AE927">
        <v>3</v>
      </c>
      <c r="AF927">
        <v>1711.32</v>
      </c>
      <c r="AG927">
        <v>0</v>
      </c>
      <c r="AH927">
        <v>0</v>
      </c>
      <c r="AI927" t="str">
        <f t="shared" si="263"/>
        <v>Valid</v>
      </c>
      <c r="AJ927">
        <v>5206.53</v>
      </c>
      <c r="AK927">
        <f t="shared" si="264"/>
        <v>5133.96</v>
      </c>
      <c r="AL927">
        <v>3930</v>
      </c>
      <c r="AM927">
        <v>1203.96</v>
      </c>
      <c r="AN927">
        <f t="shared" si="265"/>
        <v>1203.96</v>
      </c>
      <c r="AO927">
        <f t="shared" si="266"/>
        <v>-3930</v>
      </c>
      <c r="AP927" t="s">
        <v>34</v>
      </c>
      <c r="AQ927" t="str">
        <f t="shared" si="267"/>
        <v>Paid</v>
      </c>
      <c r="AR927" t="s">
        <v>125</v>
      </c>
      <c r="AS927" t="str">
        <f t="shared" si="268"/>
        <v>Returned</v>
      </c>
      <c r="AT927" t="str">
        <f t="shared" si="269"/>
        <v>Clean</v>
      </c>
    </row>
    <row r="928" spans="1:46">
      <c r="A928" t="s">
        <v>2087</v>
      </c>
      <c r="B928">
        <f>COUNTIF($D$2:D928,D928)</f>
        <v>5</v>
      </c>
      <c r="C928" t="str">
        <f>IF(COUNTIF($A:$A,A928)=1,
"Unique",
IF(COUNTIFS($A:$A,A928,$N:$N,N928,$AF:$AF,AF928,$AJ:$AJ,AJ928)&gt;1,
"Exact Duplicate",
"Conflicting Duplicate"))</f>
        <v>Conflicting Duplicate</v>
      </c>
      <c r="D928" t="s">
        <v>2088</v>
      </c>
      <c r="E928" t="s">
        <v>2089</v>
      </c>
      <c r="F928" s="3">
        <v>45342</v>
      </c>
      <c r="G928" s="3">
        <v>45349</v>
      </c>
      <c r="H928" s="5" t="str">
        <f t="shared" si="252"/>
        <v>February</v>
      </c>
      <c r="I928" s="5">
        <f t="shared" si="253"/>
        <v>2024</v>
      </c>
      <c r="J928" t="str">
        <f>IF(F928="","Missing Date",
IF(ISNUMBER(F928),"Valid","Invalid Date"))</f>
        <v>Valid</v>
      </c>
      <c r="K928" t="str">
        <f t="shared" si="254"/>
        <v>Valid</v>
      </c>
      <c r="L928">
        <f>G928-F928</f>
        <v>7</v>
      </c>
      <c r="M928" t="s">
        <v>2090</v>
      </c>
      <c r="N928" t="s">
        <v>210</v>
      </c>
      <c r="O928" t="str">
        <f t="shared" si="255"/>
        <v>Diya Patel</v>
      </c>
      <c r="P928" t="s">
        <v>26</v>
      </c>
      <c r="Q928" t="str">
        <f t="shared" si="256"/>
        <v>Consumer</v>
      </c>
      <c r="R928" t="s">
        <v>62</v>
      </c>
      <c r="S928" t="str">
        <f t="shared" si="257"/>
        <v>South</v>
      </c>
      <c r="T928" t="s">
        <v>242</v>
      </c>
      <c r="U928" t="str">
        <f t="shared" si="258"/>
        <v>Kerala</v>
      </c>
      <c r="V928" t="s">
        <v>243</v>
      </c>
      <c r="W928" t="str">
        <f t="shared" si="259"/>
        <v>Kochi</v>
      </c>
      <c r="X928" t="s">
        <v>86</v>
      </c>
      <c r="Y928" t="str">
        <f t="shared" si="260"/>
        <v>Technology</v>
      </c>
      <c r="Z928" t="s">
        <v>87</v>
      </c>
      <c r="AA928" t="str">
        <f t="shared" si="261"/>
        <v>Accessories</v>
      </c>
      <c r="AB928" t="s">
        <v>2091</v>
      </c>
      <c r="AC928" t="s">
        <v>2092</v>
      </c>
      <c r="AD928" t="str">
        <f t="shared" si="262"/>
        <v>First Class</v>
      </c>
      <c r="AE928">
        <v>9</v>
      </c>
      <c r="AF928">
        <v>3779.31</v>
      </c>
      <c r="AG928">
        <v>0.2</v>
      </c>
      <c r="AH928">
        <v>0.2</v>
      </c>
      <c r="AI928" t="str">
        <f t="shared" si="263"/>
        <v>Valid</v>
      </c>
      <c r="AJ928">
        <v>27322.9</v>
      </c>
      <c r="AK928">
        <f t="shared" si="264"/>
        <v>27211.032000000003</v>
      </c>
      <c r="AL928">
        <v>17940.43</v>
      </c>
      <c r="AM928">
        <v>9270.6</v>
      </c>
      <c r="AN928">
        <f t="shared" si="265"/>
        <v>9270.6020000000026</v>
      </c>
      <c r="AO928">
        <f t="shared" si="266"/>
        <v>-17940.43</v>
      </c>
      <c r="AP928" t="s">
        <v>34</v>
      </c>
      <c r="AQ928" t="str">
        <f t="shared" si="267"/>
        <v>Paid</v>
      </c>
      <c r="AR928" t="s">
        <v>125</v>
      </c>
      <c r="AS928" t="str">
        <f t="shared" si="268"/>
        <v>Returned</v>
      </c>
      <c r="AT928" t="str">
        <f t="shared" si="269"/>
        <v>Clean</v>
      </c>
    </row>
    <row r="929" spans="1:46">
      <c r="A929" t="s">
        <v>2739</v>
      </c>
      <c r="B929">
        <f>COUNTIF($D$2:D929,D929)</f>
        <v>4</v>
      </c>
      <c r="C929" t="str">
        <f>IF(COUNTIF($A:$A,A929)=1,
"Unique",
IF(COUNTIFS($A:$A,A929,$N:$N,N929,$AF:$AF,AF929,$AJ:$AJ,AJ929)&gt;1,
"Exact Duplicate",
"Conflicting Duplicate"))</f>
        <v>Conflicting Duplicate</v>
      </c>
      <c r="D929" t="s">
        <v>2675</v>
      </c>
      <c r="E929" t="s">
        <v>2740</v>
      </c>
      <c r="F929" s="2">
        <v>45932</v>
      </c>
      <c r="G929" s="3">
        <v>45702</v>
      </c>
      <c r="H929" s="5" t="str">
        <f t="shared" si="252"/>
        <v>October</v>
      </c>
      <c r="I929" s="5">
        <f t="shared" si="253"/>
        <v>2025</v>
      </c>
      <c r="J929" t="str">
        <f>IF(F929="","Missing Date",
IF(ISNUMBER(F929),"Valid","Invalid Date"))</f>
        <v>Valid</v>
      </c>
      <c r="K929" t="str">
        <f t="shared" si="254"/>
        <v>Valid</v>
      </c>
      <c r="L929">
        <f>G929-F929</f>
        <v>-230</v>
      </c>
      <c r="M929" t="s">
        <v>2741</v>
      </c>
      <c r="N929" t="s">
        <v>142</v>
      </c>
      <c r="O929" t="str">
        <f t="shared" si="255"/>
        <v>Priya Menon</v>
      </c>
      <c r="P929" t="s">
        <v>41</v>
      </c>
      <c r="Q929" t="str">
        <f t="shared" si="256"/>
        <v>Small Business</v>
      </c>
      <c r="R929" t="s">
        <v>27</v>
      </c>
      <c r="S929" t="str">
        <f t="shared" si="257"/>
        <v>North</v>
      </c>
      <c r="T929" t="s">
        <v>174</v>
      </c>
      <c r="U929" t="str">
        <f t="shared" si="258"/>
        <v>Uttar Pradesh</v>
      </c>
      <c r="V929" t="s">
        <v>175</v>
      </c>
      <c r="W929" t="str">
        <f t="shared" si="259"/>
        <v>Noida</v>
      </c>
      <c r="X929" t="s">
        <v>86</v>
      </c>
      <c r="Y929" t="str">
        <f t="shared" si="260"/>
        <v>Technology</v>
      </c>
      <c r="Z929" t="s">
        <v>223</v>
      </c>
      <c r="AA929" t="str">
        <f t="shared" si="261"/>
        <v>Phones</v>
      </c>
      <c r="AB929" t="s">
        <v>2742</v>
      </c>
      <c r="AC929" t="s">
        <v>4104</v>
      </c>
      <c r="AD929" t="str">
        <f t="shared" si="262"/>
        <v>Unknown</v>
      </c>
      <c r="AE929">
        <v>5</v>
      </c>
      <c r="AF929">
        <v>4276.29</v>
      </c>
      <c r="AG929">
        <v>0</v>
      </c>
      <c r="AH929">
        <v>0</v>
      </c>
      <c r="AI929" t="str">
        <f t="shared" si="263"/>
        <v>Valid</v>
      </c>
      <c r="AJ929">
        <v>21443.63</v>
      </c>
      <c r="AK929">
        <f t="shared" si="264"/>
        <v>21381.45</v>
      </c>
      <c r="AL929">
        <v>13240.21</v>
      </c>
      <c r="AM929">
        <v>8141.24</v>
      </c>
      <c r="AN929">
        <f t="shared" si="265"/>
        <v>8141.2400000000016</v>
      </c>
      <c r="AO929">
        <f t="shared" si="266"/>
        <v>-13240.21</v>
      </c>
      <c r="AP929" t="s">
        <v>200</v>
      </c>
      <c r="AQ929" t="str">
        <f t="shared" si="267"/>
        <v>Failed</v>
      </c>
      <c r="AR929" t="s">
        <v>35</v>
      </c>
      <c r="AS929" t="str">
        <f t="shared" si="268"/>
        <v>Completed</v>
      </c>
      <c r="AT929" t="str">
        <f t="shared" si="269"/>
        <v>Clean</v>
      </c>
    </row>
    <row r="930" spans="1:46">
      <c r="A930" t="s">
        <v>800</v>
      </c>
      <c r="B930">
        <f>COUNTIF($D$2:D930,D930)</f>
        <v>2</v>
      </c>
      <c r="C930" t="str">
        <f>IF(COUNTIF($A:$A,A930)=1,
"Unique",
IF(COUNTIFS($A:$A,A930,$N:$N,N930,$AF:$AF,AF930,$AJ:$AJ,AJ930)&gt;1,
"Exact Duplicate",
"Conflicting Duplicate"))</f>
        <v>Conflicting Duplicate</v>
      </c>
      <c r="D930" t="s">
        <v>801</v>
      </c>
      <c r="E930" t="s">
        <v>802</v>
      </c>
      <c r="F930" s="2">
        <v>45381</v>
      </c>
      <c r="G930" s="2">
        <v>45377</v>
      </c>
      <c r="H930" s="5" t="str">
        <f t="shared" si="252"/>
        <v>March</v>
      </c>
      <c r="I930" s="5">
        <f t="shared" si="253"/>
        <v>2024</v>
      </c>
      <c r="J930" t="str">
        <f>IF(F930="","Missing Date",
IF(ISNUMBER(F930),"Valid","Invalid Date"))</f>
        <v>Valid</v>
      </c>
      <c r="K930" t="str">
        <f t="shared" si="254"/>
        <v>Valid</v>
      </c>
      <c r="L930">
        <f>G930-F930</f>
        <v>-4</v>
      </c>
      <c r="M930" t="s">
        <v>803</v>
      </c>
      <c r="N930" t="s">
        <v>107</v>
      </c>
      <c r="O930" t="str">
        <f t="shared" si="255"/>
        <v>Aditi Sen</v>
      </c>
      <c r="P930" t="s">
        <v>115</v>
      </c>
      <c r="Q930" t="str">
        <f t="shared" si="256"/>
        <v>Home Office</v>
      </c>
      <c r="R930" t="s">
        <v>27</v>
      </c>
      <c r="S930" t="str">
        <f t="shared" si="257"/>
        <v>North</v>
      </c>
      <c r="T930" t="s">
        <v>28</v>
      </c>
      <c r="U930" t="str">
        <f t="shared" si="258"/>
        <v>Rajasthan</v>
      </c>
      <c r="V930" t="s">
        <v>29</v>
      </c>
      <c r="W930" t="str">
        <f t="shared" si="259"/>
        <v>Jaipur</v>
      </c>
      <c r="X930" t="s">
        <v>86</v>
      </c>
      <c r="Y930" t="str">
        <f t="shared" si="260"/>
        <v>Technology</v>
      </c>
      <c r="Z930" t="s">
        <v>223</v>
      </c>
      <c r="AA930" t="str">
        <f t="shared" si="261"/>
        <v>Phones</v>
      </c>
      <c r="AB930" t="s">
        <v>804</v>
      </c>
      <c r="AC930" t="s">
        <v>33</v>
      </c>
      <c r="AD930" t="str">
        <f t="shared" si="262"/>
        <v>Second Class</v>
      </c>
      <c r="AE930">
        <v>5</v>
      </c>
      <c r="AF930">
        <v>907.54</v>
      </c>
      <c r="AG930">
        <v>0.15</v>
      </c>
      <c r="AH930">
        <v>0.15</v>
      </c>
      <c r="AI930" t="str">
        <f t="shared" si="263"/>
        <v>Valid</v>
      </c>
      <c r="AJ930">
        <v>4099.6899999999996</v>
      </c>
      <c r="AK930">
        <f t="shared" si="264"/>
        <v>3857.0449999999996</v>
      </c>
      <c r="AL930">
        <v>2769.26</v>
      </c>
      <c r="AM930">
        <v>1087.78</v>
      </c>
      <c r="AN930">
        <f t="shared" si="265"/>
        <v>1087.7849999999994</v>
      </c>
      <c r="AO930">
        <f t="shared" si="266"/>
        <v>-2769.26</v>
      </c>
      <c r="AP930" t="s">
        <v>34</v>
      </c>
      <c r="AQ930" t="str">
        <f t="shared" si="267"/>
        <v>Paid</v>
      </c>
      <c r="AR930" t="s">
        <v>125</v>
      </c>
      <c r="AS930" t="str">
        <f t="shared" si="268"/>
        <v>Returned</v>
      </c>
      <c r="AT930" t="str">
        <f t="shared" si="269"/>
        <v>Clean</v>
      </c>
    </row>
    <row r="931" spans="1:46">
      <c r="A931" t="s">
        <v>1408</v>
      </c>
      <c r="B931">
        <f>COUNTIF($D$2:D931,D931)</f>
        <v>2</v>
      </c>
      <c r="C931" t="str">
        <f>IF(COUNTIF($A:$A,A931)=1,
"Unique",
IF(COUNTIFS($A:$A,A931,$N:$N,N931,$AF:$AF,AF931,$AJ:$AJ,AJ931)&gt;1,
"Exact Duplicate",
"Conflicting Duplicate"))</f>
        <v>Conflicting Duplicate</v>
      </c>
      <c r="D931" t="s">
        <v>1409</v>
      </c>
      <c r="E931" t="s">
        <v>1410</v>
      </c>
      <c r="F931" s="3">
        <v>45522</v>
      </c>
      <c r="G931" s="2">
        <v>45528</v>
      </c>
      <c r="H931" s="5" t="str">
        <f t="shared" si="252"/>
        <v>August</v>
      </c>
      <c r="I931" s="5">
        <f t="shared" si="253"/>
        <v>2024</v>
      </c>
      <c r="J931" t="str">
        <f>IF(F931="","Missing Date",
IF(ISNUMBER(F931),"Valid","Invalid Date"))</f>
        <v>Valid</v>
      </c>
      <c r="K931" t="str">
        <f t="shared" si="254"/>
        <v>Valid</v>
      </c>
      <c r="L931">
        <f>G931-F931</f>
        <v>6</v>
      </c>
      <c r="M931" t="s">
        <v>1411</v>
      </c>
      <c r="N931" t="s">
        <v>61</v>
      </c>
      <c r="O931" t="str">
        <f t="shared" si="255"/>
        <v>Arjun Bose</v>
      </c>
      <c r="P931" t="s">
        <v>26</v>
      </c>
      <c r="Q931" t="str">
        <f t="shared" si="256"/>
        <v>Consumer</v>
      </c>
      <c r="R931" t="s">
        <v>62</v>
      </c>
      <c r="S931" t="str">
        <f t="shared" si="257"/>
        <v>South</v>
      </c>
      <c r="T931" t="s">
        <v>100</v>
      </c>
      <c r="U931" t="str">
        <f t="shared" si="258"/>
        <v>Andhra Pradesh</v>
      </c>
      <c r="V931" t="s">
        <v>101</v>
      </c>
      <c r="W931" t="str">
        <f t="shared" si="259"/>
        <v>Vijayawada</v>
      </c>
      <c r="X931" t="s">
        <v>45</v>
      </c>
      <c r="Y931" t="str">
        <f t="shared" si="260"/>
        <v>Furniture</v>
      </c>
      <c r="Z931" t="s">
        <v>76</v>
      </c>
      <c r="AA931" t="str">
        <f t="shared" si="261"/>
        <v>Chairs</v>
      </c>
      <c r="AB931" t="s">
        <v>1412</v>
      </c>
      <c r="AC931" t="s">
        <v>56</v>
      </c>
      <c r="AD931" t="str">
        <f t="shared" si="262"/>
        <v>First Class</v>
      </c>
      <c r="AE931">
        <v>7</v>
      </c>
      <c r="AF931">
        <v>557.21</v>
      </c>
      <c r="AG931">
        <v>0.1</v>
      </c>
      <c r="AH931">
        <v>0.1</v>
      </c>
      <c r="AI931" t="str">
        <f t="shared" si="263"/>
        <v>Valid</v>
      </c>
      <c r="AJ931">
        <v>3797.79</v>
      </c>
      <c r="AK931">
        <f t="shared" si="264"/>
        <v>3510.4230000000002</v>
      </c>
      <c r="AL931">
        <v>2191.5</v>
      </c>
      <c r="AM931">
        <v>1213.48</v>
      </c>
      <c r="AN931">
        <f t="shared" si="265"/>
        <v>1318.9230000000002</v>
      </c>
      <c r="AO931">
        <f t="shared" si="266"/>
        <v>-2191.5</v>
      </c>
      <c r="AP931" t="s">
        <v>34</v>
      </c>
      <c r="AQ931" t="str">
        <f t="shared" si="267"/>
        <v>Paid</v>
      </c>
      <c r="AR931" t="s">
        <v>125</v>
      </c>
      <c r="AS931" t="str">
        <f t="shared" si="268"/>
        <v>Returned</v>
      </c>
      <c r="AT931" t="str">
        <f t="shared" si="269"/>
        <v>Clean</v>
      </c>
    </row>
    <row r="932" spans="1:46">
      <c r="A932" t="s">
        <v>708</v>
      </c>
      <c r="B932">
        <f>COUNTIF($D$2:D932,D932)</f>
        <v>3</v>
      </c>
      <c r="C932" t="str">
        <f>IF(COUNTIF($A:$A,A932)=1,
"Unique",
IF(COUNTIFS($A:$A,A932,$N:$N,N932,$AF:$AF,AF932,$AJ:$AJ,AJ932)&gt;1,
"Exact Duplicate",
"Conflicting Duplicate"))</f>
        <v>Conflicting Duplicate</v>
      </c>
      <c r="D932" t="s">
        <v>709</v>
      </c>
      <c r="E932" t="s">
        <v>710</v>
      </c>
      <c r="F932" s="3">
        <v>45436</v>
      </c>
      <c r="G932" s="2">
        <v>45437</v>
      </c>
      <c r="H932" s="5" t="str">
        <f t="shared" si="252"/>
        <v>May</v>
      </c>
      <c r="I932" s="5">
        <f t="shared" si="253"/>
        <v>2024</v>
      </c>
      <c r="J932" t="str">
        <f>IF(F932="","Missing Date",
IF(ISNUMBER(F932),"Valid","Invalid Date"))</f>
        <v>Valid</v>
      </c>
      <c r="K932" t="str">
        <f t="shared" si="254"/>
        <v>Valid</v>
      </c>
      <c r="L932">
        <f>G932-F932</f>
        <v>1</v>
      </c>
      <c r="M932" t="s">
        <v>711</v>
      </c>
      <c r="N932" t="s">
        <v>168</v>
      </c>
      <c r="O932" t="str">
        <f t="shared" si="255"/>
        <v>Sneha Kapoor</v>
      </c>
      <c r="P932" t="s">
        <v>41</v>
      </c>
      <c r="Q932" t="str">
        <f t="shared" si="256"/>
        <v>Small Business</v>
      </c>
      <c r="R932" t="s">
        <v>712</v>
      </c>
      <c r="S932" t="str">
        <f t="shared" si="257"/>
        <v>North</v>
      </c>
      <c r="T932" t="s">
        <v>154</v>
      </c>
      <c r="U932" t="str">
        <f t="shared" si="258"/>
        <v>Punjab</v>
      </c>
      <c r="V932" t="s">
        <v>155</v>
      </c>
      <c r="W932" t="str">
        <f t="shared" si="259"/>
        <v>Ludhiana</v>
      </c>
      <c r="X932" t="s">
        <v>86</v>
      </c>
      <c r="Y932" t="str">
        <f t="shared" si="260"/>
        <v>Technology</v>
      </c>
      <c r="Z932" t="s">
        <v>94</v>
      </c>
      <c r="AA932" t="str">
        <f t="shared" si="261"/>
        <v>Copiers</v>
      </c>
      <c r="AB932" t="s">
        <v>713</v>
      </c>
      <c r="AC932" t="s">
        <v>48</v>
      </c>
      <c r="AD932" t="str">
        <f t="shared" si="262"/>
        <v>Same Day</v>
      </c>
      <c r="AE932">
        <v>1</v>
      </c>
      <c r="AF932">
        <v>634.13</v>
      </c>
      <c r="AG932">
        <v>0</v>
      </c>
      <c r="AH932">
        <v>0</v>
      </c>
      <c r="AI932" t="str">
        <f t="shared" si="263"/>
        <v>Valid</v>
      </c>
      <c r="AJ932">
        <v>808.67</v>
      </c>
      <c r="AK932">
        <f t="shared" si="264"/>
        <v>634.13</v>
      </c>
      <c r="AL932">
        <v>453.35</v>
      </c>
      <c r="AM932">
        <v>180.78</v>
      </c>
      <c r="AN932">
        <f t="shared" si="265"/>
        <v>180.77999999999997</v>
      </c>
      <c r="AO932">
        <f t="shared" si="266"/>
        <v>-453.35</v>
      </c>
      <c r="AP932" t="s">
        <v>124</v>
      </c>
      <c r="AQ932" t="str">
        <f t="shared" si="267"/>
        <v>Refunded</v>
      </c>
      <c r="AR932" t="s">
        <v>125</v>
      </c>
      <c r="AS932" t="str">
        <f t="shared" si="268"/>
        <v>Returned</v>
      </c>
      <c r="AT932" t="str">
        <f t="shared" si="269"/>
        <v>Clean</v>
      </c>
    </row>
    <row r="933" spans="1:46">
      <c r="A933" t="s">
        <v>1697</v>
      </c>
      <c r="B933">
        <f>COUNTIF($D$2:D933,D933)</f>
        <v>2</v>
      </c>
      <c r="C933" t="str">
        <f>IF(COUNTIF($A:$A,A933)=1,
"Unique",
IF(COUNTIFS($A:$A,A933,$N:$N,N933,$AF:$AF,AF933,$AJ:$AJ,AJ933)&gt;1,
"Exact Duplicate",
"Conflicting Duplicate"))</f>
        <v>Conflicting Duplicate</v>
      </c>
      <c r="D933" t="s">
        <v>1698</v>
      </c>
      <c r="E933" t="s">
        <v>1699</v>
      </c>
      <c r="F933" s="3">
        <v>45824</v>
      </c>
      <c r="G933" s="2">
        <v>45826</v>
      </c>
      <c r="H933" s="5" t="str">
        <f t="shared" si="252"/>
        <v>June</v>
      </c>
      <c r="I933" s="5">
        <f t="shared" si="253"/>
        <v>2025</v>
      </c>
      <c r="J933" t="str">
        <f>IF(F933="","Missing Date",
IF(ISNUMBER(F933),"Valid","Invalid Date"))</f>
        <v>Valid</v>
      </c>
      <c r="K933" t="str">
        <f t="shared" si="254"/>
        <v>Valid</v>
      </c>
      <c r="L933">
        <f>G933-F933</f>
        <v>2</v>
      </c>
      <c r="M933" t="s">
        <v>1700</v>
      </c>
      <c r="N933" t="s">
        <v>148</v>
      </c>
      <c r="O933" t="str">
        <f t="shared" si="255"/>
        <v>Rahul Verma</v>
      </c>
      <c r="P933" t="s">
        <v>115</v>
      </c>
      <c r="Q933" t="str">
        <f t="shared" si="256"/>
        <v>Home Office</v>
      </c>
      <c r="R933" t="s">
        <v>73</v>
      </c>
      <c r="S933" t="str">
        <f t="shared" si="257"/>
        <v>West</v>
      </c>
      <c r="T933" t="s">
        <v>84</v>
      </c>
      <c r="U933" t="str">
        <f t="shared" si="258"/>
        <v>Madhya Pradesh</v>
      </c>
      <c r="V933" t="s">
        <v>85</v>
      </c>
      <c r="W933" t="str">
        <f t="shared" si="259"/>
        <v>Indore</v>
      </c>
      <c r="X933" t="s">
        <v>30</v>
      </c>
      <c r="Y933" t="str">
        <f t="shared" si="260"/>
        <v>Office Supplies</v>
      </c>
      <c r="Z933" t="s">
        <v>31</v>
      </c>
      <c r="AA933" t="str">
        <f t="shared" si="261"/>
        <v>Paper</v>
      </c>
      <c r="AB933" t="s">
        <v>1701</v>
      </c>
      <c r="AC933" t="s">
        <v>56</v>
      </c>
      <c r="AD933" t="str">
        <f t="shared" si="262"/>
        <v>First Class</v>
      </c>
      <c r="AE933">
        <v>3</v>
      </c>
      <c r="AF933">
        <v>4289.37</v>
      </c>
      <c r="AG933">
        <v>0.1</v>
      </c>
      <c r="AH933">
        <v>0.1</v>
      </c>
      <c r="AI933" t="str">
        <f t="shared" si="263"/>
        <v>Valid</v>
      </c>
      <c r="AJ933">
        <v>11778.71</v>
      </c>
      <c r="AK933">
        <f t="shared" si="264"/>
        <v>11581.299000000001</v>
      </c>
      <c r="AL933">
        <v>6829.43</v>
      </c>
      <c r="AM933">
        <v>4751.87</v>
      </c>
      <c r="AN933">
        <f t="shared" si="265"/>
        <v>4751.8690000000006</v>
      </c>
      <c r="AO933">
        <f t="shared" si="266"/>
        <v>-6829.43</v>
      </c>
      <c r="AP933" t="s">
        <v>34</v>
      </c>
      <c r="AQ933" t="str">
        <f t="shared" si="267"/>
        <v>Paid</v>
      </c>
      <c r="AR933" t="s">
        <v>125</v>
      </c>
      <c r="AS933" t="str">
        <f t="shared" si="268"/>
        <v>Returned</v>
      </c>
      <c r="AT933" t="str">
        <f t="shared" si="269"/>
        <v>Clean</v>
      </c>
    </row>
    <row r="934" spans="1:46">
      <c r="AO934" s="6"/>
      <c r="AP934" s="7"/>
      <c r="AQ934" s="8"/>
    </row>
    <row r="935" spans="1:46">
      <c r="AO935" s="9"/>
      <c r="AP935" s="10"/>
      <c r="AQ935" s="11"/>
    </row>
    <row r="936" spans="1:46">
      <c r="AO936" s="9"/>
      <c r="AP936" s="10"/>
      <c r="AQ936" s="11"/>
    </row>
    <row r="937" spans="1:46">
      <c r="AO937" s="9"/>
      <c r="AP937" s="10"/>
      <c r="AQ937" s="11"/>
    </row>
    <row r="938" spans="1:46">
      <c r="AO938" s="9"/>
      <c r="AP938" s="10"/>
      <c r="AQ938" s="11"/>
    </row>
    <row r="939" spans="1:46">
      <c r="AO939" s="9"/>
      <c r="AP939" s="10"/>
      <c r="AQ939" s="11"/>
    </row>
    <row r="940" spans="1:46">
      <c r="AO940" s="9"/>
      <c r="AP940" s="10"/>
      <c r="AQ940" s="11"/>
    </row>
    <row r="941" spans="1:46">
      <c r="AO941" s="9"/>
      <c r="AP941" s="10"/>
      <c r="AQ941" s="11"/>
    </row>
    <row r="942" spans="1:46">
      <c r="AO942" s="9"/>
      <c r="AP942" s="10"/>
      <c r="AQ942" s="11"/>
    </row>
    <row r="943" spans="1:46">
      <c r="AO943" s="9"/>
      <c r="AP943" s="10"/>
      <c r="AQ943" s="11"/>
    </row>
    <row r="944" spans="1:46">
      <c r="AO944" s="9"/>
      <c r="AP944" s="10"/>
      <c r="AQ944" s="11"/>
    </row>
    <row r="945" spans="41:43">
      <c r="AO945" s="9"/>
      <c r="AP945" s="10"/>
      <c r="AQ945" s="11"/>
    </row>
    <row r="946" spans="41:43">
      <c r="AO946" s="9"/>
      <c r="AP946" s="10"/>
      <c r="AQ946" s="11"/>
    </row>
    <row r="947" spans="41:43">
      <c r="AO947" s="9"/>
      <c r="AP947" s="10"/>
      <c r="AQ947" s="11"/>
    </row>
    <row r="948" spans="41:43">
      <c r="AO948" s="9"/>
      <c r="AP948" s="10"/>
      <c r="AQ948" s="11"/>
    </row>
    <row r="949" spans="41:43">
      <c r="AO949" s="9"/>
      <c r="AP949" s="10"/>
      <c r="AQ949" s="11"/>
    </row>
    <row r="950" spans="41:43">
      <c r="AO950" s="9"/>
      <c r="AP950" s="10"/>
      <c r="AQ950" s="11"/>
    </row>
    <row r="951" spans="41:43">
      <c r="AO951" s="12"/>
      <c r="AP951" s="13"/>
      <c r="AQ951" s="14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3AC70-DCEC-4258-9C15-ECC3B0CDE170}">
  <dimension ref="A1:U933"/>
  <sheetViews>
    <sheetView workbookViewId="0">
      <selection activeCell="A2" sqref="A1:U933"/>
    </sheetView>
  </sheetViews>
  <sheetFormatPr defaultRowHeight="14.4"/>
  <cols>
    <col min="1" max="21" width="17.77734375" customWidth="1"/>
  </cols>
  <sheetData>
    <row r="1" spans="1:2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Region_Summary</vt:lpstr>
      <vt:lpstr>Category_Summary</vt:lpstr>
      <vt:lpstr>ShipMode_Summary</vt:lpstr>
      <vt:lpstr>Segment Summary</vt:lpstr>
      <vt:lpstr>Issues_by_Region</vt:lpstr>
      <vt:lpstr>Monthly_Trend</vt:lpstr>
      <vt:lpstr>Cleaned_Order</vt:lpstr>
      <vt:lpstr>Raw_Order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 SETH</dc:creator>
  <cp:lastModifiedBy>RISHAV SETH</cp:lastModifiedBy>
  <dcterms:created xsi:type="dcterms:W3CDTF">2026-06-27T18:31:38Z</dcterms:created>
  <dcterms:modified xsi:type="dcterms:W3CDTF">2026-06-28T16:08:14Z</dcterms:modified>
</cp:coreProperties>
</file>